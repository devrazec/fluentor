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vocab" sheetId="1" r:id="rId5"/>
    <sheet state="visible" name="subcatvocab" sheetId="2" r:id="rId6"/>
    <sheet state="visible" name="vocabulary" sheetId="3" r:id="rId7"/>
  </sheets>
  <definedNames/>
  <calcPr/>
</workbook>
</file>

<file path=xl/sharedStrings.xml><?xml version="1.0" encoding="utf-8"?>
<sst xmlns="http://schemas.openxmlformats.org/spreadsheetml/2006/main" count="4140" uniqueCount="2018">
  <si>
    <t>id</t>
  </si>
  <si>
    <t>en</t>
  </si>
  <si>
    <t>pt</t>
  </si>
  <si>
    <t>description</t>
  </si>
  <si>
    <t>mp3</t>
  </si>
  <si>
    <t>image</t>
  </si>
  <si>
    <t>active</t>
  </si>
  <si>
    <t>id_catvocab</t>
  </si>
  <si>
    <t>Colors</t>
  </si>
  <si>
    <t>Cores</t>
  </si>
  <si>
    <t>true</t>
  </si>
  <si>
    <t>Fruits</t>
  </si>
  <si>
    <t>Fritas</t>
  </si>
  <si>
    <t>Vegetables</t>
  </si>
  <si>
    <t>Vegetais</t>
  </si>
  <si>
    <t>Transportation</t>
  </si>
  <si>
    <t>Transportes</t>
  </si>
  <si>
    <t>Animals</t>
  </si>
  <si>
    <t>Animais</t>
  </si>
  <si>
    <t>Sports</t>
  </si>
  <si>
    <t>Esportes</t>
  </si>
  <si>
    <t>Musical Instruments</t>
  </si>
  <si>
    <t>Instrumentos Musicais</t>
  </si>
  <si>
    <t>Places</t>
  </si>
  <si>
    <t>Lugares</t>
  </si>
  <si>
    <t>Family Members</t>
  </si>
  <si>
    <t>Membros de Família</t>
  </si>
  <si>
    <t>Trees</t>
  </si>
  <si>
    <t>Arvores</t>
  </si>
  <si>
    <t>Flowers</t>
  </si>
  <si>
    <t>Flores</t>
  </si>
  <si>
    <t>Plants</t>
  </si>
  <si>
    <t>Plantas</t>
  </si>
  <si>
    <t>Occupations</t>
  </si>
  <si>
    <t>Profissões</t>
  </si>
  <si>
    <t>100 Most Commonly Spoken English Words</t>
  </si>
  <si>
    <t>100 palavras em inglês mais faladas</t>
  </si>
  <si>
    <t>300 Most Commonly Spoken English Words</t>
  </si>
  <si>
    <t>300 palavras em inglês mais faladas</t>
  </si>
  <si>
    <t>500 Most Commonly Spoken English Words</t>
  </si>
  <si>
    <t>500 palavras em inglês mais faladas</t>
  </si>
  <si>
    <t>1000 Most Commonly Spoken English Words</t>
  </si>
  <si>
    <t>1000 palavras em inglês mais faladas</t>
  </si>
  <si>
    <t>600 Synonyms</t>
  </si>
  <si>
    <t>600 sinónimos</t>
  </si>
  <si>
    <t>Days</t>
  </si>
  <si>
    <t>Dias</t>
  </si>
  <si>
    <t>Months</t>
  </si>
  <si>
    <t>Meses</t>
  </si>
  <si>
    <t>Shapes</t>
  </si>
  <si>
    <t>Formas</t>
  </si>
  <si>
    <t>Numbers</t>
  </si>
  <si>
    <t>Números</t>
  </si>
  <si>
    <t>Alphabet</t>
  </si>
  <si>
    <t>Alfabeto</t>
  </si>
  <si>
    <t>Seasons</t>
  </si>
  <si>
    <t>Estações do ano</t>
  </si>
  <si>
    <t>Weather</t>
  </si>
  <si>
    <t>Clima</t>
  </si>
  <si>
    <t>Celebrations</t>
  </si>
  <si>
    <t>Celebrações</t>
  </si>
  <si>
    <t>Time</t>
  </si>
  <si>
    <t>Horário</t>
  </si>
  <si>
    <t>id_subcatvocab</t>
  </si>
  <si>
    <t>es</t>
  </si>
  <si>
    <t>fr</t>
  </si>
  <si>
    <t>de</t>
  </si>
  <si>
    <t>ru</t>
  </si>
  <si>
    <t>ar</t>
  </si>
  <si>
    <t>red</t>
  </si>
  <si>
    <t>blue</t>
  </si>
  <si>
    <t>yellow</t>
  </si>
  <si>
    <t>green</t>
  </si>
  <si>
    <t>orange</t>
  </si>
  <si>
    <t>purple</t>
  </si>
  <si>
    <t>pink</t>
  </si>
  <si>
    <t>brown</t>
  </si>
  <si>
    <t>black</t>
  </si>
  <si>
    <t>white</t>
  </si>
  <si>
    <t>grey </t>
  </si>
  <si>
    <t>light blue</t>
  </si>
  <si>
    <t>dark green</t>
  </si>
  <si>
    <t>pale yellow</t>
  </si>
  <si>
    <t>deep red</t>
  </si>
  <si>
    <t>bright orange</t>
  </si>
  <si>
    <t>turquoise</t>
  </si>
  <si>
    <t>navy</t>
  </si>
  <si>
    <t>teal</t>
  </si>
  <si>
    <t>cyan</t>
  </si>
  <si>
    <t>magenta</t>
  </si>
  <si>
    <t>beige</t>
  </si>
  <si>
    <t>ivory</t>
  </si>
  <si>
    <t>cream</t>
  </si>
  <si>
    <t>maroon</t>
  </si>
  <si>
    <t>olive</t>
  </si>
  <si>
    <t>gold</t>
  </si>
  <si>
    <t>silver</t>
  </si>
  <si>
    <t>apple</t>
  </si>
  <si>
    <t>banana</t>
  </si>
  <si>
    <t>pear</t>
  </si>
  <si>
    <t>peach</t>
  </si>
  <si>
    <t>plum</t>
  </si>
  <si>
    <t>grape</t>
  </si>
  <si>
    <t>cherry</t>
  </si>
  <si>
    <t>lemon</t>
  </si>
  <si>
    <t>lime</t>
  </si>
  <si>
    <t>mango</t>
  </si>
  <si>
    <t>pineapple</t>
  </si>
  <si>
    <t>papaya</t>
  </si>
  <si>
    <t>coconut</t>
  </si>
  <si>
    <t>kiwi</t>
  </si>
  <si>
    <t>passion fruit</t>
  </si>
  <si>
    <t>lychee</t>
  </si>
  <si>
    <t>guava</t>
  </si>
  <si>
    <t>strawberry</t>
  </si>
  <si>
    <t>blueberry</t>
  </si>
  <si>
    <t>raspberry</t>
  </si>
  <si>
    <t>blackberry</t>
  </si>
  <si>
    <t>cranberry</t>
  </si>
  <si>
    <t>watermelon</t>
  </si>
  <si>
    <t>cantaloupe</t>
  </si>
  <si>
    <t>honeydew</t>
  </si>
  <si>
    <t>apricot</t>
  </si>
  <si>
    <t>nectarine</t>
  </si>
  <si>
    <t>carrot</t>
  </si>
  <si>
    <t>potato</t>
  </si>
  <si>
    <t>sweet potato</t>
  </si>
  <si>
    <t>beet, beetroot</t>
  </si>
  <si>
    <t>turnip</t>
  </si>
  <si>
    <t>radish</t>
  </si>
  <si>
    <t>lettuce</t>
  </si>
  <si>
    <t>spinach</t>
  </si>
  <si>
    <t>kale</t>
  </si>
  <si>
    <t>cabbage</t>
  </si>
  <si>
    <t>arugula, rocket</t>
  </si>
  <si>
    <t>broccoli</t>
  </si>
  <si>
    <t>cauliflower</t>
  </si>
  <si>
    <t>Brussels sprouts</t>
  </si>
  <si>
    <t>onion</t>
  </si>
  <si>
    <t>garlic</t>
  </si>
  <si>
    <t>leek</t>
  </si>
  <si>
    <t>celery</t>
  </si>
  <si>
    <t>tomato</t>
  </si>
  <si>
    <t>cucumber</t>
  </si>
  <si>
    <t>zucchini, courgette</t>
  </si>
  <si>
    <t>eggplant, aubergine</t>
  </si>
  <si>
    <t>bell pepper</t>
  </si>
  <si>
    <t>chili pepper</t>
  </si>
  <si>
    <t>pumpkin</t>
  </si>
  <si>
    <t>corn, maize</t>
  </si>
  <si>
    <t>peas</t>
  </si>
  <si>
    <t>green beans</t>
  </si>
  <si>
    <t>lentils</t>
  </si>
  <si>
    <t>chickpeas</t>
  </si>
  <si>
    <t>car</t>
  </si>
  <si>
    <t>bus</t>
  </si>
  <si>
    <t>taxi</t>
  </si>
  <si>
    <t>train</t>
  </si>
  <si>
    <t>tram</t>
  </si>
  <si>
    <t>subway, underground</t>
  </si>
  <si>
    <t>metro</t>
  </si>
  <si>
    <t>bicycle, bike</t>
  </si>
  <si>
    <t>motorcycle</t>
  </si>
  <si>
    <t>scooter</t>
  </si>
  <si>
    <t>truck, lorry</t>
  </si>
  <si>
    <t>van</t>
  </si>
  <si>
    <t>coach</t>
  </si>
  <si>
    <t>pickup truck</t>
  </si>
  <si>
    <t>ambulance</t>
  </si>
  <si>
    <t>fire engine</t>
  </si>
  <si>
    <t>police car</t>
  </si>
  <si>
    <t>airplane, plane</t>
  </si>
  <si>
    <t>jet</t>
  </si>
  <si>
    <t>helicopter</t>
  </si>
  <si>
    <t>glider</t>
  </si>
  <si>
    <t>hot‑air balloon</t>
  </si>
  <si>
    <t>drone</t>
  </si>
  <si>
    <t>boat</t>
  </si>
  <si>
    <t>ship</t>
  </si>
  <si>
    <t>ferry</t>
  </si>
  <si>
    <t>submarine</t>
  </si>
  <si>
    <t>yacht</t>
  </si>
  <si>
    <t>canoe</t>
  </si>
  <si>
    <t>kayak</t>
  </si>
  <si>
    <t>raft</t>
  </si>
  <si>
    <t>sailboat</t>
  </si>
  <si>
    <t>airport</t>
  </si>
  <si>
    <t>runway</t>
  </si>
  <si>
    <t>station</t>
  </si>
  <si>
    <t>platform</t>
  </si>
  <si>
    <t>port</t>
  </si>
  <si>
    <t>harbor</t>
  </si>
  <si>
    <t>bus stop</t>
  </si>
  <si>
    <t>parking lot</t>
  </si>
  <si>
    <t>garage</t>
  </si>
  <si>
    <t>highway, motorway</t>
  </si>
  <si>
    <t>bridge</t>
  </si>
  <si>
    <t>tunnel</t>
  </si>
  <si>
    <t>dog</t>
  </si>
  <si>
    <t>puppy</t>
  </si>
  <si>
    <t>cat</t>
  </si>
  <si>
    <t>kitten</t>
  </si>
  <si>
    <t>rabbit, bunny</t>
  </si>
  <si>
    <t>hamster</t>
  </si>
  <si>
    <t>guinea pig</t>
  </si>
  <si>
    <t>mouse</t>
  </si>
  <si>
    <t>rat</t>
  </si>
  <si>
    <t>goldfish</t>
  </si>
  <si>
    <t>parrot</t>
  </si>
  <si>
    <t>canary</t>
  </si>
  <si>
    <t>budgie</t>
  </si>
  <si>
    <t>turtle</t>
  </si>
  <si>
    <t>snake</t>
  </si>
  <si>
    <t>cow</t>
  </si>
  <si>
    <t>bull</t>
  </si>
  <si>
    <t>calf</t>
  </si>
  <si>
    <t>sheep</t>
  </si>
  <si>
    <t>lamb</t>
  </si>
  <si>
    <t>goat</t>
  </si>
  <si>
    <t>kid, baby goat</t>
  </si>
  <si>
    <t>pig</t>
  </si>
  <si>
    <t>piglet</t>
  </si>
  <si>
    <t>horse</t>
  </si>
  <si>
    <t>foal</t>
  </si>
  <si>
    <t>donkey</t>
  </si>
  <si>
    <t>mule</t>
  </si>
  <si>
    <t>ox</t>
  </si>
  <si>
    <t>chicken</t>
  </si>
  <si>
    <t>hen</t>
  </si>
  <si>
    <t>rooster</t>
  </si>
  <si>
    <t>chick</t>
  </si>
  <si>
    <t>duck</t>
  </si>
  <si>
    <t>duckling</t>
  </si>
  <si>
    <t>goose</t>
  </si>
  <si>
    <t>gosling</t>
  </si>
  <si>
    <t>turkey</t>
  </si>
  <si>
    <t>buffalo</t>
  </si>
  <si>
    <t>llama</t>
  </si>
  <si>
    <t>alpaca</t>
  </si>
  <si>
    <t>bee</t>
  </si>
  <si>
    <t>lion</t>
  </si>
  <si>
    <t>tiger</t>
  </si>
  <si>
    <t>leopard</t>
  </si>
  <si>
    <t>cheetah</t>
  </si>
  <si>
    <t>jaguar</t>
  </si>
  <si>
    <t>panther</t>
  </si>
  <si>
    <t>elephant</t>
  </si>
  <si>
    <t>rhinoceros, rhino</t>
  </si>
  <si>
    <t>hippopotamus, hippo</t>
  </si>
  <si>
    <t>giraffe</t>
  </si>
  <si>
    <t>zebra</t>
  </si>
  <si>
    <t>bear</t>
  </si>
  <si>
    <t>panda</t>
  </si>
  <si>
    <t>wolf</t>
  </si>
  <si>
    <t>fox</t>
  </si>
  <si>
    <t>deer</t>
  </si>
  <si>
    <t>moose</t>
  </si>
  <si>
    <t>elk</t>
  </si>
  <si>
    <t>bison</t>
  </si>
  <si>
    <t>antelope</t>
  </si>
  <si>
    <t>camel</t>
  </si>
  <si>
    <t>kangaroo</t>
  </si>
  <si>
    <t>koala</t>
  </si>
  <si>
    <t>sloth</t>
  </si>
  <si>
    <t>monkey</t>
  </si>
  <si>
    <t>chimpanzee</t>
  </si>
  <si>
    <t>gorilla</t>
  </si>
  <si>
    <t>orangutan</t>
  </si>
  <si>
    <t>lynx</t>
  </si>
  <si>
    <t>wolverine</t>
  </si>
  <si>
    <t>armadillo</t>
  </si>
  <si>
    <t>hedgehog</t>
  </si>
  <si>
    <t>squirrel</t>
  </si>
  <si>
    <t>mole</t>
  </si>
  <si>
    <t>bat</t>
  </si>
  <si>
    <t>eagle</t>
  </si>
  <si>
    <t>hawk</t>
  </si>
  <si>
    <t>falcon</t>
  </si>
  <si>
    <t>owl</t>
  </si>
  <si>
    <t>pigeon</t>
  </si>
  <si>
    <t>dove</t>
  </si>
  <si>
    <t>sparrow</t>
  </si>
  <si>
    <t>crow</t>
  </si>
  <si>
    <t>raven</t>
  </si>
  <si>
    <t>peacock</t>
  </si>
  <si>
    <t>flamingo</t>
  </si>
  <si>
    <t>swan</t>
  </si>
  <si>
    <t>penguin</t>
  </si>
  <si>
    <t>ostrich</t>
  </si>
  <si>
    <t>emu</t>
  </si>
  <si>
    <t>woodpecker</t>
  </si>
  <si>
    <t>hummingbird</t>
  </si>
  <si>
    <t>lizard</t>
  </si>
  <si>
    <t>gecko</t>
  </si>
  <si>
    <t>iguana</t>
  </si>
  <si>
    <t>chameleon</t>
  </si>
  <si>
    <t>tortoise</t>
  </si>
  <si>
    <t>crocodile</t>
  </si>
  <si>
    <t>alligator</t>
  </si>
  <si>
    <t>komodo dragon</t>
  </si>
  <si>
    <t>frog</t>
  </si>
  <si>
    <t>toad</t>
  </si>
  <si>
    <t>salamander</t>
  </si>
  <si>
    <t>newt</t>
  </si>
  <si>
    <t>axolotl</t>
  </si>
  <si>
    <t>fish</t>
  </si>
  <si>
    <t>shark</t>
  </si>
  <si>
    <t>whale shark</t>
  </si>
  <si>
    <t>salmon</t>
  </si>
  <si>
    <t>tuna</t>
  </si>
  <si>
    <t>cod</t>
  </si>
  <si>
    <t>trout</t>
  </si>
  <si>
    <t>clownfish</t>
  </si>
  <si>
    <t>angelfish</t>
  </si>
  <si>
    <t>eel</t>
  </si>
  <si>
    <t>seahorse</t>
  </si>
  <si>
    <t>stingray</t>
  </si>
  <si>
    <t>piranha</t>
  </si>
  <si>
    <t>whale</t>
  </si>
  <si>
    <t>dolphin</t>
  </si>
  <si>
    <t>porpoise</t>
  </si>
  <si>
    <t>seal</t>
  </si>
  <si>
    <t>sea lion</t>
  </si>
  <si>
    <t>walrus</t>
  </si>
  <si>
    <t>manatee</t>
  </si>
  <si>
    <t>dugong</t>
  </si>
  <si>
    <t>crab</t>
  </si>
  <si>
    <t>lobster</t>
  </si>
  <si>
    <t>shrimp</t>
  </si>
  <si>
    <t>prawn</t>
  </si>
  <si>
    <t>octopus</t>
  </si>
  <si>
    <t>squid</t>
  </si>
  <si>
    <t>cuttlefish</t>
  </si>
  <si>
    <t>jellyfish</t>
  </si>
  <si>
    <t>starfish, sea star</t>
  </si>
  <si>
    <t>sea urchin</t>
  </si>
  <si>
    <t>sea cucumber</t>
  </si>
  <si>
    <t>coral</t>
  </si>
  <si>
    <t>ant</t>
  </si>
  <si>
    <t>wasp</t>
  </si>
  <si>
    <t>butterfly</t>
  </si>
  <si>
    <t>moth</t>
  </si>
  <si>
    <t>beetle</t>
  </si>
  <si>
    <t>ladybug, ladybird</t>
  </si>
  <si>
    <t>fly</t>
  </si>
  <si>
    <t>mosquito</t>
  </si>
  <si>
    <t>dragonfly</t>
  </si>
  <si>
    <t>grasshopper</t>
  </si>
  <si>
    <t>cricket</t>
  </si>
  <si>
    <t>cockroach</t>
  </si>
  <si>
    <t>termite</t>
  </si>
  <si>
    <t>spider</t>
  </si>
  <si>
    <t>scorpion</t>
  </si>
  <si>
    <t>tick</t>
  </si>
  <si>
    <t>mite</t>
  </si>
  <si>
    <t>worm</t>
  </si>
  <si>
    <t>earthworm</t>
  </si>
  <si>
    <t>leech</t>
  </si>
  <si>
    <t>slug</t>
  </si>
  <si>
    <t>snail</t>
  </si>
  <si>
    <t>football, soccer</t>
  </si>
  <si>
    <t>American football</t>
  </si>
  <si>
    <t>rugby union</t>
  </si>
  <si>
    <t>rugby league</t>
  </si>
  <si>
    <t>basketball</t>
  </si>
  <si>
    <t>baseball</t>
  </si>
  <si>
    <t>softball</t>
  </si>
  <si>
    <t>hockey, field hockey</t>
  </si>
  <si>
    <t>ice hockey</t>
  </si>
  <si>
    <t>volleyball</t>
  </si>
  <si>
    <t>beach volleyball</t>
  </si>
  <si>
    <t>handball</t>
  </si>
  <si>
    <t>futsal</t>
  </si>
  <si>
    <t>netball</t>
  </si>
  <si>
    <t>lacrosse</t>
  </si>
  <si>
    <t>water polo</t>
  </si>
  <si>
    <t>korfball</t>
  </si>
  <si>
    <t>kabaddi</t>
  </si>
  <si>
    <t>polo</t>
  </si>
  <si>
    <t>ultimate frisbee</t>
  </si>
  <si>
    <t>dodgeball</t>
  </si>
  <si>
    <t>rounders</t>
  </si>
  <si>
    <t>athletics, track and field</t>
  </si>
  <si>
    <t>running</t>
  </si>
  <si>
    <t>sprinting</t>
  </si>
  <si>
    <t>marathon</t>
  </si>
  <si>
    <t>hurdling</t>
  </si>
  <si>
    <t>long jump</t>
  </si>
  <si>
    <t>high jump</t>
  </si>
  <si>
    <t>pole vault</t>
  </si>
  <si>
    <t>triple jump</t>
  </si>
  <si>
    <t>shot put</t>
  </si>
  <si>
    <t>discus throw</t>
  </si>
  <si>
    <t>javelin throw</t>
  </si>
  <si>
    <t>decathlon</t>
  </si>
  <si>
    <t>heptathlon</t>
  </si>
  <si>
    <t>triathlon</t>
  </si>
  <si>
    <t>pentathlon</t>
  </si>
  <si>
    <t>cycling</t>
  </si>
  <si>
    <t>mountain biking</t>
  </si>
  <si>
    <t>BMX</t>
  </si>
  <si>
    <t>gymnastics</t>
  </si>
  <si>
    <t>rhythmic gymnastics</t>
  </si>
  <si>
    <t>artistic gymnastics</t>
  </si>
  <si>
    <t>weightlifting</t>
  </si>
  <si>
    <t>powerlifting</t>
  </si>
  <si>
    <t>bodybuilding</t>
  </si>
  <si>
    <t>tennis</t>
  </si>
  <si>
    <t>table tennis, ping pong</t>
  </si>
  <si>
    <t>badminton</t>
  </si>
  <si>
    <t>squash</t>
  </si>
  <si>
    <t>racquetball</t>
  </si>
  <si>
    <t>paddle tennis</t>
  </si>
  <si>
    <t>pickleball</t>
  </si>
  <si>
    <t>beach tennis</t>
  </si>
  <si>
    <t>racketlon</t>
  </si>
  <si>
    <t>boxing</t>
  </si>
  <si>
    <t>wrestling</t>
  </si>
  <si>
    <t>freestyle wrestling</t>
  </si>
  <si>
    <t>Greco‑Roman wrestling</t>
  </si>
  <si>
    <t>judo</t>
  </si>
  <si>
    <t>karate</t>
  </si>
  <si>
    <t>taekwondo</t>
  </si>
  <si>
    <t>kickboxing</t>
  </si>
  <si>
    <t>muay thai</t>
  </si>
  <si>
    <t>Brazilian jiu‑jitsu</t>
  </si>
  <si>
    <t>mixed martial arts, MMA</t>
  </si>
  <si>
    <t>aikido</t>
  </si>
  <si>
    <t>jujitsu</t>
  </si>
  <si>
    <t>kung fu</t>
  </si>
  <si>
    <t>fencing</t>
  </si>
  <si>
    <t>kendo</t>
  </si>
  <si>
    <t>sumo</t>
  </si>
  <si>
    <t>swimming</t>
  </si>
  <si>
    <t>diving</t>
  </si>
  <si>
    <t>artistic, synchronized swimming</t>
  </si>
  <si>
    <t>rowing</t>
  </si>
  <si>
    <t>canoeing</t>
  </si>
  <si>
    <t>kayaking</t>
  </si>
  <si>
    <t>rafting</t>
  </si>
  <si>
    <t>sailing</t>
  </si>
  <si>
    <t>surfing</t>
  </si>
  <si>
    <t>windsurfing</t>
  </si>
  <si>
    <t>kitesurfing</t>
  </si>
  <si>
    <t>paddleboarding</t>
  </si>
  <si>
    <t>water skiing</t>
  </si>
  <si>
    <t>wakeboarding</t>
  </si>
  <si>
    <t>scuba diving</t>
  </si>
  <si>
    <t>free diving</t>
  </si>
  <si>
    <t>snorkeling</t>
  </si>
  <si>
    <t>skiing</t>
  </si>
  <si>
    <t>alpine skiing</t>
  </si>
  <si>
    <t>cross‑country skiing</t>
  </si>
  <si>
    <t>freestyle skiing</t>
  </si>
  <si>
    <t>ski jumping</t>
  </si>
  <si>
    <t>snowboarding</t>
  </si>
  <si>
    <t>ice skating</t>
  </si>
  <si>
    <t>figure skating</t>
  </si>
  <si>
    <t>speed skating</t>
  </si>
  <si>
    <t>short‑track speed skating</t>
  </si>
  <si>
    <t>curling</t>
  </si>
  <si>
    <t>bobsleigh</t>
  </si>
  <si>
    <t>luge</t>
  </si>
  <si>
    <t>skeleton</t>
  </si>
  <si>
    <t>biathlon</t>
  </si>
  <si>
    <t>archery</t>
  </si>
  <si>
    <t>shooting</t>
  </si>
  <si>
    <t>skeet shooting</t>
  </si>
  <si>
    <t>trap shooting</t>
  </si>
  <si>
    <t>darts</t>
  </si>
  <si>
    <t>bowling</t>
  </si>
  <si>
    <t>bocce</t>
  </si>
  <si>
    <t>pétanque</t>
  </si>
  <si>
    <t>disc golf</t>
  </si>
  <si>
    <t>horse racing</t>
  </si>
  <si>
    <t>show jumping</t>
  </si>
  <si>
    <t>dressage</t>
  </si>
  <si>
    <t>eventing</t>
  </si>
  <si>
    <t>endurance riding</t>
  </si>
  <si>
    <t>rodeo</t>
  </si>
  <si>
    <t>vaulting</t>
  </si>
  <si>
    <t>rock climbing</t>
  </si>
  <si>
    <t>sport climbing</t>
  </si>
  <si>
    <t>bouldering</t>
  </si>
  <si>
    <t>mountaineering</t>
  </si>
  <si>
    <t>hiking</t>
  </si>
  <si>
    <t>orienteering</t>
  </si>
  <si>
    <t>parkour</t>
  </si>
  <si>
    <t>freerunning</t>
  </si>
  <si>
    <t>skateboarding</t>
  </si>
  <si>
    <t>longboarding</t>
  </si>
  <si>
    <t>surfing, big‑wave</t>
  </si>
  <si>
    <t>skydiving</t>
  </si>
  <si>
    <t>base jumping</t>
  </si>
  <si>
    <t>paragliding</t>
  </si>
  <si>
    <t>bungee jumping</t>
  </si>
  <si>
    <t>Formula 1</t>
  </si>
  <si>
    <t>kart racing</t>
  </si>
  <si>
    <t>motocross</t>
  </si>
  <si>
    <t>rally racing</t>
  </si>
  <si>
    <t>endurance racing</t>
  </si>
  <si>
    <t>drag racing</t>
  </si>
  <si>
    <t>superbike racing</t>
  </si>
  <si>
    <t>chess</t>
  </si>
  <si>
    <t>snooker</t>
  </si>
  <si>
    <t>billiards</t>
  </si>
  <si>
    <t>pool</t>
  </si>
  <si>
    <t>esports</t>
  </si>
  <si>
    <t>violin</t>
  </si>
  <si>
    <t>viola</t>
  </si>
  <si>
    <t>cello</t>
  </si>
  <si>
    <t>double bass</t>
  </si>
  <si>
    <t>viola da gamba</t>
  </si>
  <si>
    <t>nyckelharpa</t>
  </si>
  <si>
    <t>erhu</t>
  </si>
  <si>
    <t>rebab</t>
  </si>
  <si>
    <t>morin khuur</t>
  </si>
  <si>
    <t>guitar</t>
  </si>
  <si>
    <t>electric guitar</t>
  </si>
  <si>
    <t>bass guitar</t>
  </si>
  <si>
    <t>acoustic guitar</t>
  </si>
  <si>
    <t>classical guitar</t>
  </si>
  <si>
    <t>harp</t>
  </si>
  <si>
    <t>lyre</t>
  </si>
  <si>
    <t>lute</t>
  </si>
  <si>
    <t>oud</t>
  </si>
  <si>
    <t>sitar</t>
  </si>
  <si>
    <t>tanpura</t>
  </si>
  <si>
    <t>veena</t>
  </si>
  <si>
    <t>ukulele</t>
  </si>
  <si>
    <t>mandolin</t>
  </si>
  <si>
    <t>banjo</t>
  </si>
  <si>
    <t>bouzouki</t>
  </si>
  <si>
    <t>balalaika</t>
  </si>
  <si>
    <t>charango</t>
  </si>
  <si>
    <t>zither</t>
  </si>
  <si>
    <t>koto</t>
  </si>
  <si>
    <t>pipa</t>
  </si>
  <si>
    <t>shamisen</t>
  </si>
  <si>
    <t>sanxian</t>
  </si>
  <si>
    <t>theorbo</t>
  </si>
  <si>
    <t>piano</t>
  </si>
  <si>
    <t>grand piano</t>
  </si>
  <si>
    <t>upright piano</t>
  </si>
  <si>
    <t>harpsichord</t>
  </si>
  <si>
    <t>clavichord</t>
  </si>
  <si>
    <t>dulcimer</t>
  </si>
  <si>
    <t>hammered dulcimer</t>
  </si>
  <si>
    <t>flute</t>
  </si>
  <si>
    <t>piccolo</t>
  </si>
  <si>
    <t>recorder</t>
  </si>
  <si>
    <t>clarinet</t>
  </si>
  <si>
    <t>bass clarinet</t>
  </si>
  <si>
    <t>oboe</t>
  </si>
  <si>
    <t>English horn</t>
  </si>
  <si>
    <t>bassoon</t>
  </si>
  <si>
    <t>contrabassoon</t>
  </si>
  <si>
    <t>saxophone, soprano, alto, tenor, baritone</t>
  </si>
  <si>
    <t>pan flute</t>
  </si>
  <si>
    <t>shakuhachi</t>
  </si>
  <si>
    <t>ney</t>
  </si>
  <si>
    <t>bansuri</t>
  </si>
  <si>
    <t>ocarina</t>
  </si>
  <si>
    <t>trumpet</t>
  </si>
  <si>
    <t>cornet</t>
  </si>
  <si>
    <t>flugelhorn</t>
  </si>
  <si>
    <t>trombone</t>
  </si>
  <si>
    <t>bass trombone</t>
  </si>
  <si>
    <t>French horn</t>
  </si>
  <si>
    <t>tuba</t>
  </si>
  <si>
    <t>euphonium</t>
  </si>
  <si>
    <t>bugle</t>
  </si>
  <si>
    <t>sousaphone</t>
  </si>
  <si>
    <t>mellophone</t>
  </si>
  <si>
    <t>snare drum</t>
  </si>
  <si>
    <t>bass drum</t>
  </si>
  <si>
    <t>tom‑tom</t>
  </si>
  <si>
    <t>drum kit</t>
  </si>
  <si>
    <t>timpani</t>
  </si>
  <si>
    <t>tabla</t>
  </si>
  <si>
    <t>djembe</t>
  </si>
  <si>
    <t>conga</t>
  </si>
  <si>
    <t>bongo</t>
  </si>
  <si>
    <t>talking drum</t>
  </si>
  <si>
    <t>mridangam</t>
  </si>
  <si>
    <t>tamborim</t>
  </si>
  <si>
    <t>taiko</t>
  </si>
  <si>
    <t>xylophone</t>
  </si>
  <si>
    <t>marimba</t>
  </si>
  <si>
    <t>vibraphone</t>
  </si>
  <si>
    <t>glockenspiel</t>
  </si>
  <si>
    <t>celesta</t>
  </si>
  <si>
    <t>triangle</t>
  </si>
  <si>
    <t>cymbals</t>
  </si>
  <si>
    <t>castanets</t>
  </si>
  <si>
    <t>claves</t>
  </si>
  <si>
    <t>cowbell</t>
  </si>
  <si>
    <t>agogô bells</t>
  </si>
  <si>
    <t>steel drum, steelpan</t>
  </si>
  <si>
    <t>kalimba, thumb piano</t>
  </si>
  <si>
    <t>mbira</t>
  </si>
  <si>
    <t>rainstick</t>
  </si>
  <si>
    <t>guiro</t>
  </si>
  <si>
    <t>shaker</t>
  </si>
  <si>
    <t>chimes</t>
  </si>
  <si>
    <t>handbell</t>
  </si>
  <si>
    <t>singing bowl</t>
  </si>
  <si>
    <t>electric piano</t>
  </si>
  <si>
    <t>digital piano</t>
  </si>
  <si>
    <t>organ</t>
  </si>
  <si>
    <t>pipe organ</t>
  </si>
  <si>
    <t>reed organ</t>
  </si>
  <si>
    <t>harmonium</t>
  </si>
  <si>
    <t>clavinet</t>
  </si>
  <si>
    <t>synthesizer</t>
  </si>
  <si>
    <t>MIDI keyboard</t>
  </si>
  <si>
    <t>sampler</t>
  </si>
  <si>
    <t>drum machine</t>
  </si>
  <si>
    <t>sequencer</t>
  </si>
  <si>
    <t>theremin</t>
  </si>
  <si>
    <t>ondes Martenot</t>
  </si>
  <si>
    <t>trautonium</t>
  </si>
  <si>
    <t>electric violin</t>
  </si>
  <si>
    <t>electric cello</t>
  </si>
  <si>
    <t>electric bass</t>
  </si>
  <si>
    <t>DJ controller</t>
  </si>
  <si>
    <t>turntable</t>
  </si>
  <si>
    <t>didgeridoo</t>
  </si>
  <si>
    <t>shofar</t>
  </si>
  <si>
    <t>kora</t>
  </si>
  <si>
    <t>balafon</t>
  </si>
  <si>
    <t>shekere</t>
  </si>
  <si>
    <t>cuíca</t>
  </si>
  <si>
    <t>berimbau</t>
  </si>
  <si>
    <t>bodhrán</t>
  </si>
  <si>
    <t>frame drum</t>
  </si>
  <si>
    <t>udu</t>
  </si>
  <si>
    <t>waterphone</t>
  </si>
  <si>
    <t>house</t>
  </si>
  <si>
    <t>apartment, flat</t>
  </si>
  <si>
    <t>home</t>
  </si>
  <si>
    <t>bungalow</t>
  </si>
  <si>
    <t>villa</t>
  </si>
  <si>
    <t>cottage</t>
  </si>
  <si>
    <t>cabin</t>
  </si>
  <si>
    <t>hut</t>
  </si>
  <si>
    <t>mansion</t>
  </si>
  <si>
    <t>palace</t>
  </si>
  <si>
    <t>dormitory</t>
  </si>
  <si>
    <t>hostel</t>
  </si>
  <si>
    <t>retirement home</t>
  </si>
  <si>
    <t>nursing home</t>
  </si>
  <si>
    <t>shelter</t>
  </si>
  <si>
    <t>school</t>
  </si>
  <si>
    <t>primary school</t>
  </si>
  <si>
    <t>secondary school</t>
  </si>
  <si>
    <t>high school</t>
  </si>
  <si>
    <t>college</t>
  </si>
  <si>
    <t>university</t>
  </si>
  <si>
    <t>campus</t>
  </si>
  <si>
    <t>classroom</t>
  </si>
  <si>
    <t>lecture hall</t>
  </si>
  <si>
    <t>library</t>
  </si>
  <si>
    <t>laboratory</t>
  </si>
  <si>
    <t>research center</t>
  </si>
  <si>
    <t>training center</t>
  </si>
  <si>
    <t>language school</t>
  </si>
  <si>
    <t>music school</t>
  </si>
  <si>
    <t>hospital</t>
  </si>
  <si>
    <t>clinic</t>
  </si>
  <si>
    <t>health center</t>
  </si>
  <si>
    <t>medical center</t>
  </si>
  <si>
    <t>dentist</t>
  </si>
  <si>
    <t>pharmacy</t>
  </si>
  <si>
    <t>ambulance station</t>
  </si>
  <si>
    <t>emergency room</t>
  </si>
  <si>
    <t>fire station</t>
  </si>
  <si>
    <t>police station</t>
  </si>
  <si>
    <t>rescue center</t>
  </si>
  <si>
    <t>veterinary clinic</t>
  </si>
  <si>
    <t>office</t>
  </si>
  <si>
    <t>workplace</t>
  </si>
  <si>
    <t>headquarters</t>
  </si>
  <si>
    <t>factory</t>
  </si>
  <si>
    <t>plant</t>
  </si>
  <si>
    <t>warehouse</t>
  </si>
  <si>
    <t>workshop</t>
  </si>
  <si>
    <t>studio</t>
  </si>
  <si>
    <t>construction site</t>
  </si>
  <si>
    <t>business park</t>
  </si>
  <si>
    <t>industrial zone</t>
  </si>
  <si>
    <t>shop</t>
  </si>
  <si>
    <t>store</t>
  </si>
  <si>
    <t>supermarket</t>
  </si>
  <si>
    <t>market</t>
  </si>
  <si>
    <t>shopping mall</t>
  </si>
  <si>
    <t>department store</t>
  </si>
  <si>
    <t>convenience store</t>
  </si>
  <si>
    <t>bakery</t>
  </si>
  <si>
    <t>butcher</t>
  </si>
  <si>
    <t>bookstore</t>
  </si>
  <si>
    <t>clothing store</t>
  </si>
  <si>
    <t>electronics store</t>
  </si>
  <si>
    <t>hardware store</t>
  </si>
  <si>
    <t>restaurant</t>
  </si>
  <si>
    <t>café</t>
  </si>
  <si>
    <t>coffee shop</t>
  </si>
  <si>
    <t>bar</t>
  </si>
  <si>
    <t>pub</t>
  </si>
  <si>
    <t>diner</t>
  </si>
  <si>
    <t>fast‑food restaurant</t>
  </si>
  <si>
    <t>canteen</t>
  </si>
  <si>
    <t>food court</t>
  </si>
  <si>
    <t>ice cream shop</t>
  </si>
  <si>
    <t>winery</t>
  </si>
  <si>
    <t>brewery</t>
  </si>
  <si>
    <t>city hall</t>
  </si>
  <si>
    <t>town hall</t>
  </si>
  <si>
    <t>courthouse</t>
  </si>
  <si>
    <t>embassy</t>
  </si>
  <si>
    <t>consulate</t>
  </si>
  <si>
    <t>parliament</t>
  </si>
  <si>
    <t>senate</t>
  </si>
  <si>
    <t>ministry</t>
  </si>
  <si>
    <t>government office</t>
  </si>
  <si>
    <t>post office</t>
  </si>
  <si>
    <t>prison</t>
  </si>
  <si>
    <t>jail</t>
  </si>
  <si>
    <t>church</t>
  </si>
  <si>
    <t>cathedral</t>
  </si>
  <si>
    <t>chapel</t>
  </si>
  <si>
    <t>mosque</t>
  </si>
  <si>
    <t>synagogue</t>
  </si>
  <si>
    <t>temple</t>
  </si>
  <si>
    <t>monastery</t>
  </si>
  <si>
    <t>convent</t>
  </si>
  <si>
    <t>shrine</t>
  </si>
  <si>
    <t>pagoda</t>
  </si>
  <si>
    <t>cemetery</t>
  </si>
  <si>
    <t>graveyard</t>
  </si>
  <si>
    <t>museum</t>
  </si>
  <si>
    <t>art gallery</t>
  </si>
  <si>
    <t>theater</t>
  </si>
  <si>
    <t>cinema, movie theater</t>
  </si>
  <si>
    <t>opera house</t>
  </si>
  <si>
    <t>concert hall</t>
  </si>
  <si>
    <t>cultural center</t>
  </si>
  <si>
    <t>exhibition hall</t>
  </si>
  <si>
    <t>zoo</t>
  </si>
  <si>
    <t>aquarium</t>
  </si>
  <si>
    <t>amusement park</t>
  </si>
  <si>
    <t>theme park</t>
  </si>
  <si>
    <t>stadium</t>
  </si>
  <si>
    <t>arena</t>
  </si>
  <si>
    <t>sports center</t>
  </si>
  <si>
    <t>gym</t>
  </si>
  <si>
    <t>fitness center</t>
  </si>
  <si>
    <t>swimming pool</t>
  </si>
  <si>
    <t>sports field</t>
  </si>
  <si>
    <t>playground</t>
  </si>
  <si>
    <t>skate park</t>
  </si>
  <si>
    <t>golf course</t>
  </si>
  <si>
    <t>tennis court</t>
  </si>
  <si>
    <t>hotel</t>
  </si>
  <si>
    <t>motel</t>
  </si>
  <si>
    <t>resort</t>
  </si>
  <si>
    <t>guesthouse</t>
  </si>
  <si>
    <t>bed and breakfast</t>
  </si>
  <si>
    <t>lodge</t>
  </si>
  <si>
    <t>inn</t>
  </si>
  <si>
    <t>campground</t>
  </si>
  <si>
    <t>campsite</t>
  </si>
  <si>
    <t>terminal</t>
  </si>
  <si>
    <t>train station</t>
  </si>
  <si>
    <t>subway station</t>
  </si>
  <si>
    <t>bus station</t>
  </si>
  <si>
    <t>tram stop</t>
  </si>
  <si>
    <t>dock</t>
  </si>
  <si>
    <t>marina</t>
  </si>
  <si>
    <t>highway</t>
  </si>
  <si>
    <t>road</t>
  </si>
  <si>
    <t>street</t>
  </si>
  <si>
    <t>avenue</t>
  </si>
  <si>
    <t>city</t>
  </si>
  <si>
    <t>town</t>
  </si>
  <si>
    <t>village</t>
  </si>
  <si>
    <t>suburb</t>
  </si>
  <si>
    <t>neighborhood</t>
  </si>
  <si>
    <t>district</t>
  </si>
  <si>
    <t>downtown</t>
  </si>
  <si>
    <t>city center</t>
  </si>
  <si>
    <t>square</t>
  </si>
  <si>
    <t>plaza</t>
  </si>
  <si>
    <t>park</t>
  </si>
  <si>
    <t>public garden</t>
  </si>
  <si>
    <t>forest</t>
  </si>
  <si>
    <t>jungle</t>
  </si>
  <si>
    <t>rainforest</t>
  </si>
  <si>
    <t>desert</t>
  </si>
  <si>
    <t>valley</t>
  </si>
  <si>
    <t>canyon</t>
  </si>
  <si>
    <t>mountain</t>
  </si>
  <si>
    <t>hill</t>
  </si>
  <si>
    <t>volcano</t>
  </si>
  <si>
    <t>plateau</t>
  </si>
  <si>
    <t>plain</t>
  </si>
  <si>
    <t>island</t>
  </si>
  <si>
    <t>peninsula</t>
  </si>
  <si>
    <t>cliff</t>
  </si>
  <si>
    <t>cave</t>
  </si>
  <si>
    <t>river</t>
  </si>
  <si>
    <t>stream</t>
  </si>
  <si>
    <t>lake</t>
  </si>
  <si>
    <t>pond</t>
  </si>
  <si>
    <t>waterfall</t>
  </si>
  <si>
    <t>ocean</t>
  </si>
  <si>
    <t>sea</t>
  </si>
  <si>
    <t>bay</t>
  </si>
  <si>
    <t>gulf</t>
  </si>
  <si>
    <t>beach</t>
  </si>
  <si>
    <t>coast</t>
  </si>
  <si>
    <t>shore</t>
  </si>
  <si>
    <t>reef</t>
  </si>
  <si>
    <t>lagoon</t>
  </si>
  <si>
    <t>glacier</t>
  </si>
  <si>
    <t>ice cap</t>
  </si>
  <si>
    <t>tundra</t>
  </si>
  <si>
    <t>polar region</t>
  </si>
  <si>
    <t>Arctic</t>
  </si>
  <si>
    <t>Antarctic</t>
  </si>
  <si>
    <t>country</t>
  </si>
  <si>
    <t>nation</t>
  </si>
  <si>
    <t>state</t>
  </si>
  <si>
    <t>province</t>
  </si>
  <si>
    <t>region</t>
  </si>
  <si>
    <t>territory</t>
  </si>
  <si>
    <t>capital</t>
  </si>
  <si>
    <t>border</t>
  </si>
  <si>
    <t>continent</t>
  </si>
  <si>
    <t>farm</t>
  </si>
  <si>
    <t>ranch</t>
  </si>
  <si>
    <t>field</t>
  </si>
  <si>
    <t>pasture</t>
  </si>
  <si>
    <t>orchard</t>
  </si>
  <si>
    <t>vineyard</t>
  </si>
  <si>
    <t>barn</t>
  </si>
  <si>
    <t>stable</t>
  </si>
  <si>
    <t>site</t>
  </si>
  <si>
    <t>location</t>
  </si>
  <si>
    <t>area</t>
  </si>
  <si>
    <t>zone</t>
  </si>
  <si>
    <t>destination</t>
  </si>
  <si>
    <t>venue</t>
  </si>
  <si>
    <t>father</t>
  </si>
  <si>
    <t>mother</t>
  </si>
  <si>
    <t>dad</t>
  </si>
  <si>
    <t>mom</t>
  </si>
  <si>
    <t>parents</t>
  </si>
  <si>
    <t>husband</t>
  </si>
  <si>
    <t>wife</t>
  </si>
  <si>
    <t>partner</t>
  </si>
  <si>
    <t>spouse</t>
  </si>
  <si>
    <t>son</t>
  </si>
  <si>
    <t>daughter</t>
  </si>
  <si>
    <t>child</t>
  </si>
  <si>
    <t>children</t>
  </si>
  <si>
    <t>brother</t>
  </si>
  <si>
    <t>sister</t>
  </si>
  <si>
    <t>sibling</t>
  </si>
  <si>
    <t>baby</t>
  </si>
  <si>
    <t>infant</t>
  </si>
  <si>
    <t>toddler</t>
  </si>
  <si>
    <t>teenager</t>
  </si>
  <si>
    <t>adult</t>
  </si>
  <si>
    <t>grandfather</t>
  </si>
  <si>
    <t>grandmother</t>
  </si>
  <si>
    <t>grandparents</t>
  </si>
  <si>
    <t>grandson</t>
  </si>
  <si>
    <t>granddaughter</t>
  </si>
  <si>
    <t>grandchildren</t>
  </si>
  <si>
    <t>great‑grandfather</t>
  </si>
  <si>
    <t>great‑grandmother</t>
  </si>
  <si>
    <t>great‑grandson</t>
  </si>
  <si>
    <t>great‑granddaughter</t>
  </si>
  <si>
    <t>uncle</t>
  </si>
  <si>
    <t>aunt</t>
  </si>
  <si>
    <t>cousin</t>
  </si>
  <si>
    <t>nephew</t>
  </si>
  <si>
    <t>niece</t>
  </si>
  <si>
    <t>great‑uncle</t>
  </si>
  <si>
    <t>great‑aunt</t>
  </si>
  <si>
    <t>first cousin once removed</t>
  </si>
  <si>
    <t>second cousin</t>
  </si>
  <si>
    <t>father‑in‑law</t>
  </si>
  <si>
    <t>mother‑in‑law</t>
  </si>
  <si>
    <t>parents‑in‑law</t>
  </si>
  <si>
    <t>brother‑in‑law</t>
  </si>
  <si>
    <t>sister‑in‑law</t>
  </si>
  <si>
    <t>son‑in‑law</t>
  </si>
  <si>
    <t>daughter‑in‑law</t>
  </si>
  <si>
    <t>stepfather</t>
  </si>
  <si>
    <t>stepmother</t>
  </si>
  <si>
    <t>stepparent</t>
  </si>
  <si>
    <t>stepson</t>
  </si>
  <si>
    <t>stepdaughter</t>
  </si>
  <si>
    <t>stepbrother</t>
  </si>
  <si>
    <t>stepsister</t>
  </si>
  <si>
    <t>half‑brother</t>
  </si>
  <si>
    <t>half‑sister</t>
  </si>
  <si>
    <t>twin brother</t>
  </si>
  <si>
    <t>twin sister</t>
  </si>
  <si>
    <t>adoptive parent</t>
  </si>
  <si>
    <t>adopted son</t>
  </si>
  <si>
    <t>adopted daughter</t>
  </si>
  <si>
    <t>foster parent</t>
  </si>
  <si>
    <t>foster child</t>
  </si>
  <si>
    <t>godfather</t>
  </si>
  <si>
    <t>godmother</t>
  </si>
  <si>
    <t>godson</t>
  </si>
  <si>
    <t>goddaughter</t>
  </si>
  <si>
    <t>single parent</t>
  </si>
  <si>
    <t>co‑parent</t>
  </si>
  <si>
    <t>guardian</t>
  </si>
  <si>
    <t>legal guardian</t>
  </si>
  <si>
    <t>caregiver</t>
  </si>
  <si>
    <t>domestic partner</t>
  </si>
  <si>
    <t>chosen family</t>
  </si>
  <si>
    <t>family</t>
  </si>
  <si>
    <t>household</t>
  </si>
  <si>
    <t>relatives</t>
  </si>
  <si>
    <t>kin</t>
  </si>
  <si>
    <t>next of kin</t>
  </si>
  <si>
    <t>ancestor</t>
  </si>
  <si>
    <t>descendant</t>
  </si>
  <si>
    <t>oak</t>
  </si>
  <si>
    <t>maple</t>
  </si>
  <si>
    <t>pine</t>
  </si>
  <si>
    <t>birch</t>
  </si>
  <si>
    <t>beech</t>
  </si>
  <si>
    <t>elm</t>
  </si>
  <si>
    <t>willow</t>
  </si>
  <si>
    <t>poplar</t>
  </si>
  <si>
    <t>ash</t>
  </si>
  <si>
    <t>cedar</t>
  </si>
  <si>
    <t>fir</t>
  </si>
  <si>
    <t>spruce</t>
  </si>
  <si>
    <t>yew</t>
  </si>
  <si>
    <t>plane tree</t>
  </si>
  <si>
    <t>sycamore</t>
  </si>
  <si>
    <t>apple tree</t>
  </si>
  <si>
    <t>pear tree</t>
  </si>
  <si>
    <t>cherry tree</t>
  </si>
  <si>
    <t>plum tree</t>
  </si>
  <si>
    <t>peach tree</t>
  </si>
  <si>
    <t>apricot tree</t>
  </si>
  <si>
    <t>fig tree</t>
  </si>
  <si>
    <t>olive tree</t>
  </si>
  <si>
    <t>lemon tree</t>
  </si>
  <si>
    <t>orange tree</t>
  </si>
  <si>
    <t>lime tree</t>
  </si>
  <si>
    <t>banana tree</t>
  </si>
  <si>
    <t>coconut tree</t>
  </si>
  <si>
    <t>cypress</t>
  </si>
  <si>
    <t>juniper</t>
  </si>
  <si>
    <t>redwood</t>
  </si>
  <si>
    <t>sequoia</t>
  </si>
  <si>
    <t>palm tree</t>
  </si>
  <si>
    <t>bamboo</t>
  </si>
  <si>
    <t>eucalyptus</t>
  </si>
  <si>
    <t>mahogany</t>
  </si>
  <si>
    <t>teak</t>
  </si>
  <si>
    <t>rubber tree</t>
  </si>
  <si>
    <t>banyan</t>
  </si>
  <si>
    <t>rose</t>
  </si>
  <si>
    <t>tulip</t>
  </si>
  <si>
    <t>lily</t>
  </si>
  <si>
    <t>daisy</t>
  </si>
  <si>
    <t>sunflower</t>
  </si>
  <si>
    <t>orchid</t>
  </si>
  <si>
    <t>carnation</t>
  </si>
  <si>
    <t>chrysanthemum</t>
  </si>
  <si>
    <t>poppy</t>
  </si>
  <si>
    <t>peony</t>
  </si>
  <si>
    <t>pansy</t>
  </si>
  <si>
    <t>petunia</t>
  </si>
  <si>
    <t>daffodil</t>
  </si>
  <si>
    <t>snowdrop</t>
  </si>
  <si>
    <t>bluebell</t>
  </si>
  <si>
    <t>buttercup</t>
  </si>
  <si>
    <t>dandelion</t>
  </si>
  <si>
    <t>primrose</t>
  </si>
  <si>
    <t>crocus</t>
  </si>
  <si>
    <t>foxglove</t>
  </si>
  <si>
    <t>jasmine</t>
  </si>
  <si>
    <t>lavender</t>
  </si>
  <si>
    <t>lilac</t>
  </si>
  <si>
    <t>magnolia</t>
  </si>
  <si>
    <t>hyacinth</t>
  </si>
  <si>
    <t>honeysuckle</t>
  </si>
  <si>
    <t>wisteria</t>
  </si>
  <si>
    <t>cherry blossom</t>
  </si>
  <si>
    <t>apple blossom</t>
  </si>
  <si>
    <t>peach blossom</t>
  </si>
  <si>
    <t>magnolia flower</t>
  </si>
  <si>
    <t>dogwood flower</t>
  </si>
  <si>
    <t>basil</t>
  </si>
  <si>
    <t>parsley</t>
  </si>
  <si>
    <t>mint</t>
  </si>
  <si>
    <t>rosemary</t>
  </si>
  <si>
    <t>thyme</t>
  </si>
  <si>
    <t>oregano</t>
  </si>
  <si>
    <t>coriander, cilantro</t>
  </si>
  <si>
    <t>sage</t>
  </si>
  <si>
    <t>dill</t>
  </si>
  <si>
    <t>shrub</t>
  </si>
  <si>
    <t>bush</t>
  </si>
  <si>
    <t>hedge</t>
  </si>
  <si>
    <t>rose bush</t>
  </si>
  <si>
    <t>lavender bush</t>
  </si>
  <si>
    <t>boxwood</t>
  </si>
  <si>
    <t>holly</t>
  </si>
  <si>
    <t>grass</t>
  </si>
  <si>
    <t>lawn grass</t>
  </si>
  <si>
    <t>wheat</t>
  </si>
  <si>
    <t>barley</t>
  </si>
  <si>
    <t>corn</t>
  </si>
  <si>
    <t>rice</t>
  </si>
  <si>
    <t>bamboo grass</t>
  </si>
  <si>
    <t>fern</t>
  </si>
  <si>
    <t>bracken</t>
  </si>
  <si>
    <t>moss</t>
  </si>
  <si>
    <t>liverwort</t>
  </si>
  <si>
    <t>ivy</t>
  </si>
  <si>
    <t>vine</t>
  </si>
  <si>
    <t>grapevine</t>
  </si>
  <si>
    <t>creeper</t>
  </si>
  <si>
    <t>honeysuckle vine</t>
  </si>
  <si>
    <t>cactus</t>
  </si>
  <si>
    <t>aloe vera</t>
  </si>
  <si>
    <t>agave</t>
  </si>
  <si>
    <t>succulent</t>
  </si>
  <si>
    <t>jade plant</t>
  </si>
  <si>
    <t>water lily</t>
  </si>
  <si>
    <t>lotus</t>
  </si>
  <si>
    <t>reed</t>
  </si>
  <si>
    <t>cattail</t>
  </si>
  <si>
    <t>vegetable</t>
  </si>
  <si>
    <t>fruit plant</t>
  </si>
  <si>
    <t>crop</t>
  </si>
  <si>
    <t>root</t>
  </si>
  <si>
    <t>stem</t>
  </si>
  <si>
    <t>stalk</t>
  </si>
  <si>
    <t>trunk</t>
  </si>
  <si>
    <t>branch</t>
  </si>
  <si>
    <t>twig</t>
  </si>
  <si>
    <t>leaf</t>
  </si>
  <si>
    <t>leaves</t>
  </si>
  <si>
    <t>bud</t>
  </si>
  <si>
    <t>flower</t>
  </si>
  <si>
    <t>petal</t>
  </si>
  <si>
    <t>seed</t>
  </si>
  <si>
    <t>fruit</t>
  </si>
  <si>
    <t>bark</t>
  </si>
  <si>
    <t>thorn</t>
  </si>
  <si>
    <t>accountant</t>
  </si>
  <si>
    <t>auditor</t>
  </si>
  <si>
    <t>business analyst</t>
  </si>
  <si>
    <t>business owner</t>
  </si>
  <si>
    <t>entrepreneur</t>
  </si>
  <si>
    <t>manager</t>
  </si>
  <si>
    <t>marketing manager</t>
  </si>
  <si>
    <t>project manager</t>
  </si>
  <si>
    <t>product manager</t>
  </si>
  <si>
    <t>operations manager</t>
  </si>
  <si>
    <t>human resources manager</t>
  </si>
  <si>
    <t>office worker</t>
  </si>
  <si>
    <t>receptionist</t>
  </si>
  <si>
    <t>secretary</t>
  </si>
  <si>
    <t>administrative assistant</t>
  </si>
  <si>
    <t>executive</t>
  </si>
  <si>
    <t>consultant</t>
  </si>
  <si>
    <t>financial advisor</t>
  </si>
  <si>
    <t>investment banker</t>
  </si>
  <si>
    <t>insurance agent</t>
  </si>
  <si>
    <t>real estate agent</t>
  </si>
  <si>
    <t>sales representative</t>
  </si>
  <si>
    <t>salesperson</t>
  </si>
  <si>
    <t>teacher</t>
  </si>
  <si>
    <t>professor</t>
  </si>
  <si>
    <t>lecturer</t>
  </si>
  <si>
    <t>tutor</t>
  </si>
  <si>
    <t>instructor</t>
  </si>
  <si>
    <t>teaching assistant</t>
  </si>
  <si>
    <t>school principal</t>
  </si>
  <si>
    <t>researcher</t>
  </si>
  <si>
    <t>academic</t>
  </si>
  <si>
    <t>librarian</t>
  </si>
  <si>
    <t>archivist</t>
  </si>
  <si>
    <t>doctor</t>
  </si>
  <si>
    <t>physician</t>
  </si>
  <si>
    <t>surgeon</t>
  </si>
  <si>
    <t>orthodontist</t>
  </si>
  <si>
    <t>nurse</t>
  </si>
  <si>
    <t>midwife</t>
  </si>
  <si>
    <t>paramedic</t>
  </si>
  <si>
    <t>pharmacist</t>
  </si>
  <si>
    <t>physiotherapist</t>
  </si>
  <si>
    <t>psychologist</t>
  </si>
  <si>
    <t>psychiatrist</t>
  </si>
  <si>
    <t>therapist</t>
  </si>
  <si>
    <t>optician</t>
  </si>
  <si>
    <t>veterinarian</t>
  </si>
  <si>
    <t>medical assistant</t>
  </si>
  <si>
    <t>lawyer</t>
  </si>
  <si>
    <t>attorney</t>
  </si>
  <si>
    <t>judge</t>
  </si>
  <si>
    <t>prosecutor</t>
  </si>
  <si>
    <t>legal assistant</t>
  </si>
  <si>
    <t>paralegal</t>
  </si>
  <si>
    <t>politician</t>
  </si>
  <si>
    <t>diplomat</t>
  </si>
  <si>
    <t>civil servant</t>
  </si>
  <si>
    <t>public administrator</t>
  </si>
  <si>
    <t>customs officer</t>
  </si>
  <si>
    <t>tax officer</t>
  </si>
  <si>
    <t>police officer</t>
  </si>
  <si>
    <t>detective</t>
  </si>
  <si>
    <t>firefighter</t>
  </si>
  <si>
    <t>fire inspector</t>
  </si>
  <si>
    <t>security guard</t>
  </si>
  <si>
    <t>bodyguard</t>
  </si>
  <si>
    <t>lifeguard</t>
  </si>
  <si>
    <t>soldier</t>
  </si>
  <si>
    <t>officer</t>
  </si>
  <si>
    <t>army officer</t>
  </si>
  <si>
    <t>navy sailor</t>
  </si>
  <si>
    <t>air force pilot</t>
  </si>
  <si>
    <t>carpenter</t>
  </si>
  <si>
    <t>plumber</t>
  </si>
  <si>
    <t>electrician</t>
  </si>
  <si>
    <t>mechanic</t>
  </si>
  <si>
    <t>welder</t>
  </si>
  <si>
    <t>bricklayer</t>
  </si>
  <si>
    <t>mason</t>
  </si>
  <si>
    <t>roofer</t>
  </si>
  <si>
    <t>painter</t>
  </si>
  <si>
    <t>tiler</t>
  </si>
  <si>
    <t>locksmith</t>
  </si>
  <si>
    <t>technician</t>
  </si>
  <si>
    <t>repairman</t>
  </si>
  <si>
    <t>construction worker</t>
  </si>
  <si>
    <t>engineer</t>
  </si>
  <si>
    <t>civil engineer</t>
  </si>
  <si>
    <t>mechanical engineer</t>
  </si>
  <si>
    <t>electrical engineer</t>
  </si>
  <si>
    <t>chemical engineer</t>
  </si>
  <si>
    <t>industrial engineer</t>
  </si>
  <si>
    <t>factory worker</t>
  </si>
  <si>
    <t>machine operator</t>
  </si>
  <si>
    <t>scientist</t>
  </si>
  <si>
    <t>chemist</t>
  </si>
  <si>
    <t>physicist</t>
  </si>
  <si>
    <t>biologist</t>
  </si>
  <si>
    <t>mathematician</t>
  </si>
  <si>
    <t>statistician</t>
  </si>
  <si>
    <t>software developer</t>
  </si>
  <si>
    <t>software engineer</t>
  </si>
  <si>
    <t>programmer</t>
  </si>
  <si>
    <t>web developer</t>
  </si>
  <si>
    <t>web designer</t>
  </si>
  <si>
    <t>UX designer</t>
  </si>
  <si>
    <t>UI designer</t>
  </si>
  <si>
    <t>data analyst</t>
  </si>
  <si>
    <t>data scientist</t>
  </si>
  <si>
    <t>database administrator</t>
  </si>
  <si>
    <t>system administrator</t>
  </si>
  <si>
    <t>network engineer</t>
  </si>
  <si>
    <t>IT support specialist</t>
  </si>
  <si>
    <t>cybersecurity analyst</t>
  </si>
  <si>
    <t>artist</t>
  </si>
  <si>
    <t>sculptor</t>
  </si>
  <si>
    <t>photographer</t>
  </si>
  <si>
    <t>graphic designer</t>
  </si>
  <si>
    <t>illustrator</t>
  </si>
  <si>
    <t>animator</t>
  </si>
  <si>
    <t>actor</t>
  </si>
  <si>
    <t>actress</t>
  </si>
  <si>
    <t>director</t>
  </si>
  <si>
    <t>producer</t>
  </si>
  <si>
    <t>screenwriter</t>
  </si>
  <si>
    <t>journalist</t>
  </si>
  <si>
    <t>reporter</t>
  </si>
  <si>
    <t>editor</t>
  </si>
  <si>
    <t>newsreader</t>
  </si>
  <si>
    <t>writer</t>
  </si>
  <si>
    <t>author</t>
  </si>
  <si>
    <t>poet</t>
  </si>
  <si>
    <t>musician</t>
  </si>
  <si>
    <t>singer</t>
  </si>
  <si>
    <t>songwriter</t>
  </si>
  <si>
    <t>composer</t>
  </si>
  <si>
    <t>conductor</t>
  </si>
  <si>
    <t>pianist</t>
  </si>
  <si>
    <t>guitarist</t>
  </si>
  <si>
    <t>violinist</t>
  </si>
  <si>
    <t>drummer</t>
  </si>
  <si>
    <t>dancer</t>
  </si>
  <si>
    <t>choreographer</t>
  </si>
  <si>
    <t>ballet dancer</t>
  </si>
  <si>
    <t>DJ</t>
  </si>
  <si>
    <t>chef</t>
  </si>
  <si>
    <t>cook</t>
  </si>
  <si>
    <t>baker</t>
  </si>
  <si>
    <t>waiter</t>
  </si>
  <si>
    <t>waitress</t>
  </si>
  <si>
    <t>bartender</t>
  </si>
  <si>
    <t>barista</t>
  </si>
  <si>
    <t>restaurant manager</t>
  </si>
  <si>
    <t>hotel manager</t>
  </si>
  <si>
    <t>housekeeper</t>
  </si>
  <si>
    <t>cleaner</t>
  </si>
  <si>
    <t>maid</t>
  </si>
  <si>
    <t>tour guide</t>
  </si>
  <si>
    <t>travel agent</t>
  </si>
  <si>
    <t>driver</t>
  </si>
  <si>
    <t>taxi driver</t>
  </si>
  <si>
    <t>bus driver</t>
  </si>
  <si>
    <t>truck driver</t>
  </si>
  <si>
    <t>delivery driver</t>
  </si>
  <si>
    <t>courier</t>
  </si>
  <si>
    <t>pilot</t>
  </si>
  <si>
    <t>flight attendant</t>
  </si>
  <si>
    <t>train conductor</t>
  </si>
  <si>
    <t>railway worker</t>
  </si>
  <si>
    <t>ship captain</t>
  </si>
  <si>
    <t>sailor</t>
  </si>
  <si>
    <t>logistics manager</t>
  </si>
  <si>
    <t>warehouse worker</t>
  </si>
  <si>
    <t>farmer</t>
  </si>
  <si>
    <t>agricultural worker</t>
  </si>
  <si>
    <t>rancher</t>
  </si>
  <si>
    <t>gardener</t>
  </si>
  <si>
    <t>landscaper</t>
  </si>
  <si>
    <t>florist</t>
  </si>
  <si>
    <t>forester</t>
  </si>
  <si>
    <t>forest ranger</t>
  </si>
  <si>
    <t>fisherman</t>
  </si>
  <si>
    <t>fishery worker</t>
  </si>
  <si>
    <t>beekeeper</t>
  </si>
  <si>
    <t>zookeeper</t>
  </si>
  <si>
    <t>wildlife biologist</t>
  </si>
  <si>
    <t>hairdresser</t>
  </si>
  <si>
    <t>barber</t>
  </si>
  <si>
    <t>beautician</t>
  </si>
  <si>
    <t>makeup artist</t>
  </si>
  <si>
    <t>stylist</t>
  </si>
  <si>
    <t>tailor</t>
  </si>
  <si>
    <t>dressmaker</t>
  </si>
  <si>
    <t>shoemaker</t>
  </si>
  <si>
    <t>dry cleaner</t>
  </si>
  <si>
    <t>personal trainer</t>
  </si>
  <si>
    <t>fitness instructor</t>
  </si>
  <si>
    <t>social worker</t>
  </si>
  <si>
    <t>nursing assistant</t>
  </si>
  <si>
    <t>child care worker</t>
  </si>
  <si>
    <t>preschool teacher</t>
  </si>
  <si>
    <t>special education teacher</t>
  </si>
  <si>
    <t>counselor</t>
  </si>
  <si>
    <t>community worker</t>
  </si>
  <si>
    <t>astronaut</t>
  </si>
  <si>
    <t>diver</t>
  </si>
  <si>
    <t>stunt performer</t>
  </si>
  <si>
    <t>magician</t>
  </si>
  <si>
    <t>clown</t>
  </si>
  <si>
    <t>illusionist</t>
  </si>
  <si>
    <t>athlete</t>
  </si>
  <si>
    <t>professional footballer</t>
  </si>
  <si>
    <t>boxer</t>
  </si>
  <si>
    <t>referee</t>
  </si>
  <si>
    <t>accept</t>
  </si>
  <si>
    <t>achieve</t>
  </si>
  <si>
    <t>add</t>
  </si>
  <si>
    <t>admire</t>
  </si>
  <si>
    <t>agree</t>
  </si>
  <si>
    <t>allow</t>
  </si>
  <si>
    <t>answer</t>
  </si>
  <si>
    <t>appear</t>
  </si>
  <si>
    <t>apply</t>
  </si>
  <si>
    <t>arrange</t>
  </si>
  <si>
    <t>arrive</t>
  </si>
  <si>
    <t>ask</t>
  </si>
  <si>
    <t>bake</t>
  </si>
  <si>
    <t>balance</t>
  </si>
  <si>
    <t>believe</t>
  </si>
  <si>
    <t>belong</t>
  </si>
  <si>
    <t>borrow</t>
  </si>
  <si>
    <t>brush</t>
  </si>
  <si>
    <t>burn </t>
  </si>
  <si>
    <t>call</t>
  </si>
  <si>
    <t>care</t>
  </si>
  <si>
    <t>carry</t>
  </si>
  <si>
    <t>change</t>
  </si>
  <si>
    <t>check</t>
  </si>
  <si>
    <t>clean</t>
  </si>
  <si>
    <t>close</t>
  </si>
  <si>
    <t>collect</t>
  </si>
  <si>
    <t>compare</t>
  </si>
  <si>
    <t>complain</t>
  </si>
  <si>
    <t>complete</t>
  </si>
  <si>
    <t>consider</t>
  </si>
  <si>
    <t>continue</t>
  </si>
  <si>
    <t>control</t>
  </si>
  <si>
    <t>copy</t>
  </si>
  <si>
    <t>count</t>
  </si>
  <si>
    <t>cover</t>
  </si>
  <si>
    <t>create</t>
  </si>
  <si>
    <t>cry</t>
  </si>
  <si>
    <t>dance</t>
  </si>
  <si>
    <t>decide</t>
  </si>
  <si>
    <t>deliver</t>
  </si>
  <si>
    <t>depend</t>
  </si>
  <si>
    <t>describe</t>
  </si>
  <si>
    <t>design</t>
  </si>
  <si>
    <t>destroy</t>
  </si>
  <si>
    <t>develop</t>
  </si>
  <si>
    <t>discuss</t>
  </si>
  <si>
    <t>divide</t>
  </si>
  <si>
    <t>dress</t>
  </si>
  <si>
    <t>drop</t>
  </si>
  <si>
    <t>earn</t>
  </si>
  <si>
    <t>end</t>
  </si>
  <si>
    <t>enjoy</t>
  </si>
  <si>
    <t>explain</t>
  </si>
  <si>
    <t>fill</t>
  </si>
  <si>
    <t>finish</t>
  </si>
  <si>
    <t>follow</t>
  </si>
  <si>
    <t>form</t>
  </si>
  <si>
    <t>fix</t>
  </si>
  <si>
    <t>guess</t>
  </si>
  <si>
    <t>guide</t>
  </si>
  <si>
    <t>happen</t>
  </si>
  <si>
    <t>help</t>
  </si>
  <si>
    <t>hope</t>
  </si>
  <si>
    <t>imagine</t>
  </si>
  <si>
    <t>improve</t>
  </si>
  <si>
    <t>include</t>
  </si>
  <si>
    <t>increase</t>
  </si>
  <si>
    <t>inform</t>
  </si>
  <si>
    <t>invite</t>
  </si>
  <si>
    <t>join</t>
  </si>
  <si>
    <t>kiss</t>
  </si>
  <si>
    <t>knock</t>
  </si>
  <si>
    <t>laugh</t>
  </si>
  <si>
    <t>learn</t>
  </si>
  <si>
    <t>like</t>
  </si>
  <si>
    <t>listen</t>
  </si>
  <si>
    <t>live</t>
  </si>
  <si>
    <t>look</t>
  </si>
  <si>
    <t>love</t>
  </si>
  <si>
    <t>manage</t>
  </si>
  <si>
    <t>mark</t>
  </si>
  <si>
    <t>measure</t>
  </si>
  <si>
    <t>move</t>
  </si>
  <si>
    <t>need</t>
  </si>
  <si>
    <t>notice</t>
  </si>
  <si>
    <t>offer</t>
  </si>
  <si>
    <t>open</t>
  </si>
  <si>
    <t>order</t>
  </si>
  <si>
    <t>paint</t>
  </si>
  <si>
    <t>pass</t>
  </si>
  <si>
    <t>plan</t>
  </si>
  <si>
    <t>play</t>
  </si>
  <si>
    <t>prefer</t>
  </si>
  <si>
    <t>prepare</t>
  </si>
  <si>
    <t>promise</t>
  </si>
  <si>
    <t>protect</t>
  </si>
  <si>
    <t>pull</t>
  </si>
  <si>
    <t>push</t>
  </si>
  <si>
    <t>rain</t>
  </si>
  <si>
    <t>reach</t>
  </si>
  <si>
    <t>receive</t>
  </si>
  <si>
    <t>remember</t>
  </si>
  <si>
    <t>repeat</t>
  </si>
  <si>
    <t>reply</t>
  </si>
  <si>
    <t>return</t>
  </si>
  <si>
    <t>save</t>
  </si>
  <si>
    <t>seem</t>
  </si>
  <si>
    <t>share</t>
  </si>
  <si>
    <t>smile</t>
  </si>
  <si>
    <t>start</t>
  </si>
  <si>
    <t>stay</t>
  </si>
  <si>
    <t>stop</t>
  </si>
  <si>
    <t>study</t>
  </si>
  <si>
    <t>suggest</t>
  </si>
  <si>
    <t>support</t>
  </si>
  <si>
    <t>talk</t>
  </si>
  <si>
    <t>taste</t>
  </si>
  <si>
    <t>thank</t>
  </si>
  <si>
    <t>travel</t>
  </si>
  <si>
    <t>try</t>
  </si>
  <si>
    <t>turn</t>
  </si>
  <si>
    <t>use</t>
  </si>
  <si>
    <t>visit</t>
  </si>
  <si>
    <t>wait</t>
  </si>
  <si>
    <t>walk</t>
  </si>
  <si>
    <t>want</t>
  </si>
  <si>
    <t>watch</t>
  </si>
  <si>
    <t>work</t>
  </si>
  <si>
    <t>yell</t>
  </si>
  <si>
    <t>the, be, to, of, and, a, in, that, have, i, it, for, not, on, with, he, as, you, do, at, this, but, his, by, from, they, we, say, her, she, or, an, will, my, one, all, would, there, their, what, so, up, out, if, about, who, get, which, go, me, when, make, can, like, time, no, just, him, know, take, people, into, year, your, good, some, could, them, see, other, than, then, now, look, only, come, its, over, think, also, back, after, use, two, how, our, work, first, well, way, even, new, want, because, any, these, give, day, most, us</t>
  </si>
  <si>
    <t>100_words.mp3</t>
  </si>
  <si>
    <t>the, be, to, of, and, a, in, that, have, I, it, for, not, on, with, he, as, you, do, at, this, but, his, by, from, they, we, say, her, she, or, an, will, my, one, all, would, there, their, what, so, up, out, if, about, who, get, which, go, me, when, make, can, like, time, no, just, him, know, take, person, into, year, your, good, some, could, them, see, other, than, then, now, look, only, come, its, over, think, also, back, after, use, two, how, our, work, first, well, way, even, new, want, because, any, each, give, day, most, us, is, are, was, were, been, did, does, doing, had, having, may, might, must, should, shall, here, where, why, again, still, always, never, often, sometimes, very, really, much, many, more, less, few, lot, something, anything, everything, nothing, someone, anyone, everyone, thing, place, man, woman, child, friend, family, job, life, world, today, tomorrow, yesterday, morning, night, moment, point, fact, idea, problem, question, answer, reason, part, end, side, group, number, company, system, program, service, information, money, level, order, change, result, issue, process, story, name, area, line, power, room, home, school, state, country, city, hand, eye, head, face, voice, word, kind, type, law, government, business, market, team, member, leader, manager, worker, customer, user, body, mind, heart, health, care, help, support, control, grow, build, create, start, stop, begin, finish, open, close, move, stay, leave, return, bring, send, call, talk, speak, tell, ask, listen, hear, watch, find, lose, keep, hold, put, set, let, try, need, feel, believe, understand, remember, forget, learn, teach, study, play, run, walk, sit, stand, live, die, eat, drink, sleep, wake, buy, sell, pay, cost, drive, ride, travel, meet, join, share, follow, lead, win, break, fix, improve, develop, plan, decide, choose, agree, accept, refuse, offer, request, allow, prevent, protect, save, risk, succeed, continue</t>
  </si>
  <si>
    <t>300_words.mp3</t>
  </si>
  <si>
    <t>the, of, to, and, a, in, is, it, you, that, he, was, for, on, are, with, as, I, his, they, be, at, one, have, this, from, or, had, by, hot, but, some, what, there, we, can, out, other, were, all, your, when, up, use, word, how, said, an, each, she, which, do, their, time, if, will, way, about, many, then, them, would, write, like, so, these, her, long, make, thing, see, him, two, has, look, more, day, could, go, come, did, my, sound, no, most, number, who, over, know, water, than, call, first, people, may, down, side, been, now, find, boy, did, its, let, put, end, does, another, well, large, must, big, even, such, because, turn, here, why, ask, went, men, read, need, land, different, home, us, move, try, kind, hand, picture, again, change, off, play, spell, air, away, animal, house, point, page, letter, mother, answer, found, study, still, learn, should, America, world, high, every, near, add, food, between, own, below, country, plant, last, school, father, keep, tree, never, start, city, earth, eye, light, thought, head, under, story, saw, left, don’t, few, while, along, might, close, something, seem, next, hard, open, example, begin, life, always, those, both, paper, together, got, group, often, run, important, until, children, side, feet, car, mile, night, walk, white, sea, began, grow, took, river, four, carry, state, once, book, hear, stop, without, second, later, miss, idea, enough, eat, face, watch, far, Indian, real, almost, let, above, girl, sometimes, mountains, cut, young, talk, soon, list, song, being, leave, family, it’s, body, music, color, stand, sun, questions, fish, area, mark, dog, horse, birds, problem, complete, room, knew, since, ever, piece, told, usually, didn’t, friends, easy, heard, order, red, door, sure, become, top, ship, across, today, during, short, better, best, however, low, hours, black, products, happened, whole, measure, remember, early, waves, reached, listen, wind, rock, space, covered, fast, several, hold, himself, toward, five, step, morning, passed, vowel, true, hundred, against, pattern, numeral, table, north, slowly, money, map, farm, pulled, draw, voice, seen, cold, cried, plan, notice, south, sing, war, ground, fall, king, town, I’ll, unit, figure, certain, field, travel, wood, fire, upon, done, English, road, halt, ten, fly, gave, box, finally, wait, correct, oh, quickly, person, became, shown, minutes, strong, verb, stars, front, feel, fact, inches, street, decided, contain, course, surface, produce, building, ocean, class, note, nothing, rest, carefully, scientists, inside, wheels, stay, green, known, island, week, less, machine, base, ago, stood, plane, system, behind, ran, round, boat, game, force, brought, understand, warm, common, bring, explain, dry, though, language, shape, deep, thousands, yes, clear, equation, yet, government, filled, heat, full, hot, check, object, am, rule, among, noun, power, cannot, able, six, size, dark, ball, material, special, heavy, fine, pair, circle, include, built, can’t, matter, square, syllables, perhaps, bill, felt, suddenly, test, direction, center, farmers, ready, anything, divided, general, energy, subject, Europe, moon, region, return, believe, dance, members, picked, simple, cells, paint, mind, love, cause, rain, exercise, eggs, train, blue, wish, drop, developed, window, difference, distance, heart, sit, sum, summer</t>
  </si>
  <si>
    <t>500_words.mp3</t>
  </si>
  <si>
    <t>a, ability, able, about, above, accept, according, account, across, act, action, activity, actually, add, address, administration, admit, adult, affect, after, again, against, age, agency, agent, ago, agree, agreement, ahead, air, all, allow, almost, alone, along, already, also, although, always, American, among, amount, analysis, and, animal, another, answer, any, anyone, anything, appear, apply, approach, area, argue, arm, around, arrive, art, article, artist, as, ask, assume, at, attack, attention, attorney, audience, author, authority, available, avoid, away, baby, back, bad, bag, ball, bank, bar, base, be, beat, beautiful, because, become, bed, before, begin, behavior, behind, believe, benefit, best, better, between, beyond, big, bill, billion, bit, black, blood, blue, board, body, book, born, both, box, boy, break, bring, brother, budget, build, building, business, but, buy, by, call, camera, campaign, can, cancer, candidate, capital, car, card, care, career, carry, case, catch, cause, cell, center, central, century, certain, certainly, chair, challenge, chance, change, character, charge, check, child, choice, choose, church, citizen, city, civil, claim, class, clear, clearly, close, coach, cold, collection, college, color, come, commercial, common, community, company, compare, computer, concern, condition, conference, Congress, consider, consumer, contain, continue, control, cost, could, country, couple, course, court, cover, create, crime, cultural, culture, cup, current, customer, cut, dark, data, daughter, day, dead, deal, death, debate, decade, decide, decision, deep, defense, degree, Democrat, democratic, describe, design, despite, detail, determine, develop, development, die, difference, different, difficult, dinner, direction, director, discover, discuss, discussion, disease, do, doctor, dog, door, down, draw, dream, drive, drop, drug, during, each, early, east, easy, eat, economic, economy, edge, education, effect, effort, eight, either, election, else, employee, end, energy, enjoy, enough, enter, entire, environment, environmental, especially, establish, even, evening, event, ever, every, everybody, everyone, everything, evidence, exactly, example, executive, exist, expect, experience, expert, explain, eye, face, fact, factor, fail, fall, family, far, fast, father, fear, federal, feel, feeling, few, field, fight, figure, fill, film, final, finally, financial, find, fine, finger, finish, fire, firm, first, fish, five, floor, fly, focus, follow, food, foot, for, force, foreign, forget, form, former, forward, four, free, friend, from, front, full, fund, future, game, garden, gas, general, generation, get, girl, give, glass, go, goal, good, government, great, green, ground, group, grow, growth, guess, gun, guy, hair, half, hand, hang, happen, happy, hard, have, he, head, health, hear, heart, heat, heavy, help, her, here, herself, high, him, himself, his, history, hit, hold, home, hope, hospital, hot, hotel, hour, house, how, however, huge, human, hundred, husband, I, idea, identify, if, image, imagine, impact, important, improve, in, include, including, increase, indeed, indicate, individual, industry, information, inside, instead, institution, interest, interesting, international, interview, into, investment, involve, issue, it, item, its, itself, job, join, just, keep, key, kid, kill, kind, kitchen, know, knowledge, land, language, large, last, late, later, laugh, law, lawyer, lay, lead, leader, learn, least, leave, left, leg, legal, less, let, letter, level, lie, life, light, like, likely, line, list, listen, little, live, local, long, look, lose, loss, lot, love, low, machine, magazine, main, maintain, major, majority, make, man, manage, management, manager, many, market, marriage, material, matter, may, maybe, me, mean, measure, media, medical, meet, meeting, member, memory, mention, message, method, middle, might, military, million, mind, minute, miss, mission, model, modern, moment, money, month, more, morning, most, mother, mouth, move, movement, movie, Mr, Mrs, much, music, must, my, myself, name, nation, national, natural, nature, near, nearly, necessary, need, network, never, new, news, newspaper, next, nice, night, no, none, nor, north, not, note, nothing, notice, now, n't, number, occur, of, off, offer, office, officer, official, often, oh, oil, ok, old, on, once, one, only, onto, open, operation, opportunity, option, or, order, organization, other, others, our, out, outside, over, own, owner, page, pain, painting, paper, parent, part, participant, particular, particularly, partner, party, pass, past, patient, pattern, pay, peace, people, per, perform, performance, perhaps, period, person, personal, phone, physical, pick, picture, piece, place, plan, plant, play, player, PM, point, police, policy, political, politics, poor, popular, population, position, positive, possible, power, practice, prepare, present, president, pressure, pretty, prevent, price, private, probably, problem, process, produce, product, production, professional, professor, program, project, property, protect, prove, provide, public, pull, purpose, push, put, quality, question, quickly, quite, race, radio, raise, range, rate, rather, reach, read, ready, real, reality, realize, really, reason, receive, recent, recently, recognize, record, red, reduce, reflect, region, relate, relationship, religious, remain, remember, remove, report, represent, Republican, require, research, resource, respond, response, responsibility, rest, result, return, reveal, rich, right, rise, risk, road, rock, role, room, rule, run, safe, same, save, say, scene, school, science, scientist, score, sea, season, seat, second, section, security, see, seek, seem, sell, send, senior, sense, series, serious, serve, service, set, seven, several, sex, sexual, shake, share, she, shoot, short, shot, should, shoulder, show, side, sign, significant, similar, simple, simply, since, sing, single, sister, sit, site, situation, six, size, skill, skin, small, smile, so, social, society, soldier, some, somebody, someone, something, sometimes, son, song, soon, sort, sound, source, south, southern, space, speak, special, specific, speech, spend, sport, spring, staff, stage, stand, standard, star, start, state, statement, station, stay, step, still, stock, stop, store, story, strategy, street, strong, structure, student, study, stuff, style, subject, success, successful, such, suddenly, suffer, suggest, summer, support, sure, surface, system, table, take, talk, task, tax, teach, teacher, team, technology, television, tell, ten, tend, term, test, than, thank, that, the, their, them, themselves, then, theory, there, these, they, thing, think, third, this, those, though, thought, thousand, threat, three, through, throughout, throw, thus, time, to, today, together, tonight, too, top, total, tough, toward, town, trade, traditional, training, travel, treat, treatment, tree, trial, trip, trouble, true, truth, try, turn, TV, two, type, under, understand, unit, until, up, upon, us, use, usually, value, various, very, victim, view, violence, visit, voice, vote, wait, walk, wall, want, war, watch, water, way, we, weapon, wear, week, weight, well, west, western, what, whatever, when, where, whether, which, while, white, who, whole, whom, whose, why, wide, wife, will, win, wind, window, wish, with, within, without, woman, wonder, word, work, worker, world, worry, would, write, writer, wrong, yard, yeah, year, yes, yet, you, young, your, yourself</t>
  </si>
  <si>
    <t>1000_words.mp3</t>
  </si>
  <si>
    <t>annihilate, destroy</t>
  </si>
  <si>
    <t>amalgamate, combine</t>
  </si>
  <si>
    <t>adjure, request</t>
  </si>
  <si>
    <t>apprehend, arrest</t>
  </si>
  <si>
    <t>apprise, inform</t>
  </si>
  <si>
    <t>appease, pacify</t>
  </si>
  <si>
    <t>beguile, cheat</t>
  </si>
  <si>
    <t>admonish, warn</t>
  </si>
  <si>
    <t>chide, scold</t>
  </si>
  <si>
    <t>clemency, kindness</t>
  </si>
  <si>
    <t>bereft, deprived</t>
  </si>
  <si>
    <t>confound, confuse</t>
  </si>
  <si>
    <t>chastise, punish</t>
  </si>
  <si>
    <t>capitulate, surrender</t>
  </si>
  <si>
    <t>crestfallen, dejected</t>
  </si>
  <si>
    <t>condone, overlook</t>
  </si>
  <si>
    <t>callow, inexperienced</t>
  </si>
  <si>
    <t>deleterious, harmful</t>
  </si>
  <si>
    <t>encomium, praise</t>
  </si>
  <si>
    <t>estranged, separated</t>
  </si>
  <si>
    <t>emulate, imitate</t>
  </si>
  <si>
    <t>effigy, dummy</t>
  </si>
  <si>
    <t>deranged, insane</t>
  </si>
  <si>
    <t>embellish, decorate</t>
  </si>
  <si>
    <t>fiat, command</t>
  </si>
  <si>
    <t>fitful, intermittent</t>
  </si>
  <si>
    <t>foment, instigate</t>
  </si>
  <si>
    <t>flair, talent</t>
  </si>
  <si>
    <t>gratis, free</t>
  </si>
  <si>
    <t>haggle, bargain</t>
  </si>
  <si>
    <t>hoodwink, deceive</t>
  </si>
  <si>
    <t>hamper, impede</t>
  </si>
  <si>
    <t>grouse, complaint</t>
  </si>
  <si>
    <t>humane, kind</t>
  </si>
  <si>
    <t>hearsay, rumour</t>
  </si>
  <si>
    <t>indolent, lazy</t>
  </si>
  <si>
    <t>impeccable, faultless</t>
  </si>
  <si>
    <t>insular, narrow minded</t>
  </si>
  <si>
    <t>innocuous, harmless</t>
  </si>
  <si>
    <t>inordinate, excessive</t>
  </si>
  <si>
    <t>infinitesimal, very small</t>
  </si>
  <si>
    <t>jaded, tired</t>
  </si>
  <si>
    <t>jot, write hurriedly</t>
  </si>
  <si>
    <t>judicious, wise</t>
  </si>
  <si>
    <t>jeopardy, danger</t>
  </si>
  <si>
    <t>jingoism, blind patriotism</t>
  </si>
  <si>
    <t>impending, imminent</t>
  </si>
  <si>
    <t>laconic, brief</t>
  </si>
  <si>
    <t>loathe, hate</t>
  </si>
  <si>
    <t>morose, sullen</t>
  </si>
  <si>
    <t>menace, danger</t>
  </si>
  <si>
    <t>myopic, narrow minded</t>
  </si>
  <si>
    <t>mitigate, lessen</t>
  </si>
  <si>
    <t>mundane, dull</t>
  </si>
  <si>
    <t>mettle, courage</t>
  </si>
  <si>
    <t>nonchalant, unconcerned</t>
  </si>
  <si>
    <t>narcissism, self love</t>
  </si>
  <si>
    <t>nauseous, abominable</t>
  </si>
  <si>
    <t>meticulous, careful</t>
  </si>
  <si>
    <t>macabre, gruesome</t>
  </si>
  <si>
    <t>malinger, pretend to be ill</t>
  </si>
  <si>
    <t>modicum, small amount</t>
  </si>
  <si>
    <t>profane, desecrate</t>
  </si>
  <si>
    <t>pithy, concise</t>
  </si>
  <si>
    <t>pragmatic, practical</t>
  </si>
  <si>
    <t>pernicious, injurious</t>
  </si>
  <si>
    <t>perverse, stubborn</t>
  </si>
  <si>
    <t>ponder, think</t>
  </si>
  <si>
    <t>paucity, scarcity</t>
  </si>
  <si>
    <t>parochial, narrow minded</t>
  </si>
  <si>
    <t>rampart, defensive wall</t>
  </si>
  <si>
    <t>robust, strong</t>
  </si>
  <si>
    <t>raze, destroy completely</t>
  </si>
  <si>
    <t>reprisal, retaliation</t>
  </si>
  <si>
    <t>rancour, bitterness</t>
  </si>
  <si>
    <t>ruthless, pitiless</t>
  </si>
  <si>
    <t>replenish, fill up again</t>
  </si>
  <si>
    <t>supple, flexible</t>
  </si>
  <si>
    <t>slander, defame</t>
  </si>
  <si>
    <t>slender, scanty</t>
  </si>
  <si>
    <t>surmise, guess</t>
  </si>
  <si>
    <t>sedition, rebellion</t>
  </si>
  <si>
    <t>supercilious, arrogant</t>
  </si>
  <si>
    <t>surreptitious, secret</t>
  </si>
  <si>
    <t>tantamount, equal</t>
  </si>
  <si>
    <t>succumb, yield</t>
  </si>
  <si>
    <t>terse, concise</t>
  </si>
  <si>
    <t>succour, aid</t>
  </si>
  <si>
    <t>upbraid, scold</t>
  </si>
  <si>
    <t>vie, compete</t>
  </si>
  <si>
    <t>verity, truth</t>
  </si>
  <si>
    <t>wanton, immoral</t>
  </si>
  <si>
    <t>wreck, destroy</t>
  </si>
  <si>
    <t>wont, habit</t>
  </si>
  <si>
    <t>wean, separate</t>
  </si>
  <si>
    <t>wilful, obstinate</t>
  </si>
  <si>
    <t>wary, careful</t>
  </si>
  <si>
    <t>wrath, anger</t>
  </si>
  <si>
    <t>way-lay, rob</t>
  </si>
  <si>
    <t>zest, enthusiasm</t>
  </si>
  <si>
    <t>brigand, robber</t>
  </si>
  <si>
    <t>callous, heartless</t>
  </si>
  <si>
    <t>castigate, reprimand</t>
  </si>
  <si>
    <t>curb, control</t>
  </si>
  <si>
    <t>disinter, exhume</t>
  </si>
  <si>
    <t>epitome, concise</t>
  </si>
  <si>
    <t>effete, tired</t>
  </si>
  <si>
    <t>evince, show</t>
  </si>
  <si>
    <t>hirsute, hairy</t>
  </si>
  <si>
    <t>heist, robbery</t>
  </si>
  <si>
    <t>forbearance, patience</t>
  </si>
  <si>
    <t>felony, serious crime</t>
  </si>
  <si>
    <t>garrulous, talkative</t>
  </si>
  <si>
    <t>loquacious, talkative</t>
  </si>
  <si>
    <t>magnanimous, generous</t>
  </si>
  <si>
    <t>muddle, confuse</t>
  </si>
  <si>
    <t>mendicant, beggar</t>
  </si>
  <si>
    <t>onus, responsibility</t>
  </si>
  <si>
    <t>matinee, afternoon show</t>
  </si>
  <si>
    <t>puissant, powerful</t>
  </si>
  <si>
    <t>probity, honesty</t>
  </si>
  <si>
    <t>quagmire, marshy land</t>
  </si>
  <si>
    <t>sedate, calm</t>
  </si>
  <si>
    <t>ravenous, very hungry</t>
  </si>
  <si>
    <t>sleuth, detective</t>
  </si>
  <si>
    <t>stalemate, deadlock</t>
  </si>
  <si>
    <t>impasse, deadlock</t>
  </si>
  <si>
    <t>sobriquet, nickname</t>
  </si>
  <si>
    <t>tumble, collapse</t>
  </si>
  <si>
    <t>undermine, weaken</t>
  </si>
  <si>
    <t>vestige, remains</t>
  </si>
  <si>
    <t>vertigo, giddiness</t>
  </si>
  <si>
    <t>turgid, swollen</t>
  </si>
  <si>
    <t>shirk, avoid doing duty</t>
  </si>
  <si>
    <t>rumpus, uproar</t>
  </si>
  <si>
    <t>misdemeanour, offence</t>
  </si>
  <si>
    <t>obdurate, stubborn</t>
  </si>
  <si>
    <t>mete, distribute</t>
  </si>
  <si>
    <t>jitters, nervousness</t>
  </si>
  <si>
    <t>latent, hidden</t>
  </si>
  <si>
    <t>forthright, frank</t>
  </si>
  <si>
    <t>headstrong, stubborn</t>
  </si>
  <si>
    <t>gaffe, blunder</t>
  </si>
  <si>
    <t>ebullient, energetic</t>
  </si>
  <si>
    <t>enervated, exhausted</t>
  </si>
  <si>
    <t>enigma, puzzle</t>
  </si>
  <si>
    <t>flay, criticise</t>
  </si>
  <si>
    <t>flinch, hesitate</t>
  </si>
  <si>
    <t>exasperate, irritate</t>
  </si>
  <si>
    <t>vanquish, defeat</t>
  </si>
  <si>
    <t>cantankerous, irritable</t>
  </si>
  <si>
    <t>irascible, irritable</t>
  </si>
  <si>
    <t>crotchety, irritable</t>
  </si>
  <si>
    <t>vituperate, insult</t>
  </si>
  <si>
    <t>tutelage, protection</t>
  </si>
  <si>
    <t>venerate, respect</t>
  </si>
  <si>
    <t>vogue, fashion</t>
  </si>
  <si>
    <t>wary, cautious</t>
  </si>
  <si>
    <t>vilify, defame</t>
  </si>
  <si>
    <t>vindicate, acquit</t>
  </si>
  <si>
    <t>exonerate, acquit</t>
  </si>
  <si>
    <t>exculpate, acquit</t>
  </si>
  <si>
    <t>absolve, acquit</t>
  </si>
  <si>
    <t>tantalise, tease</t>
  </si>
  <si>
    <t>savvy, understand</t>
  </si>
  <si>
    <t>apprehend, understand</t>
  </si>
  <si>
    <t>simon-pure, genuine</t>
  </si>
  <si>
    <t>satiate, satisfy</t>
  </si>
  <si>
    <t>gratify, satisfy</t>
  </si>
  <si>
    <t>sanguine, optimistic</t>
  </si>
  <si>
    <t>salubrious, healthy</t>
  </si>
  <si>
    <t>salacious, obscene</t>
  </si>
  <si>
    <t>sultry, hot and humid</t>
  </si>
  <si>
    <t>torrid, extremely hot</t>
  </si>
  <si>
    <t>tedious, tiresome</t>
  </si>
  <si>
    <t>tempest, a violent storm</t>
  </si>
  <si>
    <t>surreal, unusual</t>
  </si>
  <si>
    <t>sundry, miscellaneous</t>
  </si>
  <si>
    <t>motley, miscellaneous</t>
  </si>
  <si>
    <t>surfeit, abundant</t>
  </si>
  <si>
    <t>ribald, vulgar</t>
  </si>
  <si>
    <t>reiterate, repeat</t>
  </si>
  <si>
    <t>ransack, rob</t>
  </si>
  <si>
    <t>plunder, rob</t>
  </si>
  <si>
    <t>pillage, rob</t>
  </si>
  <si>
    <t>rescind, cancel</t>
  </si>
  <si>
    <t>annul, cancel</t>
  </si>
  <si>
    <t>repeal, cancel</t>
  </si>
  <si>
    <t>abrogate, revoke</t>
  </si>
  <si>
    <t>resilient, flexible</t>
  </si>
  <si>
    <t>pusillanimous, cowardly</t>
  </si>
  <si>
    <t>puerile, childish</t>
  </si>
  <si>
    <t>promulgate, proclaim</t>
  </si>
  <si>
    <t>placid, calm</t>
  </si>
  <si>
    <t>pilferage, steal</t>
  </si>
  <si>
    <t>penitence, regret</t>
  </si>
  <si>
    <t>outré, unusual</t>
  </si>
  <si>
    <t>augment, increase</t>
  </si>
  <si>
    <t>befuddled, confused</t>
  </si>
  <si>
    <t>camaraderie, friendship</t>
  </si>
  <si>
    <t>bawdy, vulgar</t>
  </si>
  <si>
    <t>camouflage, disguise</t>
  </si>
  <si>
    <t>cardinal, basic</t>
  </si>
  <si>
    <t>cascade, waterfall</t>
  </si>
  <si>
    <t>paltry, worthless</t>
  </si>
  <si>
    <t>pertinacious, determined</t>
  </si>
  <si>
    <t>parsimonious, stingy</t>
  </si>
  <si>
    <t>lugubrious, sad</t>
  </si>
  <si>
    <t>moot, controversial</t>
  </si>
  <si>
    <t>moribund, dying</t>
  </si>
  <si>
    <t>masticate, chew</t>
  </si>
  <si>
    <t>irk, annoy</t>
  </si>
  <si>
    <t>kindle, ignite</t>
  </si>
  <si>
    <t>niggard, miser</t>
  </si>
  <si>
    <t>ostentatious, showy</t>
  </si>
  <si>
    <t>obstreperous, noisy</t>
  </si>
  <si>
    <t>quibble, argue</t>
  </si>
  <si>
    <t>prattle, chatter</t>
  </si>
  <si>
    <t>nettle, irritate</t>
  </si>
  <si>
    <t>nebulous, unclear</t>
  </si>
  <si>
    <t>vague, unclear</t>
  </si>
  <si>
    <t>nepotism, favouritism</t>
  </si>
  <si>
    <t>obfuscate, confuse</t>
  </si>
  <si>
    <t>malady, disease</t>
  </si>
  <si>
    <t>libidinous, lustful</t>
  </si>
  <si>
    <t>lascivious, lustful</t>
  </si>
  <si>
    <t>lewd, lustful</t>
  </si>
  <si>
    <t>ludicrous, illogical</t>
  </si>
  <si>
    <t>preposterous, illogical</t>
  </si>
  <si>
    <t>asinine, illogical</t>
  </si>
  <si>
    <t>iota, small amount</t>
  </si>
  <si>
    <t>inveigle, persuade</t>
  </si>
  <si>
    <t>intrepid, fearless</t>
  </si>
  <si>
    <t>intimidate, frighten</t>
  </si>
  <si>
    <t>conspicuous, visible</t>
  </si>
  <si>
    <t>mayhem, chaos</t>
  </si>
  <si>
    <t>pandemonium, uproar</t>
  </si>
  <si>
    <t>bedlam, uproar</t>
  </si>
  <si>
    <t>inebriate, drunk</t>
  </si>
  <si>
    <t>insipid, boring</t>
  </si>
  <si>
    <t>subterranean, secret</t>
  </si>
  <si>
    <t>inscrutable, enigmatic</t>
  </si>
  <si>
    <t>copious, abundant</t>
  </si>
  <si>
    <t>cordial, friendly</t>
  </si>
  <si>
    <t>affable, friendly</t>
  </si>
  <si>
    <t>contort, twist</t>
  </si>
  <si>
    <t>burlesque, mock</t>
  </si>
  <si>
    <t>compendium, summary</t>
  </si>
  <si>
    <t>cataclysm, disaster</t>
  </si>
  <si>
    <t>catastrophe, disaster</t>
  </si>
  <si>
    <t>bandit, robber</t>
  </si>
  <si>
    <t>boisterous, noisy</t>
  </si>
  <si>
    <t>colossal, huge</t>
  </si>
  <si>
    <t>abominate, hate</t>
  </si>
  <si>
    <t>execrate, hate</t>
  </si>
  <si>
    <t>abhor, hate</t>
  </si>
  <si>
    <t>expiate, make amends</t>
  </si>
  <si>
    <t>expatiate, elaborate</t>
  </si>
  <si>
    <t>expatriate, deport</t>
  </si>
  <si>
    <t>equivocal, ambiguous</t>
  </si>
  <si>
    <t>avarice, greed</t>
  </si>
  <si>
    <t>assay, evaluate</t>
  </si>
  <si>
    <t>audacious, fearless</t>
  </si>
  <si>
    <t>baffle, confuse</t>
  </si>
  <si>
    <t>avow, declare</t>
  </si>
  <si>
    <t>eulogy, praise</t>
  </si>
  <si>
    <t>estrange, alienate</t>
  </si>
  <si>
    <t>ephemeral, momentary</t>
  </si>
  <si>
    <t>transitory, momentary</t>
  </si>
  <si>
    <t>transient, momentary</t>
  </si>
  <si>
    <t>exigency, emergency</t>
  </si>
  <si>
    <t>expostulate, protest</t>
  </si>
  <si>
    <t>entice, lure</t>
  </si>
  <si>
    <t>enthrall, fascinate</t>
  </si>
  <si>
    <t>engender, produce</t>
  </si>
  <si>
    <t>dupe, deceive</t>
  </si>
  <si>
    <t>swindle, deceive</t>
  </si>
  <si>
    <t>take to task, scold</t>
  </si>
  <si>
    <t>flabbergast, astonish</t>
  </si>
  <si>
    <t>startle, surprise</t>
  </si>
  <si>
    <t>hiatus, interval</t>
  </si>
  <si>
    <t>hoodlum, criminal</t>
  </si>
  <si>
    <t>delinquent, criminal</t>
  </si>
  <si>
    <t>ennui, boredom</t>
  </si>
  <si>
    <t>frigid, very cold</t>
  </si>
  <si>
    <t>euphoria, happiness</t>
  </si>
  <si>
    <t>fecund, fertile</t>
  </si>
  <si>
    <t>gainsay, deny</t>
  </si>
  <si>
    <t>lopsided, unbalanced</t>
  </si>
  <si>
    <t>proliferate, grow rapidly</t>
  </si>
  <si>
    <t>squabble, quarrel</t>
  </si>
  <si>
    <t>spurious, fake</t>
  </si>
  <si>
    <t>prodigal, extravagant</t>
  </si>
  <si>
    <t>preclude, prevent</t>
  </si>
  <si>
    <t>perturbed, worried</t>
  </si>
  <si>
    <t>agony, extreme pain</t>
  </si>
  <si>
    <t>conducive, favourable</t>
  </si>
  <si>
    <t>assimilate, absorb</t>
  </si>
  <si>
    <t>discern, perceive</t>
  </si>
  <si>
    <t>pauper, extremely poor</t>
  </si>
  <si>
    <t>dissemble, pretend</t>
  </si>
  <si>
    <t>despondent, unhappy</t>
  </si>
  <si>
    <t>impertinent, rude</t>
  </si>
  <si>
    <t>haughty, arrogant</t>
  </si>
  <si>
    <t>bolster, strengthen</t>
  </si>
  <si>
    <t>emancipate, liberate</t>
  </si>
  <si>
    <t>labyrinth, maze</t>
  </si>
  <si>
    <t>embolden, encourage</t>
  </si>
  <si>
    <t>uphold, defend</t>
  </si>
  <si>
    <t>exacerbate, aggravate</t>
  </si>
  <si>
    <t>divulgate, uncover</t>
  </si>
  <si>
    <t>concord, agreement</t>
  </si>
  <si>
    <t>indomitable, invincible</t>
  </si>
  <si>
    <t>extraneous, irrelevant</t>
  </si>
  <si>
    <t>scuttle, destroy</t>
  </si>
  <si>
    <t>upshot, outcome</t>
  </si>
  <si>
    <t>sabotage, damage</t>
  </si>
  <si>
    <t>addle, confuse</t>
  </si>
  <si>
    <t>vociferous, loud</t>
  </si>
  <si>
    <t>beleaguer, harass</t>
  </si>
  <si>
    <t>opulent, luxurious</t>
  </si>
  <si>
    <t>adulation, praise</t>
  </si>
  <si>
    <t>odious, hateful</t>
  </si>
  <si>
    <t>ameliorate, improve</t>
  </si>
  <si>
    <t>plausible, believable</t>
  </si>
  <si>
    <t>blatant, obvious</t>
  </si>
  <si>
    <t>repudiate, reject</t>
  </si>
  <si>
    <t>huddle, crowd</t>
  </si>
  <si>
    <t>inundate, drown</t>
  </si>
  <si>
    <t>diabolic, evil</t>
  </si>
  <si>
    <t>exuberant, energetic</t>
  </si>
  <si>
    <t>explicable, explainable</t>
  </si>
  <si>
    <t>stagger, falter</t>
  </si>
  <si>
    <t>perseverance, dedication</t>
  </si>
  <si>
    <t>evince, manifest</t>
  </si>
  <si>
    <t>adversary, opponent</t>
  </si>
  <si>
    <t>recrimination, allegation</t>
  </si>
  <si>
    <t>entail, necessitate</t>
  </si>
  <si>
    <t>impetus, stimulant</t>
  </si>
  <si>
    <t>undue, excessive</t>
  </si>
  <si>
    <t>penurious, very poor</t>
  </si>
  <si>
    <t>turpitude, corruption</t>
  </si>
  <si>
    <t>byzantine, intricate</t>
  </si>
  <si>
    <t>expunge, delete</t>
  </si>
  <si>
    <t>besmirch, defame</t>
  </si>
  <si>
    <t>tenebrous, shadowy</t>
  </si>
  <si>
    <t>stratum, layer</t>
  </si>
  <si>
    <t>pervasive, widespread</t>
  </si>
  <si>
    <t>rife, widespread</t>
  </si>
  <si>
    <t>ubiquitous, widespread</t>
  </si>
  <si>
    <t>recalcitrant, stubborn</t>
  </si>
  <si>
    <t>affront, insult</t>
  </si>
  <si>
    <t>abjure, give up</t>
  </si>
  <si>
    <t>denounce, criticize</t>
  </si>
  <si>
    <t>renounce, give up</t>
  </si>
  <si>
    <t>bizarre, unusual</t>
  </si>
  <si>
    <t>aversion, dislike</t>
  </si>
  <si>
    <t>nudge, push slightly</t>
  </si>
  <si>
    <t>allegiance, loyalty</t>
  </si>
  <si>
    <t>vindictive, revengeful</t>
  </si>
  <si>
    <t>magnanimity, generosity</t>
  </si>
  <si>
    <t>opprobrium, criticism</t>
  </si>
  <si>
    <t>pedagogue, teacher</t>
  </si>
  <si>
    <t>panegyric, praise</t>
  </si>
  <si>
    <t>penchant, liking for</t>
  </si>
  <si>
    <t>perfidious, faithless</t>
  </si>
  <si>
    <t>pernicious, harmful</t>
  </si>
  <si>
    <t>petulant, peevish</t>
  </si>
  <si>
    <t>phlegmatic, unemotional</t>
  </si>
  <si>
    <t>privy, private</t>
  </si>
  <si>
    <t>quaff, drink deeply</t>
  </si>
  <si>
    <t>quaint, unusual</t>
  </si>
  <si>
    <t>quandary, dilemma</t>
  </si>
  <si>
    <t>raconteur, story teller</t>
  </si>
  <si>
    <t>rampant, widespread</t>
  </si>
  <si>
    <t>rancour, enmity</t>
  </si>
  <si>
    <t>refurbish, renovate</t>
  </si>
  <si>
    <t>relinquish, abandon</t>
  </si>
  <si>
    <t>reprehend, criticize</t>
  </si>
  <si>
    <t>comprehend, understand</t>
  </si>
  <si>
    <t>resplendent, shinning</t>
  </si>
  <si>
    <t>rudimentary, elementary</t>
  </si>
  <si>
    <t>saunter, stroll</t>
  </si>
  <si>
    <t>scurrilous, vulgar</t>
  </si>
  <si>
    <t>sequester, separate</t>
  </si>
  <si>
    <t>skeptic, doubter</t>
  </si>
  <si>
    <t>soporific, causing sleep</t>
  </si>
  <si>
    <t>sovereign, supreme</t>
  </si>
  <si>
    <t>squalid, filthy</t>
  </si>
  <si>
    <t>stagnant, motionless</t>
  </si>
  <si>
    <t>stymie, obstruct</t>
  </si>
  <si>
    <t>timorous, timid</t>
  </si>
  <si>
    <t>tractable, easily managed</t>
  </si>
  <si>
    <t>trepidation, uneasiness</t>
  </si>
  <si>
    <t>tyranny, dictatorship</t>
  </si>
  <si>
    <t>urbane, uncultured</t>
  </si>
  <si>
    <t>variegated, multi-coloured</t>
  </si>
  <si>
    <t>venison, meat of a deer</t>
  </si>
  <si>
    <t>vociferous, noisy</t>
  </si>
  <si>
    <t>zealot, fanatic</t>
  </si>
  <si>
    <t>zephyr, breeze</t>
  </si>
  <si>
    <t>liaison, connection</t>
  </si>
  <si>
    <t>lithe, supple</t>
  </si>
  <si>
    <t>mandate, order</t>
  </si>
  <si>
    <t>mien, demeanour</t>
  </si>
  <si>
    <t>mundane, ordinary</t>
  </si>
  <si>
    <t>neophyte, beginner</t>
  </si>
  <si>
    <t>nugatory, futile</t>
  </si>
  <si>
    <t>obliterate, destroy</t>
  </si>
  <si>
    <t>innate, inborn</t>
  </si>
  <si>
    <t>inadvertent, unintentional</t>
  </si>
  <si>
    <t>iniquitous, unjust</t>
  </si>
  <si>
    <t>glutton, overeater</t>
  </si>
  <si>
    <t>hapless, unlucky</t>
  </si>
  <si>
    <t>hubris, arrogance</t>
  </si>
  <si>
    <t>imminent, impending</t>
  </si>
  <si>
    <t>connoisseur, expert</t>
  </si>
  <si>
    <t>contrite, regretful</t>
  </si>
  <si>
    <t>conundrum, puzzle</t>
  </si>
  <si>
    <t>corroborate, confirm</t>
  </si>
  <si>
    <t>dauntless, fearless</t>
  </si>
  <si>
    <t>decry, condemn openly</t>
  </si>
  <si>
    <t>demur, hesitate</t>
  </si>
  <si>
    <t>diatribe, abusive speech</t>
  </si>
  <si>
    <t>dilettante, amateur</t>
  </si>
  <si>
    <t>disinterested, unbiased</t>
  </si>
  <si>
    <t>duress, imprisonment</t>
  </si>
  <si>
    <t>conclave, private meeting</t>
  </si>
  <si>
    <t>cogitate, ponder</t>
  </si>
  <si>
    <t>circumspect, careful</t>
  </si>
  <si>
    <t>archetype, prototype</t>
  </si>
  <si>
    <t>attenuate, weaken</t>
  </si>
  <si>
    <t>avarice, greediness</t>
  </si>
  <si>
    <t>bode, foretell</t>
  </si>
  <si>
    <t>boor, rude person</t>
  </si>
  <si>
    <t>bastion, fortified place</t>
  </si>
  <si>
    <t>burgeon, grow rapidly</t>
  </si>
  <si>
    <t>burly, muscular</t>
  </si>
  <si>
    <t>chafe, annoy</t>
  </si>
  <si>
    <t>thespian, actor/actress</t>
  </si>
  <si>
    <t>peremptory, mandatory</t>
  </si>
  <si>
    <t>dither, hesitate</t>
  </si>
  <si>
    <t>daft, foolish</t>
  </si>
  <si>
    <t>gripe, complain</t>
  </si>
  <si>
    <t>defile, disrespect</t>
  </si>
  <si>
    <t>noisome, fetid</t>
  </si>
  <si>
    <t>penultimate, second last</t>
  </si>
  <si>
    <t>momentous, important</t>
  </si>
  <si>
    <t>euphemism, polite term</t>
  </si>
  <si>
    <t>encroachment, intrusion</t>
  </si>
  <si>
    <t>ebb, grow weak</t>
  </si>
  <si>
    <t>eavesdrop, listen secretly</t>
  </si>
  <si>
    <t>morass, marshy land</t>
  </si>
  <si>
    <t>swamp, marshy land</t>
  </si>
  <si>
    <t>aggrandize, praise</t>
  </si>
  <si>
    <t>acerbic, bitter</t>
  </si>
  <si>
    <t>impervious, waterproof</t>
  </si>
  <si>
    <t>chagrin, anger</t>
  </si>
  <si>
    <t>stodgy, dull</t>
  </si>
  <si>
    <t>abridge, reduce</t>
  </si>
  <si>
    <t>snoop, spy</t>
  </si>
  <si>
    <t>envisage, predict</t>
  </si>
  <si>
    <t>spike, increase suddenly</t>
  </si>
  <si>
    <t>flak, criticism</t>
  </si>
  <si>
    <t>plush, lavish</t>
  </si>
  <si>
    <t>teeter, falter</t>
  </si>
  <si>
    <t>incumbent, necessary</t>
  </si>
  <si>
    <t>tidings, information</t>
  </si>
  <si>
    <t>diagnosis, identification</t>
  </si>
  <si>
    <t>prognosis, prediction</t>
  </si>
  <si>
    <t>hang fire, delay</t>
  </si>
  <si>
    <t>project, forecast</t>
  </si>
  <si>
    <t>groovy, very good</t>
  </si>
  <si>
    <t>give voice to, express</t>
  </si>
  <si>
    <t>take on, accept</t>
  </si>
  <si>
    <t>come down, scold</t>
  </si>
  <si>
    <t>apocalyptic, disastrous</t>
  </si>
  <si>
    <t>animated, energetic</t>
  </si>
  <si>
    <t>outweigh, greater than</t>
  </si>
  <si>
    <t>hostage, prisoner</t>
  </si>
  <si>
    <t>sage, erudite</t>
  </si>
  <si>
    <t>unenviable, undesirable</t>
  </si>
  <si>
    <t>scupper, ruin</t>
  </si>
  <si>
    <t>woebegone, sad</t>
  </si>
  <si>
    <t>palliate, alleviate</t>
  </si>
  <si>
    <t>repine, lament</t>
  </si>
  <si>
    <t>fractious, quarrelsome</t>
  </si>
  <si>
    <t>staunch, loyal</t>
  </si>
  <si>
    <t>tacit, understood</t>
  </si>
  <si>
    <t>consensus, agreement</t>
  </si>
  <si>
    <t>doleful, sad</t>
  </si>
  <si>
    <t>ignominy, disgrace</t>
  </si>
  <si>
    <t>reticule, a lady’s purse</t>
  </si>
  <si>
    <t>parasol, a lady’s umbrella</t>
  </si>
  <si>
    <t>gracious, kind</t>
  </si>
  <si>
    <t>skirmish, quarrel</t>
  </si>
  <si>
    <t>cull, choose</t>
  </si>
  <si>
    <t>dilatory, sluggish</t>
  </si>
  <si>
    <t>insouciant, unworried</t>
  </si>
  <si>
    <t>vanquish, conquer</t>
  </si>
  <si>
    <t>sojourn, stay temporarily</t>
  </si>
  <si>
    <t>infringe, breach</t>
  </si>
  <si>
    <t>plucky, courageous</t>
  </si>
  <si>
    <t>addle, confused</t>
  </si>
  <si>
    <t>littoral, coastal</t>
  </si>
  <si>
    <t>melee, fray</t>
  </si>
  <si>
    <t>abysmal, extremely bad</t>
  </si>
  <si>
    <t>sway, bend</t>
  </si>
  <si>
    <t>contract, become ill</t>
  </si>
  <si>
    <t>mountebank, charlatan</t>
  </si>
  <si>
    <t>sequester, seize</t>
  </si>
  <si>
    <t>jingoist, chauvinism</t>
  </si>
  <si>
    <t>tussle, conflict</t>
  </si>
  <si>
    <t>dichotomy, contradiction</t>
  </si>
  <si>
    <t>nostrum, remedy</t>
  </si>
  <si>
    <t>coruscate, sparkle</t>
  </si>
  <si>
    <t>confabulate, chat</t>
  </si>
  <si>
    <t>perambulate, roam</t>
  </si>
  <si>
    <t>troth, oath</t>
  </si>
  <si>
    <t>stride, walk with long steps</t>
  </si>
  <si>
    <t>plod, walk with slow steps</t>
  </si>
  <si>
    <t>blindside, surprise</t>
  </si>
  <si>
    <t>ingenious, clever</t>
  </si>
  <si>
    <t>ingenuous, innocent</t>
  </si>
  <si>
    <t>proscribe, prohibit</t>
  </si>
  <si>
    <t>politic, prudent</t>
  </si>
  <si>
    <t>soar, fly</t>
  </si>
  <si>
    <t>soar, increase</t>
  </si>
  <si>
    <t>hallowed, sacred</t>
  </si>
  <si>
    <t>irruption, attack</t>
  </si>
  <si>
    <t>deify, worship</t>
  </si>
  <si>
    <t>defy, violate</t>
  </si>
  <si>
    <t>conscientious, honest</t>
  </si>
  <si>
    <t>drey, squirrel’s home</t>
  </si>
  <si>
    <t>flaccid, soft</t>
  </si>
  <si>
    <t>zonked, tired</t>
  </si>
  <si>
    <t>multitude, crowd</t>
  </si>
  <si>
    <t>inertia, inactiveness</t>
  </si>
  <si>
    <t>pathos, sadness</t>
  </si>
  <si>
    <t>perdurable, long lasting</t>
  </si>
  <si>
    <t>listless, unenergetic</t>
  </si>
  <si>
    <t>presumptuous, arrogant</t>
  </si>
  <si>
    <t>beleaguer, surround</t>
  </si>
  <si>
    <t>besiege, surround</t>
  </si>
  <si>
    <t>overweening, arrogant</t>
  </si>
  <si>
    <t>ruck, crowd</t>
  </si>
  <si>
    <t>provender, fodder</t>
  </si>
  <si>
    <t>babel, clamour</t>
  </si>
  <si>
    <t>apparition, spirit</t>
  </si>
  <si>
    <t>sordid, unethical</t>
  </si>
  <si>
    <t>get around, avoid</t>
  </si>
  <si>
    <t>shore up, support</t>
  </si>
  <si>
    <t>nig-nog, fool</t>
  </si>
  <si>
    <t>hysteria, madness</t>
  </si>
  <si>
    <t>interdict, prohibit</t>
  </si>
  <si>
    <t>succulent, juicy</t>
  </si>
  <si>
    <t>meretricious, gaudy</t>
  </si>
  <si>
    <t>beagle, hound</t>
  </si>
  <si>
    <t>nauseous, loathsome</t>
  </si>
  <si>
    <t>gumption, prudence</t>
  </si>
  <si>
    <t>tenuous, thin</t>
  </si>
  <si>
    <t>trepidation, nervousness</t>
  </si>
  <si>
    <t>reparation, compensation</t>
  </si>
  <si>
    <t>make after, chase</t>
  </si>
  <si>
    <t>exegesis, explanation</t>
  </si>
  <si>
    <t>harrowing, frightening</t>
  </si>
  <si>
    <t>mingy, mean</t>
  </si>
  <si>
    <t>nincompoop, fool</t>
  </si>
  <si>
    <t>pellucid, transparent</t>
  </si>
  <si>
    <t>pellucid, understandable</t>
  </si>
  <si>
    <t>savant, scholar</t>
  </si>
  <si>
    <t>ravish, enthrall</t>
  </si>
  <si>
    <t>on the qui vive, attentive</t>
  </si>
  <si>
    <t>glum, sad</t>
  </si>
  <si>
    <t>trousseau, bride’s outfit</t>
  </si>
  <si>
    <t>torrent, heavy rain</t>
  </si>
  <si>
    <t>downpour, heavy rain</t>
  </si>
  <si>
    <t>stalwart, faithful</t>
  </si>
  <si>
    <t>comeuppance, punishment</t>
  </si>
  <si>
    <t>treason, sedition</t>
  </si>
  <si>
    <t>sturdy, robust</t>
  </si>
  <si>
    <t>tepid, lukewarm</t>
  </si>
  <si>
    <t>backdrop, circumstance</t>
  </si>
  <si>
    <t>monday, tuesday, wednesday, thursday, friday, saturday, sunday</t>
  </si>
  <si>
    <t>days.mp3</t>
  </si>
  <si>
    <t>january, february, march, april, may, june, july, august, september, october, november, december</t>
  </si>
  <si>
    <t>months.mp3</t>
  </si>
  <si>
    <t>circle, square, rectangle, triangle, oval, pentagon, hexagon, heptagon, octagon, nonagon, decagon, star, heart, diamond, cube, sphere, cylinder, cone, pyramid</t>
  </si>
  <si>
    <t>shapes.mp3</t>
  </si>
  <si>
    <t>zero, one, two, three, four, five, six, seven, eight, nine, ten, eleven, twelve, thirteen, fourteen, fifteen, sixteen, seventeen, eighteen, nineteen, twenty, thirty, forty, fifty, sixty, seventy, eighty, ninety, one hundred, one thousand</t>
  </si>
  <si>
    <t>numbers.mp3</t>
  </si>
  <si>
    <t>a, b, c, d, e, f, g, h, i, j, k, l, m, n, o, p, q, r, s, t, u, v, w, x, y, z</t>
  </si>
  <si>
    <t>alphabet.mp3</t>
  </si>
  <si>
    <t>spring, summer, autumn, winter</t>
  </si>
  <si>
    <t>seasons.mp3</t>
  </si>
  <si>
    <t>sunny, cloudy, rainy, stormy, windy, snowy, foggy, humid, dry, hot, cold, freezing, warm, breezy, overcast, drizzle, thunder, lightning, hail</t>
  </si>
  <si>
    <t>weather.mp3</t>
  </si>
  <si>
    <t>birthday, wedding, anniversary, graduation, christmas, easter, halloween, new year, valentine's day, thanksgiving, carnival, festival, party, ceremony</t>
  </si>
  <si>
    <t>celebrations.mp3</t>
  </si>
  <si>
    <t>second, minute, hour, day, week, month, year, decade, century, millennium, morning, afternoon, evening, night, midnight, noon</t>
  </si>
  <si>
    <t>time.mp3</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</si>
</sst>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2.0"/>
      <color theme="1"/>
      <name val="Times"/>
    </font>
    <font>
      <sz val="11.0"/>
      <color theme="1"/>
      <name val="Calibri"/>
    </font>
    <font>
      <sz val="12.0"/>
      <color theme="1"/>
      <name val="Times"/>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xf>
    <xf borderId="0" fillId="0" fontId="2" numFmtId="0" xfId="0" applyFont="1"/>
    <xf borderId="0" fillId="0" fontId="3" numFmtId="49" xfId="0" applyAlignment="1" applyFont="1" applyNumberFormat="1">
      <alignment horizontal="center" shrinkToFit="0" wrapText="1"/>
    </xf>
    <xf borderId="0" fillId="0" fontId="4" numFmtId="0" xfId="0" applyAlignment="1" applyFont="1">
      <alignment readingOrder="0"/>
    </xf>
    <xf borderId="0" fillId="0" fontId="1" numFmtId="0" xfId="0" applyAlignment="1" applyFont="1">
      <alignment horizontal="center" shrinkToFit="0" wrapText="1"/>
    </xf>
    <xf borderId="0" fillId="0" fontId="4" numFmtId="0" xfId="0" applyFont="1"/>
    <xf borderId="0" fillId="0" fontId="4"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1.29"/>
    <col customWidth="1" min="3" max="3" width="21.43"/>
    <col customWidth="1" min="4" max="4" width="10.71"/>
    <col customWidth="1" min="5" max="5" width="15.29"/>
    <col customWidth="1" min="6" max="26" width="10.71"/>
  </cols>
  <sheetData>
    <row r="1">
      <c r="A1" s="1" t="s">
        <v>0</v>
      </c>
      <c r="B1" s="1" t="s">
        <v>1</v>
      </c>
      <c r="C1" s="2" t="s">
        <v>2</v>
      </c>
      <c r="D1" s="2" t="s">
        <v>3</v>
      </c>
      <c r="E1" s="2" t="s">
        <v>4</v>
      </c>
      <c r="F1" s="2" t="s">
        <v>5</v>
      </c>
      <c r="G1" s="2" t="s">
        <v>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86"/>
    <col customWidth="1" min="3" max="3" width="36.0"/>
    <col customWidth="1" min="4" max="5" width="35.0"/>
    <col customWidth="1" min="6" max="6" width="12.14"/>
    <col customWidth="1" min="7" max="8" width="17.43"/>
  </cols>
  <sheetData>
    <row r="1" ht="14.25" customHeight="1">
      <c r="A1" s="1" t="s">
        <v>0</v>
      </c>
      <c r="B1" s="1" t="s">
        <v>7</v>
      </c>
      <c r="C1" s="1" t="s">
        <v>1</v>
      </c>
      <c r="D1" s="2" t="s">
        <v>2</v>
      </c>
      <c r="E1" s="2" t="s">
        <v>3</v>
      </c>
      <c r="F1" s="2" t="s">
        <v>4</v>
      </c>
      <c r="G1" s="2" t="s">
        <v>5</v>
      </c>
      <c r="H1" s="2" t="s">
        <v>6</v>
      </c>
    </row>
    <row r="2" ht="14.25" customHeight="1">
      <c r="A2" s="1">
        <v>138.0</v>
      </c>
      <c r="B2" s="1">
        <v>12.0</v>
      </c>
      <c r="C2" s="3" t="s">
        <v>8</v>
      </c>
      <c r="D2" s="3" t="s">
        <v>9</v>
      </c>
      <c r="F2" s="3" t="str">
        <f t="shared" ref="F2:F28" si="1">CONCAT(A2,".mp3")</f>
        <v>138.mp3</v>
      </c>
      <c r="H2" s="4" t="s">
        <v>10</v>
      </c>
    </row>
    <row r="3" ht="14.25" customHeight="1">
      <c r="A3" s="1">
        <v>139.0</v>
      </c>
      <c r="B3" s="1">
        <v>12.0</v>
      </c>
      <c r="C3" s="3" t="s">
        <v>11</v>
      </c>
      <c r="D3" s="3" t="s">
        <v>12</v>
      </c>
      <c r="F3" s="3" t="str">
        <f t="shared" si="1"/>
        <v>139.mp3</v>
      </c>
      <c r="H3" s="4" t="s">
        <v>10</v>
      </c>
    </row>
    <row r="4" ht="14.25" customHeight="1">
      <c r="A4" s="1">
        <v>140.0</v>
      </c>
      <c r="B4" s="1">
        <v>12.0</v>
      </c>
      <c r="C4" s="3" t="s">
        <v>13</v>
      </c>
      <c r="D4" s="3" t="s">
        <v>14</v>
      </c>
      <c r="F4" s="3" t="str">
        <f t="shared" si="1"/>
        <v>140.mp3</v>
      </c>
      <c r="H4" s="4" t="s">
        <v>10</v>
      </c>
    </row>
    <row r="5" ht="14.25" customHeight="1">
      <c r="A5" s="1">
        <v>141.0</v>
      </c>
      <c r="B5" s="1">
        <v>12.0</v>
      </c>
      <c r="C5" s="3" t="s">
        <v>15</v>
      </c>
      <c r="D5" s="3" t="s">
        <v>16</v>
      </c>
      <c r="F5" s="3" t="str">
        <f t="shared" si="1"/>
        <v>141.mp3</v>
      </c>
      <c r="H5" s="4" t="s">
        <v>10</v>
      </c>
    </row>
    <row r="6" ht="14.25" customHeight="1">
      <c r="A6" s="1">
        <v>142.0</v>
      </c>
      <c r="B6" s="1">
        <v>12.0</v>
      </c>
      <c r="C6" s="3" t="s">
        <v>17</v>
      </c>
      <c r="D6" s="3" t="s">
        <v>18</v>
      </c>
      <c r="F6" s="3" t="str">
        <f t="shared" si="1"/>
        <v>142.mp3</v>
      </c>
      <c r="H6" s="4" t="s">
        <v>10</v>
      </c>
    </row>
    <row r="7" ht="14.25" customHeight="1">
      <c r="A7" s="1">
        <v>143.0</v>
      </c>
      <c r="B7" s="1">
        <v>12.0</v>
      </c>
      <c r="C7" s="3" t="s">
        <v>19</v>
      </c>
      <c r="D7" s="3" t="s">
        <v>20</v>
      </c>
      <c r="F7" s="3" t="str">
        <f t="shared" si="1"/>
        <v>143.mp3</v>
      </c>
      <c r="H7" s="4" t="s">
        <v>10</v>
      </c>
    </row>
    <row r="8" ht="14.25" customHeight="1">
      <c r="A8" s="1">
        <v>144.0</v>
      </c>
      <c r="B8" s="1">
        <v>12.0</v>
      </c>
      <c r="C8" s="3" t="s">
        <v>21</v>
      </c>
      <c r="D8" s="3" t="s">
        <v>22</v>
      </c>
      <c r="F8" s="3" t="str">
        <f t="shared" si="1"/>
        <v>144.mp3</v>
      </c>
      <c r="H8" s="4" t="s">
        <v>10</v>
      </c>
    </row>
    <row r="9" ht="14.25" customHeight="1">
      <c r="A9" s="1">
        <v>145.0</v>
      </c>
      <c r="B9" s="1">
        <v>12.0</v>
      </c>
      <c r="C9" s="3" t="s">
        <v>23</v>
      </c>
      <c r="D9" s="3" t="s">
        <v>24</v>
      </c>
      <c r="F9" s="3" t="str">
        <f t="shared" si="1"/>
        <v>145.mp3</v>
      </c>
      <c r="H9" s="4" t="s">
        <v>10</v>
      </c>
    </row>
    <row r="10" ht="14.25" customHeight="1">
      <c r="A10" s="1">
        <v>146.0</v>
      </c>
      <c r="B10" s="1">
        <v>12.0</v>
      </c>
      <c r="C10" s="3" t="s">
        <v>25</v>
      </c>
      <c r="D10" s="3" t="s">
        <v>26</v>
      </c>
      <c r="F10" s="3" t="str">
        <f t="shared" si="1"/>
        <v>146.mp3</v>
      </c>
      <c r="H10" s="4" t="s">
        <v>10</v>
      </c>
    </row>
    <row r="11" ht="14.25" customHeight="1">
      <c r="A11" s="1">
        <v>147.0</v>
      </c>
      <c r="B11" s="1">
        <v>12.0</v>
      </c>
      <c r="C11" s="3" t="s">
        <v>27</v>
      </c>
      <c r="D11" s="3" t="s">
        <v>28</v>
      </c>
      <c r="F11" s="3" t="str">
        <f t="shared" si="1"/>
        <v>147.mp3</v>
      </c>
      <c r="H11" s="4" t="s">
        <v>10</v>
      </c>
    </row>
    <row r="12" ht="14.25" customHeight="1">
      <c r="A12" s="1">
        <v>148.0</v>
      </c>
      <c r="B12" s="1">
        <v>12.0</v>
      </c>
      <c r="C12" s="3" t="s">
        <v>29</v>
      </c>
      <c r="D12" s="3" t="s">
        <v>30</v>
      </c>
      <c r="F12" s="3" t="str">
        <f t="shared" si="1"/>
        <v>148.mp3</v>
      </c>
      <c r="H12" s="4" t="s">
        <v>10</v>
      </c>
    </row>
    <row r="13" ht="14.25" customHeight="1">
      <c r="A13" s="1">
        <v>149.0</v>
      </c>
      <c r="B13" s="1">
        <v>12.0</v>
      </c>
      <c r="C13" s="3" t="s">
        <v>31</v>
      </c>
      <c r="D13" s="3" t="s">
        <v>32</v>
      </c>
      <c r="F13" s="3" t="str">
        <f t="shared" si="1"/>
        <v>149.mp3</v>
      </c>
      <c r="H13" s="4" t="s">
        <v>10</v>
      </c>
    </row>
    <row r="14" ht="14.25" customHeight="1">
      <c r="A14" s="1">
        <v>150.0</v>
      </c>
      <c r="B14" s="1">
        <v>12.0</v>
      </c>
      <c r="C14" s="3" t="s">
        <v>33</v>
      </c>
      <c r="D14" s="3" t="s">
        <v>34</v>
      </c>
      <c r="F14" s="3" t="str">
        <f t="shared" si="1"/>
        <v>150.mp3</v>
      </c>
      <c r="H14" s="4" t="s">
        <v>10</v>
      </c>
    </row>
    <row r="15" ht="14.25" customHeight="1">
      <c r="A15" s="1">
        <v>151.0</v>
      </c>
      <c r="B15" s="1">
        <v>12.0</v>
      </c>
      <c r="C15" s="3" t="s">
        <v>35</v>
      </c>
      <c r="D15" s="5" t="s">
        <v>36</v>
      </c>
      <c r="F15" s="3" t="str">
        <f t="shared" si="1"/>
        <v>151.mp3</v>
      </c>
      <c r="H15" s="4" t="s">
        <v>10</v>
      </c>
    </row>
    <row r="16" ht="14.25" customHeight="1">
      <c r="A16" s="1">
        <v>152.0</v>
      </c>
      <c r="B16" s="1">
        <v>12.0</v>
      </c>
      <c r="C16" s="3" t="s">
        <v>37</v>
      </c>
      <c r="D16" s="5" t="s">
        <v>38</v>
      </c>
      <c r="F16" s="3" t="str">
        <f t="shared" si="1"/>
        <v>152.mp3</v>
      </c>
      <c r="H16" s="4" t="s">
        <v>10</v>
      </c>
    </row>
    <row r="17" ht="14.25" customHeight="1">
      <c r="A17" s="1">
        <v>153.0</v>
      </c>
      <c r="B17" s="1">
        <v>12.0</v>
      </c>
      <c r="C17" s="3" t="s">
        <v>39</v>
      </c>
      <c r="D17" s="5" t="s">
        <v>40</v>
      </c>
      <c r="F17" s="3" t="str">
        <f t="shared" si="1"/>
        <v>153.mp3</v>
      </c>
      <c r="H17" s="4" t="s">
        <v>10</v>
      </c>
    </row>
    <row r="18" ht="14.25" customHeight="1">
      <c r="A18" s="1">
        <v>154.0</v>
      </c>
      <c r="B18" s="1">
        <v>12.0</v>
      </c>
      <c r="C18" s="3" t="s">
        <v>41</v>
      </c>
      <c r="D18" s="5" t="s">
        <v>42</v>
      </c>
      <c r="F18" s="3" t="str">
        <f t="shared" si="1"/>
        <v>154.mp3</v>
      </c>
      <c r="H18" s="4" t="s">
        <v>10</v>
      </c>
    </row>
    <row r="19" ht="14.25" customHeight="1">
      <c r="A19" s="1">
        <v>155.0</v>
      </c>
      <c r="B19" s="1">
        <v>11.0</v>
      </c>
      <c r="C19" s="3" t="s">
        <v>43</v>
      </c>
      <c r="D19" s="5" t="s">
        <v>44</v>
      </c>
      <c r="F19" s="3" t="str">
        <f t="shared" si="1"/>
        <v>155.mp3</v>
      </c>
      <c r="H19" s="4" t="s">
        <v>10</v>
      </c>
    </row>
    <row r="20" ht="14.25" customHeight="1">
      <c r="A20" s="1">
        <v>156.0</v>
      </c>
      <c r="B20" s="1">
        <v>12.0</v>
      </c>
      <c r="C20" s="3" t="s">
        <v>45</v>
      </c>
      <c r="D20" s="5" t="s">
        <v>46</v>
      </c>
      <c r="F20" s="3" t="str">
        <f t="shared" si="1"/>
        <v>156.mp3</v>
      </c>
      <c r="H20" s="4" t="s">
        <v>10</v>
      </c>
    </row>
    <row r="21" ht="14.25" customHeight="1">
      <c r="A21" s="1">
        <v>157.0</v>
      </c>
      <c r="B21" s="1">
        <v>12.0</v>
      </c>
      <c r="C21" s="3" t="s">
        <v>47</v>
      </c>
      <c r="D21" s="5" t="s">
        <v>48</v>
      </c>
      <c r="F21" s="3" t="str">
        <f t="shared" si="1"/>
        <v>157.mp3</v>
      </c>
      <c r="H21" s="4" t="s">
        <v>10</v>
      </c>
    </row>
    <row r="22" ht="14.25" customHeight="1">
      <c r="A22" s="1">
        <v>158.0</v>
      </c>
      <c r="B22" s="1">
        <v>12.0</v>
      </c>
      <c r="C22" s="3" t="s">
        <v>49</v>
      </c>
      <c r="D22" s="5" t="s">
        <v>50</v>
      </c>
      <c r="F22" s="3" t="str">
        <f t="shared" si="1"/>
        <v>158.mp3</v>
      </c>
      <c r="H22" s="4" t="s">
        <v>10</v>
      </c>
    </row>
    <row r="23" ht="14.25" customHeight="1">
      <c r="A23" s="1">
        <v>159.0</v>
      </c>
      <c r="B23" s="1">
        <v>12.0</v>
      </c>
      <c r="C23" s="3" t="s">
        <v>51</v>
      </c>
      <c r="D23" s="5" t="s">
        <v>52</v>
      </c>
      <c r="F23" s="3" t="str">
        <f t="shared" si="1"/>
        <v>159.mp3</v>
      </c>
      <c r="H23" s="4" t="s">
        <v>10</v>
      </c>
    </row>
    <row r="24" ht="14.25" customHeight="1">
      <c r="A24" s="1">
        <v>160.0</v>
      </c>
      <c r="B24" s="1">
        <v>12.0</v>
      </c>
      <c r="C24" s="3" t="s">
        <v>53</v>
      </c>
      <c r="D24" s="5" t="s">
        <v>54</v>
      </c>
      <c r="F24" s="3" t="str">
        <f t="shared" si="1"/>
        <v>160.mp3</v>
      </c>
      <c r="H24" s="4" t="s">
        <v>10</v>
      </c>
    </row>
    <row r="25" ht="14.25" customHeight="1">
      <c r="A25" s="1">
        <v>161.0</v>
      </c>
      <c r="B25" s="1">
        <v>12.0</v>
      </c>
      <c r="C25" s="3" t="s">
        <v>55</v>
      </c>
      <c r="D25" s="5" t="s">
        <v>56</v>
      </c>
      <c r="F25" s="3" t="str">
        <f t="shared" si="1"/>
        <v>161.mp3</v>
      </c>
      <c r="H25" s="4" t="s">
        <v>10</v>
      </c>
    </row>
    <row r="26" ht="14.25" customHeight="1">
      <c r="A26" s="1">
        <v>162.0</v>
      </c>
      <c r="B26" s="1">
        <v>12.0</v>
      </c>
      <c r="C26" s="3" t="s">
        <v>57</v>
      </c>
      <c r="D26" s="5" t="s">
        <v>58</v>
      </c>
      <c r="F26" s="3" t="str">
        <f t="shared" si="1"/>
        <v>162.mp3</v>
      </c>
      <c r="H26" s="4" t="s">
        <v>10</v>
      </c>
    </row>
    <row r="27" ht="14.25" customHeight="1">
      <c r="A27" s="1">
        <v>163.0</v>
      </c>
      <c r="B27" s="1">
        <v>12.0</v>
      </c>
      <c r="C27" s="3" t="s">
        <v>59</v>
      </c>
      <c r="D27" s="5" t="s">
        <v>60</v>
      </c>
      <c r="F27" s="3" t="str">
        <f t="shared" si="1"/>
        <v>163.mp3</v>
      </c>
      <c r="H27" s="4" t="s">
        <v>10</v>
      </c>
    </row>
    <row r="28" ht="14.25" customHeight="1">
      <c r="A28" s="1">
        <v>164.0</v>
      </c>
      <c r="B28" s="1">
        <v>12.0</v>
      </c>
      <c r="C28" s="3" t="s">
        <v>61</v>
      </c>
      <c r="D28" s="5" t="s">
        <v>62</v>
      </c>
      <c r="F28" s="3" t="str">
        <f t="shared" si="1"/>
        <v>164.mp3</v>
      </c>
      <c r="H28" s="4" t="s">
        <v>10</v>
      </c>
    </row>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19685039370079" footer="0.0" header="0.0" left="0.7007874015748032" right="0.7007874015748032" top="0.7519685039370079"/>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6.71"/>
    <col customWidth="1" min="3" max="3" width="25.29"/>
    <col customWidth="1" min="4" max="9" width="16.86"/>
    <col customWidth="1" min="10" max="10" width="27.14"/>
    <col customWidth="1" min="11" max="11" width="21.29"/>
    <col customWidth="1" min="12" max="13" width="10.71"/>
  </cols>
  <sheetData>
    <row r="1">
      <c r="A1" s="1" t="s">
        <v>0</v>
      </c>
      <c r="B1" s="1" t="s">
        <v>63</v>
      </c>
      <c r="C1" s="1" t="s">
        <v>1</v>
      </c>
      <c r="D1" s="2" t="s">
        <v>2</v>
      </c>
      <c r="E1" s="6" t="s">
        <v>64</v>
      </c>
      <c r="F1" s="6" t="s">
        <v>65</v>
      </c>
      <c r="G1" s="6" t="s">
        <v>66</v>
      </c>
      <c r="H1" s="6" t="s">
        <v>67</v>
      </c>
      <c r="I1" s="6" t="s">
        <v>68</v>
      </c>
      <c r="J1" s="6" t="s">
        <v>3</v>
      </c>
      <c r="K1" s="2" t="s">
        <v>4</v>
      </c>
      <c r="L1" s="2" t="s">
        <v>5</v>
      </c>
      <c r="M1" s="2" t="s">
        <v>6</v>
      </c>
    </row>
    <row r="2">
      <c r="A2" s="1">
        <v>1370.0</v>
      </c>
      <c r="B2" s="3">
        <v>138.0</v>
      </c>
      <c r="C2" s="7" t="s">
        <v>69</v>
      </c>
      <c r="D2" s="8" t="str">
        <f>IFERROR(__xludf.DUMMYFUNCTION("GOOGLETRANSLATE(C2, ""en"", ""pt"")"),"vermelho")</f>
        <v>vermelho</v>
      </c>
      <c r="E2" s="8" t="str">
        <f>IFERROR(__xludf.DUMMYFUNCTION("GOOGLETRANSLATE(C2, ""en"", ""es"")"),"rojo")</f>
        <v>rojo</v>
      </c>
      <c r="F2" s="8" t="str">
        <f>IFERROR(__xludf.DUMMYFUNCTION("GOOGLETRANSLATE(C2, ""en"", ""fr"")"),"rouge")</f>
        <v>rouge</v>
      </c>
      <c r="G2" s="8" t="str">
        <f>IFERROR(__xludf.DUMMYFUNCTION("GOOGLETRANSLATE(C2, ""en"", ""de"")"),"Rot")</f>
        <v>Rot</v>
      </c>
      <c r="H2" s="8" t="str">
        <f>IFERROR(__xludf.DUMMYFUNCTION("GOOGLETRANSLATE(C2, ""en"", ""ru"")"),"красный")</f>
        <v>красный</v>
      </c>
      <c r="I2" s="8" t="str">
        <f>IFERROR(__xludf.DUMMYFUNCTION("GOOGLETRANSLATE(C2, ""en"", ""ar"")"),"أحمر")</f>
        <v>أحمر</v>
      </c>
      <c r="J2" s="8"/>
      <c r="K2" s="7" t="str">
        <f>IFERROR(__xludf.DUMMYFUNCTION("CONCAT(REGEXREPLACE(C2,""[ ,]+"",""_""),"".mp3"")"),"red.mp3")</f>
        <v>red.mp3</v>
      </c>
      <c r="M2" s="4" t="s">
        <v>10</v>
      </c>
    </row>
    <row r="3">
      <c r="A3" s="1">
        <v>1371.0</v>
      </c>
      <c r="B3" s="3">
        <v>138.0</v>
      </c>
      <c r="C3" s="7" t="s">
        <v>70</v>
      </c>
      <c r="D3" s="8" t="str">
        <f>IFERROR(__xludf.DUMMYFUNCTION("GOOGLETRANSLATE(C3, ""en"", ""pt"")"),"azul")</f>
        <v>azul</v>
      </c>
      <c r="E3" s="8" t="str">
        <f>IFERROR(__xludf.DUMMYFUNCTION("GOOGLETRANSLATE(C3, ""en"", ""es"")"),"azul")</f>
        <v>azul</v>
      </c>
      <c r="F3" s="8" t="str">
        <f>IFERROR(__xludf.DUMMYFUNCTION("GOOGLETRANSLATE(C3, ""en"", ""fr"")"),"bleu")</f>
        <v>bleu</v>
      </c>
      <c r="G3" s="8" t="str">
        <f>IFERROR(__xludf.DUMMYFUNCTION("GOOGLETRANSLATE(C3, ""en"", ""de"")"),"Blau")</f>
        <v>Blau</v>
      </c>
      <c r="H3" s="8" t="str">
        <f>IFERROR(__xludf.DUMMYFUNCTION("GOOGLETRANSLATE(C3, ""en"", ""ru"")"),"синий")</f>
        <v>синий</v>
      </c>
      <c r="I3" s="8" t="str">
        <f>IFERROR(__xludf.DUMMYFUNCTION("GOOGLETRANSLATE(C3, ""en"", ""ar"")"),"أزرق")</f>
        <v>أزرق</v>
      </c>
      <c r="J3" s="8"/>
      <c r="K3" s="7" t="str">
        <f>IFERROR(__xludf.DUMMYFUNCTION("CONCAT(REGEXREPLACE(C3,""[ ,]+"",""_""),"".mp3"")"),"blue.mp3")</f>
        <v>blue.mp3</v>
      </c>
      <c r="M3" s="4" t="s">
        <v>10</v>
      </c>
    </row>
    <row r="4">
      <c r="A4" s="1">
        <v>1372.0</v>
      </c>
      <c r="B4" s="3">
        <v>138.0</v>
      </c>
      <c r="C4" s="7" t="s">
        <v>71</v>
      </c>
      <c r="D4" s="8" t="str">
        <f>IFERROR(__xludf.DUMMYFUNCTION("GOOGLETRANSLATE(C4, ""en"", ""pt"")"),"amarelo")</f>
        <v>amarelo</v>
      </c>
      <c r="E4" s="8" t="str">
        <f>IFERROR(__xludf.DUMMYFUNCTION("GOOGLETRANSLATE(C4, ""en"", ""es"")"),"amarillo")</f>
        <v>amarillo</v>
      </c>
      <c r="F4" s="8" t="str">
        <f>IFERROR(__xludf.DUMMYFUNCTION("GOOGLETRANSLATE(C4, ""en"", ""fr"")"),"jaune")</f>
        <v>jaune</v>
      </c>
      <c r="G4" s="8" t="str">
        <f>IFERROR(__xludf.DUMMYFUNCTION("GOOGLETRANSLATE(C4, ""en"", ""de"")"),"Gelb")</f>
        <v>Gelb</v>
      </c>
      <c r="H4" s="8" t="str">
        <f>IFERROR(__xludf.DUMMYFUNCTION("GOOGLETRANSLATE(C4, ""en"", ""ru"")"),"желтый")</f>
        <v>желтый</v>
      </c>
      <c r="I4" s="8" t="str">
        <f>IFERROR(__xludf.DUMMYFUNCTION("GOOGLETRANSLATE(C4, ""en"", ""ar"")"),"أصفر")</f>
        <v>أصفر</v>
      </c>
      <c r="J4" s="8"/>
      <c r="K4" s="7" t="str">
        <f>IFERROR(__xludf.DUMMYFUNCTION("CONCAT(REGEXREPLACE(C4,""[ ,]+"",""_""),"".mp3"")"),"yellow.mp3")</f>
        <v>yellow.mp3</v>
      </c>
      <c r="M4" s="4" t="s">
        <v>10</v>
      </c>
    </row>
    <row r="5">
      <c r="A5" s="1">
        <v>1373.0</v>
      </c>
      <c r="B5" s="3">
        <v>138.0</v>
      </c>
      <c r="C5" s="7" t="s">
        <v>72</v>
      </c>
      <c r="D5" s="8" t="str">
        <f>IFERROR(__xludf.DUMMYFUNCTION("GOOGLETRANSLATE(C5, ""en"", ""pt"")"),"verde")</f>
        <v>verde</v>
      </c>
      <c r="E5" s="8" t="str">
        <f>IFERROR(__xludf.DUMMYFUNCTION("GOOGLETRANSLATE(C5, ""en"", ""es"")"),"verde")</f>
        <v>verde</v>
      </c>
      <c r="F5" s="8" t="str">
        <f>IFERROR(__xludf.DUMMYFUNCTION("GOOGLETRANSLATE(C5, ""en"", ""fr"")"),"vert")</f>
        <v>vert</v>
      </c>
      <c r="G5" s="8" t="str">
        <f>IFERROR(__xludf.DUMMYFUNCTION("GOOGLETRANSLATE(C5, ""en"", ""de"")"),"Grün")</f>
        <v>Grün</v>
      </c>
      <c r="H5" s="8" t="str">
        <f>IFERROR(__xludf.DUMMYFUNCTION("GOOGLETRANSLATE(C5, ""en"", ""ru"")"),"зеленый")</f>
        <v>зеленый</v>
      </c>
      <c r="I5" s="8" t="str">
        <f>IFERROR(__xludf.DUMMYFUNCTION("GOOGLETRANSLATE(C5, ""en"", ""ar"")"),"أخضر")</f>
        <v>أخضر</v>
      </c>
      <c r="J5" s="8"/>
      <c r="K5" s="7" t="str">
        <f>IFERROR(__xludf.DUMMYFUNCTION("CONCAT(REGEXREPLACE(C5,""[ ,]+"",""_""),"".mp3"")"),"green.mp3")</f>
        <v>green.mp3</v>
      </c>
      <c r="M5" s="4" t="s">
        <v>10</v>
      </c>
    </row>
    <row r="6">
      <c r="A6" s="1">
        <v>1374.0</v>
      </c>
      <c r="B6" s="3">
        <v>138.0</v>
      </c>
      <c r="C6" s="7" t="s">
        <v>73</v>
      </c>
      <c r="D6" s="8" t="str">
        <f>IFERROR(__xludf.DUMMYFUNCTION("GOOGLETRANSLATE(C6, ""en"", ""pt"")"),"laranja")</f>
        <v>laranja</v>
      </c>
      <c r="E6" s="8" t="str">
        <f>IFERROR(__xludf.DUMMYFUNCTION("GOOGLETRANSLATE(C6, ""en"", ""es"")"),"naranja")</f>
        <v>naranja</v>
      </c>
      <c r="F6" s="8" t="str">
        <f>IFERROR(__xludf.DUMMYFUNCTION("GOOGLETRANSLATE(C6, ""en"", ""fr"")"),"orange")</f>
        <v>orange</v>
      </c>
      <c r="G6" s="8" t="str">
        <f>IFERROR(__xludf.DUMMYFUNCTION("GOOGLETRANSLATE(C6, ""en"", ""de"")"),"orange")</f>
        <v>orange</v>
      </c>
      <c r="H6" s="8" t="str">
        <f>IFERROR(__xludf.DUMMYFUNCTION("GOOGLETRANSLATE(C6, ""en"", ""ru"")"),"апельсин")</f>
        <v>апельсин</v>
      </c>
      <c r="I6" s="8" t="str">
        <f>IFERROR(__xludf.DUMMYFUNCTION("GOOGLETRANSLATE(C6, ""en"", ""ar"")"),"البرتقالي")</f>
        <v>البرتقالي</v>
      </c>
      <c r="J6" s="8"/>
      <c r="K6" s="7" t="str">
        <f>IFERROR(__xludf.DUMMYFUNCTION("CONCAT(REGEXREPLACE(C6,""[ ,]+"",""_""),"".mp3"")"),"orange.mp3")</f>
        <v>orange.mp3</v>
      </c>
      <c r="M6" s="4" t="s">
        <v>10</v>
      </c>
    </row>
    <row r="7">
      <c r="A7" s="1">
        <v>1375.0</v>
      </c>
      <c r="B7" s="3">
        <v>138.0</v>
      </c>
      <c r="C7" s="7" t="s">
        <v>74</v>
      </c>
      <c r="D7" s="8" t="str">
        <f>IFERROR(__xludf.DUMMYFUNCTION("GOOGLETRANSLATE(C7, ""en"", ""pt"")"),"roxo")</f>
        <v>roxo</v>
      </c>
      <c r="E7" s="8" t="str">
        <f>IFERROR(__xludf.DUMMYFUNCTION("GOOGLETRANSLATE(C7, ""en"", ""es"")"),"púrpura")</f>
        <v>púrpura</v>
      </c>
      <c r="F7" s="8" t="str">
        <f>IFERROR(__xludf.DUMMYFUNCTION("GOOGLETRANSLATE(C7, ""en"", ""fr"")"),"violet")</f>
        <v>violet</v>
      </c>
      <c r="G7" s="8" t="str">
        <f>IFERROR(__xludf.DUMMYFUNCTION("GOOGLETRANSLATE(C7, ""en"", ""de"")"),"lila")</f>
        <v>lila</v>
      </c>
      <c r="H7" s="8" t="str">
        <f>IFERROR(__xludf.DUMMYFUNCTION("GOOGLETRANSLATE(C7, ""en"", ""ru"")"),"фиолетовый")</f>
        <v>фиолетовый</v>
      </c>
      <c r="I7" s="8" t="str">
        <f>IFERROR(__xludf.DUMMYFUNCTION("GOOGLETRANSLATE(C7, ""en"", ""ar"")"),"أرجواني")</f>
        <v>أرجواني</v>
      </c>
      <c r="J7" s="8"/>
      <c r="K7" s="7" t="str">
        <f>IFERROR(__xludf.DUMMYFUNCTION("CONCAT(REGEXREPLACE(C7,""[ ,]+"",""_""),"".mp3"")"),"purple.mp3")</f>
        <v>purple.mp3</v>
      </c>
      <c r="M7" s="4" t="s">
        <v>10</v>
      </c>
    </row>
    <row r="8">
      <c r="A8" s="1">
        <v>1376.0</v>
      </c>
      <c r="B8" s="3">
        <v>138.0</v>
      </c>
      <c r="C8" s="7" t="s">
        <v>75</v>
      </c>
      <c r="D8" s="8" t="str">
        <f>IFERROR(__xludf.DUMMYFUNCTION("GOOGLETRANSLATE(C8, ""en"", ""pt"")"),"rosa")</f>
        <v>rosa</v>
      </c>
      <c r="E8" s="8" t="str">
        <f>IFERROR(__xludf.DUMMYFUNCTION("GOOGLETRANSLATE(C8, ""en"", ""es"")"),"rosa")</f>
        <v>rosa</v>
      </c>
      <c r="F8" s="8" t="str">
        <f>IFERROR(__xludf.DUMMYFUNCTION("GOOGLETRANSLATE(C8, ""en"", ""fr"")"),"rose")</f>
        <v>rose</v>
      </c>
      <c r="G8" s="8" t="str">
        <f>IFERROR(__xludf.DUMMYFUNCTION("GOOGLETRANSLATE(C8, ""en"", ""de"")"),"Rosa")</f>
        <v>Rosa</v>
      </c>
      <c r="H8" s="8" t="str">
        <f>IFERROR(__xludf.DUMMYFUNCTION("GOOGLETRANSLATE(C8, ""en"", ""ru"")"),"розовый")</f>
        <v>розовый</v>
      </c>
      <c r="I8" s="8" t="str">
        <f>IFERROR(__xludf.DUMMYFUNCTION("GOOGLETRANSLATE(C8, ""en"", ""ar"")"),"لون القرنفل")</f>
        <v>لون القرنفل</v>
      </c>
      <c r="J8" s="8"/>
      <c r="K8" s="7" t="str">
        <f>IFERROR(__xludf.DUMMYFUNCTION("CONCAT(REGEXREPLACE(C8,""[ ,]+"",""_""),"".mp3"")"),"pink.mp3")</f>
        <v>pink.mp3</v>
      </c>
      <c r="M8" s="4" t="s">
        <v>10</v>
      </c>
    </row>
    <row r="9">
      <c r="A9" s="1">
        <v>1377.0</v>
      </c>
      <c r="B9" s="3">
        <v>138.0</v>
      </c>
      <c r="C9" s="7" t="s">
        <v>76</v>
      </c>
      <c r="D9" s="8" t="str">
        <f>IFERROR(__xludf.DUMMYFUNCTION("GOOGLETRANSLATE(C9, ""en"", ""pt"")"),"marrom")</f>
        <v>marrom</v>
      </c>
      <c r="E9" s="8" t="str">
        <f>IFERROR(__xludf.DUMMYFUNCTION("GOOGLETRANSLATE(C9, ""en"", ""es"")"),"marrón")</f>
        <v>marrón</v>
      </c>
      <c r="F9" s="8" t="str">
        <f>IFERROR(__xludf.DUMMYFUNCTION("GOOGLETRANSLATE(C9, ""en"", ""fr"")"),"brun")</f>
        <v>brun</v>
      </c>
      <c r="G9" s="8" t="str">
        <f>IFERROR(__xludf.DUMMYFUNCTION("GOOGLETRANSLATE(C9, ""en"", ""de"")"),"braun")</f>
        <v>braun</v>
      </c>
      <c r="H9" s="8" t="str">
        <f>IFERROR(__xludf.DUMMYFUNCTION("GOOGLETRANSLATE(C9, ""en"", ""ru"")"),"коричневый")</f>
        <v>коричневый</v>
      </c>
      <c r="I9" s="8" t="str">
        <f>IFERROR(__xludf.DUMMYFUNCTION("GOOGLETRANSLATE(C9, ""en"", ""ar"")"),"بني")</f>
        <v>بني</v>
      </c>
      <c r="J9" s="8"/>
      <c r="K9" s="7" t="str">
        <f>IFERROR(__xludf.DUMMYFUNCTION("CONCAT(REGEXREPLACE(C9,""[ ,]+"",""_""),"".mp3"")"),"brown.mp3")</f>
        <v>brown.mp3</v>
      </c>
      <c r="M9" s="4" t="s">
        <v>10</v>
      </c>
    </row>
    <row r="10">
      <c r="A10" s="1">
        <v>1378.0</v>
      </c>
      <c r="B10" s="3">
        <v>138.0</v>
      </c>
      <c r="C10" s="7" t="s">
        <v>77</v>
      </c>
      <c r="D10" s="8" t="str">
        <f>IFERROR(__xludf.DUMMYFUNCTION("GOOGLETRANSLATE(C10, ""en"", ""pt"")"),"preto")</f>
        <v>preto</v>
      </c>
      <c r="E10" s="8" t="str">
        <f>IFERROR(__xludf.DUMMYFUNCTION("GOOGLETRANSLATE(C10, ""en"", ""es"")"),"negro")</f>
        <v>negro</v>
      </c>
      <c r="F10" s="8" t="str">
        <f>IFERROR(__xludf.DUMMYFUNCTION("GOOGLETRANSLATE(C10, ""en"", ""fr"")"),"noir")</f>
        <v>noir</v>
      </c>
      <c r="G10" s="8" t="str">
        <f>IFERROR(__xludf.DUMMYFUNCTION("GOOGLETRANSLATE(C10, ""en"", ""de"")"),"Schwarz")</f>
        <v>Schwarz</v>
      </c>
      <c r="H10" s="8" t="str">
        <f>IFERROR(__xludf.DUMMYFUNCTION("GOOGLETRANSLATE(C10, ""en"", ""ru"")"),"черный")</f>
        <v>черный</v>
      </c>
      <c r="I10" s="8" t="str">
        <f>IFERROR(__xludf.DUMMYFUNCTION("GOOGLETRANSLATE(C10, ""en"", ""ar"")"),"أسود")</f>
        <v>أسود</v>
      </c>
      <c r="J10" s="8"/>
      <c r="K10" s="7" t="str">
        <f>IFERROR(__xludf.DUMMYFUNCTION("CONCAT(REGEXREPLACE(C10,""[ ,]+"",""_""),"".mp3"")"),"black.mp3")</f>
        <v>black.mp3</v>
      </c>
      <c r="M10" s="4" t="s">
        <v>10</v>
      </c>
    </row>
    <row r="11">
      <c r="A11" s="1">
        <v>1379.0</v>
      </c>
      <c r="B11" s="3">
        <v>138.0</v>
      </c>
      <c r="C11" s="7" t="s">
        <v>78</v>
      </c>
      <c r="D11" s="8" t="str">
        <f>IFERROR(__xludf.DUMMYFUNCTION("GOOGLETRANSLATE(C11, ""en"", ""pt"")"),"branco")</f>
        <v>branco</v>
      </c>
      <c r="E11" s="8" t="str">
        <f>IFERROR(__xludf.DUMMYFUNCTION("GOOGLETRANSLATE(C11, ""en"", ""es"")"),"blanco")</f>
        <v>blanco</v>
      </c>
      <c r="F11" s="8" t="str">
        <f>IFERROR(__xludf.DUMMYFUNCTION("GOOGLETRANSLATE(C11, ""en"", ""fr"")"),"blanc")</f>
        <v>blanc</v>
      </c>
      <c r="G11" s="8" t="str">
        <f>IFERROR(__xludf.DUMMYFUNCTION("GOOGLETRANSLATE(C11, ""en"", ""de"")"),"Weiß")</f>
        <v>Weiß</v>
      </c>
      <c r="H11" s="8" t="str">
        <f>IFERROR(__xludf.DUMMYFUNCTION("GOOGLETRANSLATE(C11, ""en"", ""ru"")"),"белый")</f>
        <v>белый</v>
      </c>
      <c r="I11" s="8" t="str">
        <f>IFERROR(__xludf.DUMMYFUNCTION("GOOGLETRANSLATE(C11, ""en"", ""ar"")"),"أبيض")</f>
        <v>أبيض</v>
      </c>
      <c r="J11" s="8"/>
      <c r="K11" s="7" t="str">
        <f>IFERROR(__xludf.DUMMYFUNCTION("CONCAT(REGEXREPLACE(C11,""[ ,]+"",""_""),"".mp3"")"),"white.mp3")</f>
        <v>white.mp3</v>
      </c>
      <c r="M11" s="4" t="s">
        <v>10</v>
      </c>
    </row>
    <row r="12">
      <c r="A12" s="1">
        <v>1380.0</v>
      </c>
      <c r="B12" s="3">
        <v>138.0</v>
      </c>
      <c r="C12" s="3" t="s">
        <v>79</v>
      </c>
      <c r="D12" s="8" t="str">
        <f>IFERROR(__xludf.DUMMYFUNCTION("GOOGLETRANSLATE(C12, ""en"", ""pt"")"),"cinza ")</f>
        <v>cinza </v>
      </c>
      <c r="E12" s="8" t="str">
        <f>IFERROR(__xludf.DUMMYFUNCTION("GOOGLETRANSLATE(C12, ""en"", ""es"")"),"gris ")</f>
        <v>gris </v>
      </c>
      <c r="F12" s="8" t="str">
        <f>IFERROR(__xludf.DUMMYFUNCTION("GOOGLETRANSLATE(C12, ""en"", ""fr"")"),"gris ")</f>
        <v>gris </v>
      </c>
      <c r="G12" s="8" t="str">
        <f>IFERROR(__xludf.DUMMYFUNCTION("GOOGLETRANSLATE(C12, ""en"", ""de"")"),"grau ")</f>
        <v>grau </v>
      </c>
      <c r="H12" s="8" t="str">
        <f>IFERROR(__xludf.DUMMYFUNCTION("GOOGLETRANSLATE(C12, ""en"", ""ru"")"),"серый ")</f>
        <v>серый </v>
      </c>
      <c r="I12" s="8" t="str">
        <f>IFERROR(__xludf.DUMMYFUNCTION("GOOGLETRANSLATE(C12, ""en"", ""ar"")"),"رمادي ")</f>
        <v>رمادي </v>
      </c>
      <c r="J12" s="8"/>
      <c r="K12" s="7" t="str">
        <f>IFERROR(__xludf.DUMMYFUNCTION("CONCAT(REGEXREPLACE(C12,""[ ,]+"",""_""),"".mp3"")"),"grey .mp3")</f>
        <v>grey .mp3</v>
      </c>
      <c r="M12" s="4" t="s">
        <v>10</v>
      </c>
    </row>
    <row r="13">
      <c r="A13" s="1">
        <v>1381.0</v>
      </c>
      <c r="B13" s="3">
        <v>138.0</v>
      </c>
      <c r="C13" s="7" t="s">
        <v>80</v>
      </c>
      <c r="D13" s="8" t="str">
        <f>IFERROR(__xludf.DUMMYFUNCTION("GOOGLETRANSLATE(C13, ""en"", ""pt"")"),"azul claro")</f>
        <v>azul claro</v>
      </c>
      <c r="E13" s="8" t="str">
        <f>IFERROR(__xludf.DUMMYFUNCTION("GOOGLETRANSLATE(C13, ""en"", ""es"")"),"azul claro")</f>
        <v>azul claro</v>
      </c>
      <c r="F13" s="8" t="str">
        <f>IFERROR(__xludf.DUMMYFUNCTION("GOOGLETRANSLATE(C13, ""en"", ""fr"")"),"bleu clair")</f>
        <v>bleu clair</v>
      </c>
      <c r="G13" s="8" t="str">
        <f>IFERROR(__xludf.DUMMYFUNCTION("GOOGLETRANSLATE(C13, ""en"", ""de"")"),"hellblau")</f>
        <v>hellblau</v>
      </c>
      <c r="H13" s="8" t="str">
        <f>IFERROR(__xludf.DUMMYFUNCTION("GOOGLETRANSLATE(C13, ""en"", ""ru"")"),"светло-голубой")</f>
        <v>светло-голубой</v>
      </c>
      <c r="I13" s="8" t="str">
        <f>IFERROR(__xludf.DUMMYFUNCTION("GOOGLETRANSLATE(C13, ""en"", ""ar"")"),"أزرق فاتح")</f>
        <v>أزرق فاتح</v>
      </c>
      <c r="J13" s="8"/>
      <c r="K13" s="7" t="str">
        <f>IFERROR(__xludf.DUMMYFUNCTION("CONCAT(REGEXREPLACE(C13,""[ ,]+"",""_""),"".mp3"")"),"light_blue.mp3")</f>
        <v>light_blue.mp3</v>
      </c>
      <c r="M13" s="4" t="s">
        <v>10</v>
      </c>
    </row>
    <row r="14">
      <c r="A14" s="1">
        <v>1382.0</v>
      </c>
      <c r="B14" s="3">
        <v>138.0</v>
      </c>
      <c r="C14" s="7" t="s">
        <v>81</v>
      </c>
      <c r="D14" s="8" t="str">
        <f>IFERROR(__xludf.DUMMYFUNCTION("GOOGLETRANSLATE(C14, ""en"", ""pt"")"),"verde escuro")</f>
        <v>verde escuro</v>
      </c>
      <c r="E14" s="8" t="str">
        <f>IFERROR(__xludf.DUMMYFUNCTION("GOOGLETRANSLATE(C14, ""en"", ""es"")"),"verde oscuro")</f>
        <v>verde oscuro</v>
      </c>
      <c r="F14" s="8" t="str">
        <f>IFERROR(__xludf.DUMMYFUNCTION("GOOGLETRANSLATE(C14, ""en"", ""fr"")"),"vert foncé")</f>
        <v>vert foncé</v>
      </c>
      <c r="G14" s="8" t="str">
        <f>IFERROR(__xludf.DUMMYFUNCTION("GOOGLETRANSLATE(C14, ""en"", ""de"")"),"dunkelgrün")</f>
        <v>dunkelgrün</v>
      </c>
      <c r="H14" s="8" t="str">
        <f>IFERROR(__xludf.DUMMYFUNCTION("GOOGLETRANSLATE(C14, ""en"", ""ru"")"),"темно-зеленый")</f>
        <v>темно-зеленый</v>
      </c>
      <c r="I14" s="8" t="str">
        <f>IFERROR(__xludf.DUMMYFUNCTION("GOOGLETRANSLATE(C14, ""en"", ""ar"")"),"أخضر داكن")</f>
        <v>أخضر داكن</v>
      </c>
      <c r="J14" s="8"/>
      <c r="K14" s="7" t="str">
        <f>IFERROR(__xludf.DUMMYFUNCTION("CONCAT(REGEXREPLACE(C14,""[ ,]+"",""_""),"".mp3"")"),"dark_green.mp3")</f>
        <v>dark_green.mp3</v>
      </c>
      <c r="M14" s="4" t="s">
        <v>10</v>
      </c>
    </row>
    <row r="15">
      <c r="A15" s="1">
        <v>1383.0</v>
      </c>
      <c r="B15" s="3">
        <v>138.0</v>
      </c>
      <c r="C15" s="7" t="s">
        <v>82</v>
      </c>
      <c r="D15" s="8" t="str">
        <f>IFERROR(__xludf.DUMMYFUNCTION("GOOGLETRANSLATE(C15, ""en"", ""pt"")"),"amarelo pálido")</f>
        <v>amarelo pálido</v>
      </c>
      <c r="E15" s="8" t="str">
        <f>IFERROR(__xludf.DUMMYFUNCTION("GOOGLETRANSLATE(C15, ""en"", ""es"")"),"amarillo pálido")</f>
        <v>amarillo pálido</v>
      </c>
      <c r="F15" s="8" t="str">
        <f>IFERROR(__xludf.DUMMYFUNCTION("GOOGLETRANSLATE(C15, ""en"", ""fr"")"),"jaune pâle")</f>
        <v>jaune pâle</v>
      </c>
      <c r="G15" s="8" t="str">
        <f>IFERROR(__xludf.DUMMYFUNCTION("GOOGLETRANSLATE(C15, ""en"", ""de"")"),"blassgelb")</f>
        <v>blassgelb</v>
      </c>
      <c r="H15" s="8" t="str">
        <f>IFERROR(__xludf.DUMMYFUNCTION("GOOGLETRANSLATE(C15, ""en"", ""ru"")"),"бледно-желтый")</f>
        <v>бледно-желтый</v>
      </c>
      <c r="I15" s="8" t="str">
        <f>IFERROR(__xludf.DUMMYFUNCTION("GOOGLETRANSLATE(C15, ""en"", ""ar"")"),"أصفر باهت")</f>
        <v>أصفر باهت</v>
      </c>
      <c r="J15" s="8"/>
      <c r="K15" s="7" t="str">
        <f>IFERROR(__xludf.DUMMYFUNCTION("CONCAT(REGEXREPLACE(C15,""[ ,]+"",""_""),"".mp3"")"),"pale_yellow.mp3")</f>
        <v>pale_yellow.mp3</v>
      </c>
      <c r="M15" s="4" t="s">
        <v>10</v>
      </c>
    </row>
    <row r="16">
      <c r="A16" s="1">
        <v>1384.0</v>
      </c>
      <c r="B16" s="3">
        <v>138.0</v>
      </c>
      <c r="C16" s="7" t="s">
        <v>83</v>
      </c>
      <c r="D16" s="8" t="str">
        <f>IFERROR(__xludf.DUMMYFUNCTION("GOOGLETRANSLATE(C16, ""en"", ""pt"")"),"vermelho escuro")</f>
        <v>vermelho escuro</v>
      </c>
      <c r="E16" s="8" t="str">
        <f>IFERROR(__xludf.DUMMYFUNCTION("GOOGLETRANSLATE(C16, ""en"", ""es"")"),"rojo intenso")</f>
        <v>rojo intenso</v>
      </c>
      <c r="F16" s="8" t="str">
        <f>IFERROR(__xludf.DUMMYFUNCTION("GOOGLETRANSLATE(C16, ""en"", ""fr"")"),"rouge foncé")</f>
        <v>rouge foncé</v>
      </c>
      <c r="G16" s="8" t="str">
        <f>IFERROR(__xludf.DUMMYFUNCTION("GOOGLETRANSLATE(C16, ""en"", ""de"")"),"tiefrot")</f>
        <v>tiefrot</v>
      </c>
      <c r="H16" s="8" t="str">
        <f>IFERROR(__xludf.DUMMYFUNCTION("GOOGLETRANSLATE(C16, ""en"", ""ru"")"),"темно-красный")</f>
        <v>темно-красный</v>
      </c>
      <c r="I16" s="8" t="str">
        <f>IFERROR(__xludf.DUMMYFUNCTION("GOOGLETRANSLATE(C16, ""en"", ""ar"")"),"أحمر داكن")</f>
        <v>أحمر داكن</v>
      </c>
      <c r="J16" s="8"/>
      <c r="K16" s="7" t="str">
        <f>IFERROR(__xludf.DUMMYFUNCTION("CONCAT(REGEXREPLACE(C16,""[ ,]+"",""_""),"".mp3"")"),"deep_red.mp3")</f>
        <v>deep_red.mp3</v>
      </c>
      <c r="M16" s="4" t="s">
        <v>10</v>
      </c>
    </row>
    <row r="17">
      <c r="A17" s="1">
        <v>1385.0</v>
      </c>
      <c r="B17" s="3">
        <v>138.0</v>
      </c>
      <c r="C17" s="7" t="s">
        <v>84</v>
      </c>
      <c r="D17" s="8" t="str">
        <f>IFERROR(__xludf.DUMMYFUNCTION("GOOGLETRANSLATE(C17, ""en"", ""pt"")"),"laranja brilhante")</f>
        <v>laranja brilhante</v>
      </c>
      <c r="E17" s="8" t="str">
        <f>IFERROR(__xludf.DUMMYFUNCTION("GOOGLETRANSLATE(C17, ""en"", ""es"")"),"naranja brillante")</f>
        <v>naranja brillante</v>
      </c>
      <c r="F17" s="8" t="str">
        <f>IFERROR(__xludf.DUMMYFUNCTION("GOOGLETRANSLATE(C17, ""en"", ""fr"")"),"orange vif")</f>
        <v>orange vif</v>
      </c>
      <c r="G17" s="8" t="str">
        <f>IFERROR(__xludf.DUMMYFUNCTION("GOOGLETRANSLATE(C17, ""en"", ""de"")"),"leuchtend orange")</f>
        <v>leuchtend orange</v>
      </c>
      <c r="H17" s="8" t="str">
        <f>IFERROR(__xludf.DUMMYFUNCTION("GOOGLETRANSLATE(C17, ""en"", ""ru"")"),"ярко-оранжевый")</f>
        <v>ярко-оранжевый</v>
      </c>
      <c r="I17" s="8" t="str">
        <f>IFERROR(__xludf.DUMMYFUNCTION("GOOGLETRANSLATE(C17, ""en"", ""ar"")"),"برتقالي زاهي")</f>
        <v>برتقالي زاهي</v>
      </c>
      <c r="J17" s="8"/>
      <c r="K17" s="7" t="str">
        <f>IFERROR(__xludf.DUMMYFUNCTION("CONCAT(REGEXREPLACE(C17,""[ ,]+"",""_""),"".mp3"")"),"bright_orange.mp3")</f>
        <v>bright_orange.mp3</v>
      </c>
      <c r="M17" s="4" t="s">
        <v>10</v>
      </c>
    </row>
    <row r="18">
      <c r="A18" s="1">
        <v>1386.0</v>
      </c>
      <c r="B18" s="3">
        <v>138.0</v>
      </c>
      <c r="C18" s="7" t="s">
        <v>85</v>
      </c>
      <c r="D18" s="8" t="str">
        <f>IFERROR(__xludf.DUMMYFUNCTION("GOOGLETRANSLATE(C18, ""en"", ""pt"")"),"turquesa")</f>
        <v>turquesa</v>
      </c>
      <c r="E18" s="8" t="str">
        <f>IFERROR(__xludf.DUMMYFUNCTION("GOOGLETRANSLATE(C18, ""en"", ""es"")"),"turquesa")</f>
        <v>turquesa</v>
      </c>
      <c r="F18" s="8" t="str">
        <f>IFERROR(__xludf.DUMMYFUNCTION("GOOGLETRANSLATE(C18, ""en"", ""fr"")"),"turquoise")</f>
        <v>turquoise</v>
      </c>
      <c r="G18" s="8" t="str">
        <f>IFERROR(__xludf.DUMMYFUNCTION("GOOGLETRANSLATE(C18, ""en"", ""de"")"),"Türkis")</f>
        <v>Türkis</v>
      </c>
      <c r="H18" s="8" t="str">
        <f>IFERROR(__xludf.DUMMYFUNCTION("GOOGLETRANSLATE(C18, ""en"", ""ru"")"),"бирюзовый")</f>
        <v>бирюзовый</v>
      </c>
      <c r="I18" s="8" t="str">
        <f>IFERROR(__xludf.DUMMYFUNCTION("GOOGLETRANSLATE(C18, ""en"", ""ar"")"),"الفيروزي")</f>
        <v>الفيروزي</v>
      </c>
      <c r="J18" s="8"/>
      <c r="K18" s="7" t="str">
        <f>IFERROR(__xludf.DUMMYFUNCTION("CONCAT(REGEXREPLACE(C18,""[ ,]+"",""_""),"".mp3"")"),"turquoise.mp3")</f>
        <v>turquoise.mp3</v>
      </c>
      <c r="M18" s="4" t="s">
        <v>10</v>
      </c>
    </row>
    <row r="19">
      <c r="A19" s="1">
        <v>1387.0</v>
      </c>
      <c r="B19" s="3">
        <v>138.0</v>
      </c>
      <c r="C19" s="7" t="s">
        <v>86</v>
      </c>
      <c r="D19" s="8" t="str">
        <f>IFERROR(__xludf.DUMMYFUNCTION("GOOGLETRANSLATE(C19, ""en"", ""pt"")"),"marinha")</f>
        <v>marinha</v>
      </c>
      <c r="E19" s="8" t="str">
        <f>IFERROR(__xludf.DUMMYFUNCTION("GOOGLETRANSLATE(C19, ""en"", ""es"")"),"marina de guerra")</f>
        <v>marina de guerra</v>
      </c>
      <c r="F19" s="8" t="str">
        <f>IFERROR(__xludf.DUMMYFUNCTION("GOOGLETRANSLATE(C19, ""en"", ""fr"")"),"marine")</f>
        <v>marine</v>
      </c>
      <c r="G19" s="8" t="str">
        <f>IFERROR(__xludf.DUMMYFUNCTION("GOOGLETRANSLATE(C19, ""en"", ""de"")"),"Marine")</f>
        <v>Marine</v>
      </c>
      <c r="H19" s="8" t="str">
        <f>IFERROR(__xludf.DUMMYFUNCTION("GOOGLETRANSLATE(C19, ""en"", ""ru"")"),"военно-морской")</f>
        <v>военно-морской</v>
      </c>
      <c r="I19" s="8" t="str">
        <f>IFERROR(__xludf.DUMMYFUNCTION("GOOGLETRANSLATE(C19, ""en"", ""ar"")"),"البحرية")</f>
        <v>البحرية</v>
      </c>
      <c r="J19" s="8"/>
      <c r="K19" s="7" t="str">
        <f>IFERROR(__xludf.DUMMYFUNCTION("CONCAT(REGEXREPLACE(C19,""[ ,]+"",""_""),"".mp3"")"),"navy.mp3")</f>
        <v>navy.mp3</v>
      </c>
      <c r="M19" s="4" t="s">
        <v>10</v>
      </c>
    </row>
    <row r="20">
      <c r="A20" s="1">
        <v>1388.0</v>
      </c>
      <c r="B20" s="3">
        <v>138.0</v>
      </c>
      <c r="C20" s="7" t="s">
        <v>87</v>
      </c>
      <c r="D20" s="8" t="str">
        <f>IFERROR(__xludf.DUMMYFUNCTION("GOOGLETRANSLATE(C20, ""en"", ""pt"")"),"cerceta")</f>
        <v>cerceta</v>
      </c>
      <c r="E20" s="8" t="str">
        <f>IFERROR(__xludf.DUMMYFUNCTION("GOOGLETRANSLATE(C20, ""en"", ""es"")"),"verde azulado")</f>
        <v>verde azulado</v>
      </c>
      <c r="F20" s="8" t="str">
        <f>IFERROR(__xludf.DUMMYFUNCTION("GOOGLETRANSLATE(C20, ""en"", ""fr"")"),"sarcelle")</f>
        <v>sarcelle</v>
      </c>
      <c r="G20" s="8" t="str">
        <f>IFERROR(__xludf.DUMMYFUNCTION("GOOGLETRANSLATE(C20, ""en"", ""de"")"),"Türkis")</f>
        <v>Türkis</v>
      </c>
      <c r="H20" s="8" t="str">
        <f>IFERROR(__xludf.DUMMYFUNCTION("GOOGLETRANSLATE(C20, ""en"", ""ru"")"),"бирюзовый")</f>
        <v>бирюзовый</v>
      </c>
      <c r="I20" s="8" t="str">
        <f>IFERROR(__xludf.DUMMYFUNCTION("GOOGLETRANSLATE(C20, ""en"", ""ar"")"),"اللون الأزرق المخضر")</f>
        <v>اللون الأزرق المخضر</v>
      </c>
      <c r="J20" s="8"/>
      <c r="K20" s="7" t="str">
        <f>IFERROR(__xludf.DUMMYFUNCTION("CONCAT(REGEXREPLACE(C20,""[ ,]+"",""_""),"".mp3"")"),"teal.mp3")</f>
        <v>teal.mp3</v>
      </c>
      <c r="M20" s="4" t="s">
        <v>10</v>
      </c>
    </row>
    <row r="21" ht="15.75" customHeight="1">
      <c r="A21" s="1">
        <v>1389.0</v>
      </c>
      <c r="B21" s="3">
        <v>138.0</v>
      </c>
      <c r="C21" s="7" t="s">
        <v>88</v>
      </c>
      <c r="D21" s="8" t="str">
        <f>IFERROR(__xludf.DUMMYFUNCTION("GOOGLETRANSLATE(C21, ""en"", ""pt"")"),"ciano")</f>
        <v>ciano</v>
      </c>
      <c r="E21" s="8" t="str">
        <f>IFERROR(__xludf.DUMMYFUNCTION("GOOGLETRANSLATE(C21, ""en"", ""es"")"),"cian")</f>
        <v>cian</v>
      </c>
      <c r="F21" s="8" t="str">
        <f>IFERROR(__xludf.DUMMYFUNCTION("GOOGLETRANSLATE(C21, ""en"", ""fr"")"),"cyan")</f>
        <v>cyan</v>
      </c>
      <c r="G21" s="8" t="str">
        <f>IFERROR(__xludf.DUMMYFUNCTION("GOOGLETRANSLATE(C21, ""en"", ""de"")"),"Cyan")</f>
        <v>Cyan</v>
      </c>
      <c r="H21" s="8" t="str">
        <f>IFERROR(__xludf.DUMMYFUNCTION("GOOGLETRANSLATE(C21, ""en"", ""ru"")"),"голубой")</f>
        <v>голубой</v>
      </c>
      <c r="I21" s="8" t="str">
        <f>IFERROR(__xludf.DUMMYFUNCTION("GOOGLETRANSLATE(C21, ""en"", ""ar"")"),"سماوي")</f>
        <v>سماوي</v>
      </c>
      <c r="J21" s="8"/>
      <c r="K21" s="7" t="str">
        <f>IFERROR(__xludf.DUMMYFUNCTION("CONCAT(REGEXREPLACE(C21,""[ ,]+"",""_""),"".mp3"")"),"cyan.mp3")</f>
        <v>cyan.mp3</v>
      </c>
      <c r="M21" s="4" t="s">
        <v>10</v>
      </c>
    </row>
    <row r="22" ht="15.75" customHeight="1">
      <c r="A22" s="1">
        <v>1390.0</v>
      </c>
      <c r="B22" s="3">
        <v>138.0</v>
      </c>
      <c r="C22" s="7" t="s">
        <v>89</v>
      </c>
      <c r="D22" s="8" t="str">
        <f>IFERROR(__xludf.DUMMYFUNCTION("GOOGLETRANSLATE(C22, ""en"", ""pt"")"),"magenta")</f>
        <v>magenta</v>
      </c>
      <c r="E22" s="8" t="str">
        <f>IFERROR(__xludf.DUMMYFUNCTION("GOOGLETRANSLATE(C22, ""en"", ""es"")"),"magenta")</f>
        <v>magenta</v>
      </c>
      <c r="F22" s="8" t="str">
        <f>IFERROR(__xludf.DUMMYFUNCTION("GOOGLETRANSLATE(C22, ""en"", ""fr"")"),"magenta")</f>
        <v>magenta</v>
      </c>
      <c r="G22" s="8" t="str">
        <f>IFERROR(__xludf.DUMMYFUNCTION("GOOGLETRANSLATE(C22, ""en"", ""de"")"),"Magenta")</f>
        <v>Magenta</v>
      </c>
      <c r="H22" s="8" t="str">
        <f>IFERROR(__xludf.DUMMYFUNCTION("GOOGLETRANSLATE(C22, ""en"", ""ru"")"),"пурпурный")</f>
        <v>пурпурный</v>
      </c>
      <c r="I22" s="8" t="str">
        <f>IFERROR(__xludf.DUMMYFUNCTION("GOOGLETRANSLATE(C22, ""en"", ""ar"")"),"أرجواني")</f>
        <v>أرجواني</v>
      </c>
      <c r="J22" s="8"/>
      <c r="K22" s="7" t="str">
        <f>IFERROR(__xludf.DUMMYFUNCTION("CONCAT(REGEXREPLACE(C22,""[ ,]+"",""_""),"".mp3"")"),"magenta.mp3")</f>
        <v>magenta.mp3</v>
      </c>
      <c r="M22" s="4" t="s">
        <v>10</v>
      </c>
    </row>
    <row r="23" ht="15.75" customHeight="1">
      <c r="A23" s="1">
        <v>1391.0</v>
      </c>
      <c r="B23" s="3">
        <v>138.0</v>
      </c>
      <c r="C23" s="7" t="s">
        <v>90</v>
      </c>
      <c r="D23" s="8" t="str">
        <f>IFERROR(__xludf.DUMMYFUNCTION("GOOGLETRANSLATE(C23, ""en"", ""pt"")"),"bege")</f>
        <v>bege</v>
      </c>
      <c r="E23" s="8" t="str">
        <f>IFERROR(__xludf.DUMMYFUNCTION("GOOGLETRANSLATE(C23, ""en"", ""es"")"),"beige")</f>
        <v>beige</v>
      </c>
      <c r="F23" s="8" t="str">
        <f>IFERROR(__xludf.DUMMYFUNCTION("GOOGLETRANSLATE(C23, ""en"", ""fr"")"),"beige")</f>
        <v>beige</v>
      </c>
      <c r="G23" s="8" t="str">
        <f>IFERROR(__xludf.DUMMYFUNCTION("GOOGLETRANSLATE(C23, ""en"", ""de"")"),"Beige")</f>
        <v>Beige</v>
      </c>
      <c r="H23" s="8" t="str">
        <f>IFERROR(__xludf.DUMMYFUNCTION("GOOGLETRANSLATE(C23, ""en"", ""ru"")"),"бежевый")</f>
        <v>бежевый</v>
      </c>
      <c r="I23" s="8" t="str">
        <f>IFERROR(__xludf.DUMMYFUNCTION("GOOGLETRANSLATE(C23, ""en"", ""ar"")"),"البيج")</f>
        <v>البيج</v>
      </c>
      <c r="J23" s="8"/>
      <c r="K23" s="7" t="str">
        <f>IFERROR(__xludf.DUMMYFUNCTION("CONCAT(REGEXREPLACE(C23,""[ ,]+"",""_""),"".mp3"")"),"beige.mp3")</f>
        <v>beige.mp3</v>
      </c>
      <c r="M23" s="4" t="s">
        <v>10</v>
      </c>
    </row>
    <row r="24" ht="15.75" customHeight="1">
      <c r="A24" s="1">
        <v>1392.0</v>
      </c>
      <c r="B24" s="3">
        <v>138.0</v>
      </c>
      <c r="C24" s="7" t="s">
        <v>91</v>
      </c>
      <c r="D24" s="8" t="str">
        <f>IFERROR(__xludf.DUMMYFUNCTION("GOOGLETRANSLATE(C24, ""en"", ""pt"")"),"marfim")</f>
        <v>marfim</v>
      </c>
      <c r="E24" s="8" t="str">
        <f>IFERROR(__xludf.DUMMYFUNCTION("GOOGLETRANSLATE(C24, ""en"", ""es"")"),"marfil")</f>
        <v>marfil</v>
      </c>
      <c r="F24" s="8" t="str">
        <f>IFERROR(__xludf.DUMMYFUNCTION("GOOGLETRANSLATE(C24, ""en"", ""fr"")"),"ivoire")</f>
        <v>ivoire</v>
      </c>
      <c r="G24" s="8" t="str">
        <f>IFERROR(__xludf.DUMMYFUNCTION("GOOGLETRANSLATE(C24, ""en"", ""de"")"),"Elfenbein")</f>
        <v>Elfenbein</v>
      </c>
      <c r="H24" s="8" t="str">
        <f>IFERROR(__xludf.DUMMYFUNCTION("GOOGLETRANSLATE(C24, ""en"", ""ru"")"),"слоновая кость")</f>
        <v>слоновая кость</v>
      </c>
      <c r="I24" s="8" t="str">
        <f>IFERROR(__xludf.DUMMYFUNCTION("GOOGLETRANSLATE(C24, ""en"", ""ar"")"),"العاج")</f>
        <v>العاج</v>
      </c>
      <c r="J24" s="8"/>
      <c r="K24" s="7" t="str">
        <f>IFERROR(__xludf.DUMMYFUNCTION("CONCAT(REGEXREPLACE(C24,""[ ,]+"",""_""),"".mp3"")"),"ivory.mp3")</f>
        <v>ivory.mp3</v>
      </c>
      <c r="M24" s="4" t="s">
        <v>10</v>
      </c>
    </row>
    <row r="25" ht="15.75" customHeight="1">
      <c r="A25" s="1">
        <v>1393.0</v>
      </c>
      <c r="B25" s="3">
        <v>138.0</v>
      </c>
      <c r="C25" s="7" t="s">
        <v>92</v>
      </c>
      <c r="D25" s="8" t="str">
        <f>IFERROR(__xludf.DUMMYFUNCTION("GOOGLETRANSLATE(C25, ""en"", ""pt"")"),"creme")</f>
        <v>creme</v>
      </c>
      <c r="E25" s="8" t="str">
        <f>IFERROR(__xludf.DUMMYFUNCTION("GOOGLETRANSLATE(C25, ""en"", ""es"")"),"crema")</f>
        <v>crema</v>
      </c>
      <c r="F25" s="8" t="str">
        <f>IFERROR(__xludf.DUMMYFUNCTION("GOOGLETRANSLATE(C25, ""en"", ""fr"")"),"crème")</f>
        <v>crème</v>
      </c>
      <c r="G25" s="8" t="str">
        <f>IFERROR(__xludf.DUMMYFUNCTION("GOOGLETRANSLATE(C25, ""en"", ""de"")"),"Creme")</f>
        <v>Creme</v>
      </c>
      <c r="H25" s="8" t="str">
        <f>IFERROR(__xludf.DUMMYFUNCTION("GOOGLETRANSLATE(C25, ""en"", ""ru"")"),"крем")</f>
        <v>крем</v>
      </c>
      <c r="I25" s="8" t="str">
        <f>IFERROR(__xludf.DUMMYFUNCTION("GOOGLETRANSLATE(C25, ""en"", ""ar"")"),"كريم")</f>
        <v>كريم</v>
      </c>
      <c r="J25" s="8"/>
      <c r="K25" s="7" t="str">
        <f>IFERROR(__xludf.DUMMYFUNCTION("CONCAT(REGEXREPLACE(C25,""[ ,]+"",""_""),"".mp3"")"),"cream.mp3")</f>
        <v>cream.mp3</v>
      </c>
      <c r="M25" s="4" t="s">
        <v>10</v>
      </c>
    </row>
    <row r="26" ht="15.75" customHeight="1">
      <c r="A26" s="1">
        <v>1394.0</v>
      </c>
      <c r="B26" s="3">
        <v>138.0</v>
      </c>
      <c r="C26" s="7" t="s">
        <v>93</v>
      </c>
      <c r="D26" s="8" t="str">
        <f>IFERROR(__xludf.DUMMYFUNCTION("GOOGLETRANSLATE(C26, ""en"", ""pt"")"),"marrom")</f>
        <v>marrom</v>
      </c>
      <c r="E26" s="8" t="str">
        <f>IFERROR(__xludf.DUMMYFUNCTION("GOOGLETRANSLATE(C26, ""en"", ""es"")"),"granate")</f>
        <v>granate</v>
      </c>
      <c r="F26" s="8" t="str">
        <f>IFERROR(__xludf.DUMMYFUNCTION("GOOGLETRANSLATE(C26, ""en"", ""fr"")"),"bordeaux")</f>
        <v>bordeaux</v>
      </c>
      <c r="G26" s="8" t="str">
        <f>IFERROR(__xludf.DUMMYFUNCTION("GOOGLETRANSLATE(C26, ""en"", ""de"")"),"kastanienbraun")</f>
        <v>kastanienbraun</v>
      </c>
      <c r="H26" s="8" t="str">
        <f>IFERROR(__xludf.DUMMYFUNCTION("GOOGLETRANSLATE(C26, ""en"", ""ru"")"),"бордовый")</f>
        <v>бордовый</v>
      </c>
      <c r="I26" s="8" t="str">
        <f>IFERROR(__xludf.DUMMYFUNCTION("GOOGLETRANSLATE(C26, ""en"", ""ar"")"),"عنابي")</f>
        <v>عنابي</v>
      </c>
      <c r="J26" s="8"/>
      <c r="K26" s="7" t="str">
        <f>IFERROR(__xludf.DUMMYFUNCTION("CONCAT(REGEXREPLACE(C26,""[ ,]+"",""_""),"".mp3"")"),"maroon.mp3")</f>
        <v>maroon.mp3</v>
      </c>
      <c r="M26" s="4" t="s">
        <v>10</v>
      </c>
    </row>
    <row r="27" ht="15.75" customHeight="1">
      <c r="A27" s="1">
        <v>1395.0</v>
      </c>
      <c r="B27" s="3">
        <v>138.0</v>
      </c>
      <c r="C27" s="7" t="s">
        <v>94</v>
      </c>
      <c r="D27" s="8" t="str">
        <f>IFERROR(__xludf.DUMMYFUNCTION("GOOGLETRANSLATE(C27, ""en"", ""pt"")"),"azeitona")</f>
        <v>azeitona</v>
      </c>
      <c r="E27" s="8" t="str">
        <f>IFERROR(__xludf.DUMMYFUNCTION("GOOGLETRANSLATE(C27, ""en"", ""es"")"),"aceituna")</f>
        <v>aceituna</v>
      </c>
      <c r="F27" s="8" t="str">
        <f>IFERROR(__xludf.DUMMYFUNCTION("GOOGLETRANSLATE(C27, ""en"", ""fr"")"),"olive")</f>
        <v>olive</v>
      </c>
      <c r="G27" s="8" t="str">
        <f>IFERROR(__xludf.DUMMYFUNCTION("GOOGLETRANSLATE(C27, ""en"", ""de"")"),"Olive")</f>
        <v>Olive</v>
      </c>
      <c r="H27" s="8" t="str">
        <f>IFERROR(__xludf.DUMMYFUNCTION("GOOGLETRANSLATE(C27, ""en"", ""ru"")"),"оливковый")</f>
        <v>оливковый</v>
      </c>
      <c r="I27" s="8" t="str">
        <f>IFERROR(__xludf.DUMMYFUNCTION("GOOGLETRANSLATE(C27, ""en"", ""ar"")"),"زيتون")</f>
        <v>زيتون</v>
      </c>
      <c r="J27" s="8"/>
      <c r="K27" s="7" t="str">
        <f>IFERROR(__xludf.DUMMYFUNCTION("CONCAT(REGEXREPLACE(C27,""[ ,]+"",""_""),"".mp3"")"),"olive.mp3")</f>
        <v>olive.mp3</v>
      </c>
      <c r="M27" s="4" t="s">
        <v>10</v>
      </c>
    </row>
    <row r="28" ht="15.75" customHeight="1">
      <c r="A28" s="1">
        <v>1396.0</v>
      </c>
      <c r="B28" s="3">
        <v>138.0</v>
      </c>
      <c r="C28" s="7" t="s">
        <v>95</v>
      </c>
      <c r="D28" s="8" t="str">
        <f>IFERROR(__xludf.DUMMYFUNCTION("GOOGLETRANSLATE(C28, ""en"", ""pt"")"),"ouro")</f>
        <v>ouro</v>
      </c>
      <c r="E28" s="8" t="str">
        <f>IFERROR(__xludf.DUMMYFUNCTION("GOOGLETRANSLATE(C28, ""en"", ""es"")"),"oro")</f>
        <v>oro</v>
      </c>
      <c r="F28" s="8" t="str">
        <f>IFERROR(__xludf.DUMMYFUNCTION("GOOGLETRANSLATE(C28, ""en"", ""fr"")"),"or")</f>
        <v>or</v>
      </c>
      <c r="G28" s="8" t="str">
        <f>IFERROR(__xludf.DUMMYFUNCTION("GOOGLETRANSLATE(C28, ""en"", ""de"")"),"Gold")</f>
        <v>Gold</v>
      </c>
      <c r="H28" s="8" t="str">
        <f>IFERROR(__xludf.DUMMYFUNCTION("GOOGLETRANSLATE(C28, ""en"", ""ru"")"),"золото")</f>
        <v>золото</v>
      </c>
      <c r="I28" s="8" t="str">
        <f>IFERROR(__xludf.DUMMYFUNCTION("GOOGLETRANSLATE(C28, ""en"", ""ar"")"),"ذهب")</f>
        <v>ذهب</v>
      </c>
      <c r="J28" s="8"/>
      <c r="K28" s="7" t="str">
        <f>IFERROR(__xludf.DUMMYFUNCTION("CONCAT(REGEXREPLACE(C28,""[ ,]+"",""_""),"".mp3"")"),"gold.mp3")</f>
        <v>gold.mp3</v>
      </c>
      <c r="M28" s="4" t="s">
        <v>10</v>
      </c>
    </row>
    <row r="29" ht="15.75" customHeight="1">
      <c r="A29" s="1">
        <v>1397.0</v>
      </c>
      <c r="B29" s="3">
        <v>138.0</v>
      </c>
      <c r="C29" s="7" t="s">
        <v>96</v>
      </c>
      <c r="D29" s="8" t="str">
        <f>IFERROR(__xludf.DUMMYFUNCTION("GOOGLETRANSLATE(C29, ""en"", ""pt"")"),"prata")</f>
        <v>prata</v>
      </c>
      <c r="E29" s="8" t="str">
        <f>IFERROR(__xludf.DUMMYFUNCTION("GOOGLETRANSLATE(C29, ""en"", ""es"")"),"plata")</f>
        <v>plata</v>
      </c>
      <c r="F29" s="8" t="str">
        <f>IFERROR(__xludf.DUMMYFUNCTION("GOOGLETRANSLATE(C29, ""en"", ""fr"")"),"argent")</f>
        <v>argent</v>
      </c>
      <c r="G29" s="8" t="str">
        <f>IFERROR(__xludf.DUMMYFUNCTION("GOOGLETRANSLATE(C29, ""en"", ""de"")"),"Silber")</f>
        <v>Silber</v>
      </c>
      <c r="H29" s="8" t="str">
        <f>IFERROR(__xludf.DUMMYFUNCTION("GOOGLETRANSLATE(C29, ""en"", ""ru"")"),"серебро")</f>
        <v>серебро</v>
      </c>
      <c r="I29" s="8" t="str">
        <f>IFERROR(__xludf.DUMMYFUNCTION("GOOGLETRANSLATE(C29, ""en"", ""ar"")"),"فضي")</f>
        <v>فضي</v>
      </c>
      <c r="J29" s="8"/>
      <c r="K29" s="7" t="str">
        <f>IFERROR(__xludf.DUMMYFUNCTION("CONCAT(REGEXREPLACE(C29,""[ ,]+"",""_""),"".mp3"")"),"silver.mp3")</f>
        <v>silver.mp3</v>
      </c>
      <c r="M29" s="4" t="s">
        <v>10</v>
      </c>
    </row>
    <row r="30" ht="15.75" customHeight="1">
      <c r="A30" s="1">
        <v>1398.0</v>
      </c>
      <c r="B30" s="3">
        <v>139.0</v>
      </c>
      <c r="C30" s="7" t="s">
        <v>97</v>
      </c>
      <c r="D30" s="8" t="str">
        <f>IFERROR(__xludf.DUMMYFUNCTION("GOOGLETRANSLATE(C30, ""en"", ""pt"")"),"maçã")</f>
        <v>maçã</v>
      </c>
      <c r="E30" s="8" t="str">
        <f>IFERROR(__xludf.DUMMYFUNCTION("GOOGLETRANSLATE(C30, ""en"", ""es"")"),"manzana")</f>
        <v>manzana</v>
      </c>
      <c r="F30" s="8" t="str">
        <f>IFERROR(__xludf.DUMMYFUNCTION("GOOGLETRANSLATE(C30, ""en"", ""fr"")"),"pomme")</f>
        <v>pomme</v>
      </c>
      <c r="G30" s="8" t="str">
        <f>IFERROR(__xludf.DUMMYFUNCTION("GOOGLETRANSLATE(C30, ""en"", ""de"")"),"Apfel")</f>
        <v>Apfel</v>
      </c>
      <c r="H30" s="8" t="str">
        <f>IFERROR(__xludf.DUMMYFUNCTION("GOOGLETRANSLATE(C30, ""en"", ""ru"")"),"яблоко")</f>
        <v>яблоко</v>
      </c>
      <c r="I30" s="8" t="str">
        <f>IFERROR(__xludf.DUMMYFUNCTION("GOOGLETRANSLATE(C30, ""en"", ""ar"")"),"تفاحة")</f>
        <v>تفاحة</v>
      </c>
      <c r="J30" s="8"/>
      <c r="K30" s="7" t="str">
        <f>IFERROR(__xludf.DUMMYFUNCTION("CONCAT(REGEXREPLACE(C30,""[ ,]+"",""_""),"".mp3"")"),"apple.mp3")</f>
        <v>apple.mp3</v>
      </c>
      <c r="M30" s="4" t="s">
        <v>10</v>
      </c>
    </row>
    <row r="31" ht="15.75" customHeight="1">
      <c r="A31" s="1">
        <v>1399.0</v>
      </c>
      <c r="B31" s="3">
        <v>139.0</v>
      </c>
      <c r="C31" s="7" t="s">
        <v>98</v>
      </c>
      <c r="D31" s="8" t="str">
        <f>IFERROR(__xludf.DUMMYFUNCTION("GOOGLETRANSLATE(C31, ""en"", ""pt"")"),"banana")</f>
        <v>banana</v>
      </c>
      <c r="E31" s="8" t="str">
        <f>IFERROR(__xludf.DUMMYFUNCTION("GOOGLETRANSLATE(C31, ""en"", ""es"")"),"banana")</f>
        <v>banana</v>
      </c>
      <c r="F31" s="8" t="str">
        <f>IFERROR(__xludf.DUMMYFUNCTION("GOOGLETRANSLATE(C31, ""en"", ""fr"")"),"banane")</f>
        <v>banane</v>
      </c>
      <c r="G31" s="8" t="str">
        <f>IFERROR(__xludf.DUMMYFUNCTION("GOOGLETRANSLATE(C31, ""en"", ""de"")"),"Banane")</f>
        <v>Banane</v>
      </c>
      <c r="H31" s="8" t="str">
        <f>IFERROR(__xludf.DUMMYFUNCTION("GOOGLETRANSLATE(C31, ""en"", ""ru"")"),"банан")</f>
        <v>банан</v>
      </c>
      <c r="I31" s="8" t="str">
        <f>IFERROR(__xludf.DUMMYFUNCTION("GOOGLETRANSLATE(C31, ""en"", ""ar"")"),"موز")</f>
        <v>موز</v>
      </c>
      <c r="J31" s="8"/>
      <c r="K31" s="7" t="str">
        <f>IFERROR(__xludf.DUMMYFUNCTION("CONCAT(REGEXREPLACE(C31,""[ ,]+"",""_""),"".mp3"")"),"banana.mp3")</f>
        <v>banana.mp3</v>
      </c>
      <c r="M31" s="4" t="s">
        <v>10</v>
      </c>
    </row>
    <row r="32" ht="15.75" customHeight="1">
      <c r="A32" s="1">
        <v>1400.0</v>
      </c>
      <c r="B32" s="3">
        <v>139.0</v>
      </c>
      <c r="C32" s="7" t="s">
        <v>73</v>
      </c>
      <c r="D32" s="8" t="str">
        <f>IFERROR(__xludf.DUMMYFUNCTION("GOOGLETRANSLATE(C32, ""en"", ""pt"")"),"laranja")</f>
        <v>laranja</v>
      </c>
      <c r="E32" s="8" t="str">
        <f>IFERROR(__xludf.DUMMYFUNCTION("GOOGLETRANSLATE(C32, ""en"", ""es"")"),"naranja")</f>
        <v>naranja</v>
      </c>
      <c r="F32" s="8" t="str">
        <f>IFERROR(__xludf.DUMMYFUNCTION("GOOGLETRANSLATE(C32, ""en"", ""fr"")"),"orange")</f>
        <v>orange</v>
      </c>
      <c r="G32" s="8" t="str">
        <f>IFERROR(__xludf.DUMMYFUNCTION("GOOGLETRANSLATE(C32, ""en"", ""de"")"),"orange")</f>
        <v>orange</v>
      </c>
      <c r="H32" s="8" t="str">
        <f>IFERROR(__xludf.DUMMYFUNCTION("GOOGLETRANSLATE(C32, ""en"", ""ru"")"),"апельсин")</f>
        <v>апельсин</v>
      </c>
      <c r="I32" s="8" t="str">
        <f>IFERROR(__xludf.DUMMYFUNCTION("GOOGLETRANSLATE(C32, ""en"", ""ar"")"),"البرتقالي")</f>
        <v>البرتقالي</v>
      </c>
      <c r="J32" s="8"/>
      <c r="K32" s="7" t="str">
        <f>IFERROR(__xludf.DUMMYFUNCTION("CONCAT(REGEXREPLACE(C32,""[ ,]+"",""_""),"".mp3"")"),"orange.mp3")</f>
        <v>orange.mp3</v>
      </c>
      <c r="M32" s="4" t="s">
        <v>10</v>
      </c>
    </row>
    <row r="33" ht="15.75" customHeight="1">
      <c r="A33" s="1">
        <v>1401.0</v>
      </c>
      <c r="B33" s="3">
        <v>139.0</v>
      </c>
      <c r="C33" s="7" t="s">
        <v>99</v>
      </c>
      <c r="D33" s="8" t="str">
        <f>IFERROR(__xludf.DUMMYFUNCTION("GOOGLETRANSLATE(C33, ""en"", ""pt"")"),"pera")</f>
        <v>pera</v>
      </c>
      <c r="E33" s="8" t="str">
        <f>IFERROR(__xludf.DUMMYFUNCTION("GOOGLETRANSLATE(C33, ""en"", ""es"")"),"pera")</f>
        <v>pera</v>
      </c>
      <c r="F33" s="8" t="str">
        <f>IFERROR(__xludf.DUMMYFUNCTION("GOOGLETRANSLATE(C33, ""en"", ""fr"")"),"poire")</f>
        <v>poire</v>
      </c>
      <c r="G33" s="8" t="str">
        <f>IFERROR(__xludf.DUMMYFUNCTION("GOOGLETRANSLATE(C33, ""en"", ""de"")"),"Birne")</f>
        <v>Birne</v>
      </c>
      <c r="H33" s="8" t="str">
        <f>IFERROR(__xludf.DUMMYFUNCTION("GOOGLETRANSLATE(C33, ""en"", ""ru"")"),"груша")</f>
        <v>груша</v>
      </c>
      <c r="I33" s="8" t="str">
        <f>IFERROR(__xludf.DUMMYFUNCTION("GOOGLETRANSLATE(C33, ""en"", ""ar"")"),"كُمَّثرَى")</f>
        <v>كُمَّثرَى</v>
      </c>
      <c r="J33" s="8"/>
      <c r="K33" s="7" t="str">
        <f>IFERROR(__xludf.DUMMYFUNCTION("CONCAT(REGEXREPLACE(C33,""[ ,]+"",""_""),"".mp3"")"),"pear.mp3")</f>
        <v>pear.mp3</v>
      </c>
      <c r="M33" s="4" t="s">
        <v>10</v>
      </c>
    </row>
    <row r="34" ht="15.75" customHeight="1">
      <c r="A34" s="1">
        <v>1402.0</v>
      </c>
      <c r="B34" s="3">
        <v>139.0</v>
      </c>
      <c r="C34" s="7" t="s">
        <v>100</v>
      </c>
      <c r="D34" s="8" t="str">
        <f>IFERROR(__xludf.DUMMYFUNCTION("GOOGLETRANSLATE(C34, ""en"", ""pt"")"),"pêssego")</f>
        <v>pêssego</v>
      </c>
      <c r="E34" s="8" t="str">
        <f>IFERROR(__xludf.DUMMYFUNCTION("GOOGLETRANSLATE(C34, ""en"", ""es"")"),"durazno")</f>
        <v>durazno</v>
      </c>
      <c r="F34" s="8" t="str">
        <f>IFERROR(__xludf.DUMMYFUNCTION("GOOGLETRANSLATE(C34, ""en"", ""fr"")"),"pêche")</f>
        <v>pêche</v>
      </c>
      <c r="G34" s="8" t="str">
        <f>IFERROR(__xludf.DUMMYFUNCTION("GOOGLETRANSLATE(C34, ""en"", ""de"")"),"Pfirsich")</f>
        <v>Pfirsich</v>
      </c>
      <c r="H34" s="8" t="str">
        <f>IFERROR(__xludf.DUMMYFUNCTION("GOOGLETRANSLATE(C34, ""en"", ""ru"")"),"персик")</f>
        <v>персик</v>
      </c>
      <c r="I34" s="8" t="str">
        <f>IFERROR(__xludf.DUMMYFUNCTION("GOOGLETRANSLATE(C34, ""en"", ""ar"")"),"خَوخ")</f>
        <v>خَوخ</v>
      </c>
      <c r="J34" s="8"/>
      <c r="K34" s="7" t="str">
        <f>IFERROR(__xludf.DUMMYFUNCTION("CONCAT(REGEXREPLACE(C34,""[ ,]+"",""_""),"".mp3"")"),"peach.mp3")</f>
        <v>peach.mp3</v>
      </c>
      <c r="M34" s="4" t="s">
        <v>10</v>
      </c>
    </row>
    <row r="35" ht="15.75" customHeight="1">
      <c r="A35" s="1">
        <v>1403.0</v>
      </c>
      <c r="B35" s="3">
        <v>139.0</v>
      </c>
      <c r="C35" s="7" t="s">
        <v>101</v>
      </c>
      <c r="D35" s="8" t="str">
        <f>IFERROR(__xludf.DUMMYFUNCTION("GOOGLETRANSLATE(C35, ""en"", ""pt"")"),"ameixa")</f>
        <v>ameixa</v>
      </c>
      <c r="E35" s="8" t="str">
        <f>IFERROR(__xludf.DUMMYFUNCTION("GOOGLETRANSLATE(C35, ""en"", ""es"")"),"ciruela")</f>
        <v>ciruela</v>
      </c>
      <c r="F35" s="8" t="str">
        <f>IFERROR(__xludf.DUMMYFUNCTION("GOOGLETRANSLATE(C35, ""en"", ""fr"")"),"prune")</f>
        <v>prune</v>
      </c>
      <c r="G35" s="8" t="str">
        <f>IFERROR(__xludf.DUMMYFUNCTION("GOOGLETRANSLATE(C35, ""en"", ""de"")"),"Pflaume")</f>
        <v>Pflaume</v>
      </c>
      <c r="H35" s="8" t="str">
        <f>IFERROR(__xludf.DUMMYFUNCTION("GOOGLETRANSLATE(C35, ""en"", ""ru"")"),"слива")</f>
        <v>слива</v>
      </c>
      <c r="I35" s="8" t="str">
        <f>IFERROR(__xludf.DUMMYFUNCTION("GOOGLETRANSLATE(C35, ""en"", ""ar"")"),"البرقوق")</f>
        <v>البرقوق</v>
      </c>
      <c r="J35" s="8"/>
      <c r="K35" s="7" t="str">
        <f>IFERROR(__xludf.DUMMYFUNCTION("CONCAT(REGEXREPLACE(C35,""[ ,]+"",""_""),"".mp3"")"),"plum.mp3")</f>
        <v>plum.mp3</v>
      </c>
      <c r="M35" s="4" t="s">
        <v>10</v>
      </c>
    </row>
    <row r="36" ht="15.75" customHeight="1">
      <c r="A36" s="1">
        <v>1404.0</v>
      </c>
      <c r="B36" s="3">
        <v>139.0</v>
      </c>
      <c r="C36" s="7" t="s">
        <v>102</v>
      </c>
      <c r="D36" s="8" t="str">
        <f>IFERROR(__xludf.DUMMYFUNCTION("GOOGLETRANSLATE(C36, ""en"", ""pt"")"),"uva")</f>
        <v>uva</v>
      </c>
      <c r="E36" s="8" t="str">
        <f>IFERROR(__xludf.DUMMYFUNCTION("GOOGLETRANSLATE(C36, ""en"", ""es"")"),"uva")</f>
        <v>uva</v>
      </c>
      <c r="F36" s="8" t="str">
        <f>IFERROR(__xludf.DUMMYFUNCTION("GOOGLETRANSLATE(C36, ""en"", ""fr"")"),"raisin")</f>
        <v>raisin</v>
      </c>
      <c r="G36" s="8" t="str">
        <f>IFERROR(__xludf.DUMMYFUNCTION("GOOGLETRANSLATE(C36, ""en"", ""de"")"),"Traube")</f>
        <v>Traube</v>
      </c>
      <c r="H36" s="8" t="str">
        <f>IFERROR(__xludf.DUMMYFUNCTION("GOOGLETRANSLATE(C36, ""en"", ""ru"")"),"виноград")</f>
        <v>виноград</v>
      </c>
      <c r="I36" s="8" t="str">
        <f>IFERROR(__xludf.DUMMYFUNCTION("GOOGLETRANSLATE(C36, ""en"", ""ar"")"),"عنب")</f>
        <v>عنب</v>
      </c>
      <c r="J36" s="8"/>
      <c r="K36" s="7" t="str">
        <f>IFERROR(__xludf.DUMMYFUNCTION("CONCAT(REGEXREPLACE(C36,""[ ,]+"",""_""),"".mp3"")"),"grape.mp3")</f>
        <v>grape.mp3</v>
      </c>
      <c r="M36" s="4" t="s">
        <v>10</v>
      </c>
    </row>
    <row r="37" ht="15.75" customHeight="1">
      <c r="A37" s="1">
        <v>1405.0</v>
      </c>
      <c r="B37" s="3">
        <v>139.0</v>
      </c>
      <c r="C37" s="7" t="s">
        <v>103</v>
      </c>
      <c r="D37" s="8" t="str">
        <f>IFERROR(__xludf.DUMMYFUNCTION("GOOGLETRANSLATE(C37, ""en"", ""pt"")"),"cereja")</f>
        <v>cereja</v>
      </c>
      <c r="E37" s="8" t="str">
        <f>IFERROR(__xludf.DUMMYFUNCTION("GOOGLETRANSLATE(C37, ""en"", ""es"")"),"cereza")</f>
        <v>cereza</v>
      </c>
      <c r="F37" s="8" t="str">
        <f>IFERROR(__xludf.DUMMYFUNCTION("GOOGLETRANSLATE(C37, ""en"", ""fr"")"),"cerise")</f>
        <v>cerise</v>
      </c>
      <c r="G37" s="8" t="str">
        <f>IFERROR(__xludf.DUMMYFUNCTION("GOOGLETRANSLATE(C37, ""en"", ""de"")"),"Kirsche")</f>
        <v>Kirsche</v>
      </c>
      <c r="H37" s="8" t="str">
        <f>IFERROR(__xludf.DUMMYFUNCTION("GOOGLETRANSLATE(C37, ""en"", ""ru"")"),"вишня")</f>
        <v>вишня</v>
      </c>
      <c r="I37" s="8" t="str">
        <f>IFERROR(__xludf.DUMMYFUNCTION("GOOGLETRANSLATE(C37, ""en"", ""ar"")"),"الكرز")</f>
        <v>الكرز</v>
      </c>
      <c r="J37" s="8"/>
      <c r="K37" s="7" t="str">
        <f>IFERROR(__xludf.DUMMYFUNCTION("CONCAT(REGEXREPLACE(C37,""[ ,]+"",""_""),"".mp3"")"),"cherry.mp3")</f>
        <v>cherry.mp3</v>
      </c>
      <c r="M37" s="4" t="s">
        <v>10</v>
      </c>
    </row>
    <row r="38" ht="15.75" customHeight="1">
      <c r="A38" s="1">
        <v>1406.0</v>
      </c>
      <c r="B38" s="3">
        <v>139.0</v>
      </c>
      <c r="C38" s="7" t="s">
        <v>104</v>
      </c>
      <c r="D38" s="8" t="str">
        <f>IFERROR(__xludf.DUMMYFUNCTION("GOOGLETRANSLATE(C38, ""en"", ""pt"")"),"limão")</f>
        <v>limão</v>
      </c>
      <c r="E38" s="8" t="str">
        <f>IFERROR(__xludf.DUMMYFUNCTION("GOOGLETRANSLATE(C38, ""en"", ""es"")"),"limón")</f>
        <v>limón</v>
      </c>
      <c r="F38" s="8" t="str">
        <f>IFERROR(__xludf.DUMMYFUNCTION("GOOGLETRANSLATE(C38, ""en"", ""fr"")"),"citron")</f>
        <v>citron</v>
      </c>
      <c r="G38" s="8" t="str">
        <f>IFERROR(__xludf.DUMMYFUNCTION("GOOGLETRANSLATE(C38, ""en"", ""de"")"),"Zitrone")</f>
        <v>Zitrone</v>
      </c>
      <c r="H38" s="8" t="str">
        <f>IFERROR(__xludf.DUMMYFUNCTION("GOOGLETRANSLATE(C38, ""en"", ""ru"")"),"лимон")</f>
        <v>лимон</v>
      </c>
      <c r="I38" s="8" t="str">
        <f>IFERROR(__xludf.DUMMYFUNCTION("GOOGLETRANSLATE(C38, ""en"", ""ar"")"),"ليمون")</f>
        <v>ليمون</v>
      </c>
      <c r="J38" s="8"/>
      <c r="K38" s="7" t="str">
        <f>IFERROR(__xludf.DUMMYFUNCTION("CONCAT(REGEXREPLACE(C38,""[ ,]+"",""_""),"".mp3"")"),"lemon.mp3")</f>
        <v>lemon.mp3</v>
      </c>
      <c r="M38" s="4" t="s">
        <v>10</v>
      </c>
    </row>
    <row r="39" ht="15.75" customHeight="1">
      <c r="A39" s="1">
        <v>1407.0</v>
      </c>
      <c r="B39" s="3">
        <v>139.0</v>
      </c>
      <c r="C39" s="7" t="s">
        <v>105</v>
      </c>
      <c r="D39" s="8" t="str">
        <f>IFERROR(__xludf.DUMMYFUNCTION("GOOGLETRANSLATE(C39, ""en"", ""pt"")"),"Lima")</f>
        <v>Lima</v>
      </c>
      <c r="E39" s="8" t="str">
        <f>IFERROR(__xludf.DUMMYFUNCTION("GOOGLETRANSLATE(C39, ""en"", ""es"")"),"cal")</f>
        <v>cal</v>
      </c>
      <c r="F39" s="8" t="str">
        <f>IFERROR(__xludf.DUMMYFUNCTION("GOOGLETRANSLATE(C39, ""en"", ""fr"")"),"citron vert")</f>
        <v>citron vert</v>
      </c>
      <c r="G39" s="8" t="str">
        <f>IFERROR(__xludf.DUMMYFUNCTION("GOOGLETRANSLATE(C39, ""en"", ""de"")"),"Kalk")</f>
        <v>Kalk</v>
      </c>
      <c r="H39" s="8" t="str">
        <f>IFERROR(__xludf.DUMMYFUNCTION("GOOGLETRANSLATE(C39, ""en"", ""ru"")"),"лайм")</f>
        <v>лайм</v>
      </c>
      <c r="I39" s="8" t="str">
        <f>IFERROR(__xludf.DUMMYFUNCTION("GOOGLETRANSLATE(C39, ""en"", ""ar"")"),"الليمون")</f>
        <v>الليمون</v>
      </c>
      <c r="J39" s="8"/>
      <c r="K39" s="7" t="str">
        <f>IFERROR(__xludf.DUMMYFUNCTION("CONCAT(REGEXREPLACE(C39,""[ ,]+"",""_""),"".mp3"")"),"lime.mp3")</f>
        <v>lime.mp3</v>
      </c>
      <c r="M39" s="4" t="s">
        <v>10</v>
      </c>
    </row>
    <row r="40" ht="15.75" customHeight="1">
      <c r="A40" s="1">
        <v>1408.0</v>
      </c>
      <c r="B40" s="3">
        <v>139.0</v>
      </c>
      <c r="C40" s="7" t="s">
        <v>106</v>
      </c>
      <c r="D40" s="8" t="str">
        <f>IFERROR(__xludf.DUMMYFUNCTION("GOOGLETRANSLATE(C40, ""en"", ""pt"")"),"manga")</f>
        <v>manga</v>
      </c>
      <c r="E40" s="8" t="str">
        <f>IFERROR(__xludf.DUMMYFUNCTION("GOOGLETRANSLATE(C40, ""en"", ""es"")"),"mango")</f>
        <v>mango</v>
      </c>
      <c r="F40" s="8" t="str">
        <f>IFERROR(__xludf.DUMMYFUNCTION("GOOGLETRANSLATE(C40, ""en"", ""fr"")"),"mangue")</f>
        <v>mangue</v>
      </c>
      <c r="G40" s="8" t="str">
        <f>IFERROR(__xludf.DUMMYFUNCTION("GOOGLETRANSLATE(C40, ""en"", ""de"")"),"Mango")</f>
        <v>Mango</v>
      </c>
      <c r="H40" s="8" t="str">
        <f>IFERROR(__xludf.DUMMYFUNCTION("GOOGLETRANSLATE(C40, ""en"", ""ru"")"),"манго")</f>
        <v>манго</v>
      </c>
      <c r="I40" s="8" t="str">
        <f>IFERROR(__xludf.DUMMYFUNCTION("GOOGLETRANSLATE(C40, ""en"", ""ar"")"),"مانجو")</f>
        <v>مانجو</v>
      </c>
      <c r="J40" s="8"/>
      <c r="K40" s="7" t="str">
        <f>IFERROR(__xludf.DUMMYFUNCTION("CONCAT(REGEXREPLACE(C40,""[ ,]+"",""_""),"".mp3"")"),"mango.mp3")</f>
        <v>mango.mp3</v>
      </c>
      <c r="M40" s="4" t="s">
        <v>10</v>
      </c>
    </row>
    <row r="41" ht="15.75" customHeight="1">
      <c r="A41" s="1">
        <v>1409.0</v>
      </c>
      <c r="B41" s="3">
        <v>139.0</v>
      </c>
      <c r="C41" s="7" t="s">
        <v>107</v>
      </c>
      <c r="D41" s="8" t="str">
        <f>IFERROR(__xludf.DUMMYFUNCTION("GOOGLETRANSLATE(C41, ""en"", ""pt"")"),"abacaxi")</f>
        <v>abacaxi</v>
      </c>
      <c r="E41" s="8" t="str">
        <f>IFERROR(__xludf.DUMMYFUNCTION("GOOGLETRANSLATE(C41, ""en"", ""es"")"),"piña")</f>
        <v>piña</v>
      </c>
      <c r="F41" s="8" t="str">
        <f>IFERROR(__xludf.DUMMYFUNCTION("GOOGLETRANSLATE(C41, ""en"", ""fr"")"),"ananas")</f>
        <v>ananas</v>
      </c>
      <c r="G41" s="8" t="str">
        <f>IFERROR(__xludf.DUMMYFUNCTION("GOOGLETRANSLATE(C41, ""en"", ""de"")"),"Ananas")</f>
        <v>Ananas</v>
      </c>
      <c r="H41" s="8" t="str">
        <f>IFERROR(__xludf.DUMMYFUNCTION("GOOGLETRANSLATE(C41, ""en"", ""ru"")"),"ананас")</f>
        <v>ананас</v>
      </c>
      <c r="I41" s="8" t="str">
        <f>IFERROR(__xludf.DUMMYFUNCTION("GOOGLETRANSLATE(C41, ""en"", ""ar"")"),"أناناس")</f>
        <v>أناناس</v>
      </c>
      <c r="J41" s="8"/>
      <c r="K41" s="7" t="str">
        <f>IFERROR(__xludf.DUMMYFUNCTION("CONCAT(REGEXREPLACE(C41,""[ ,]+"",""_""),"".mp3"")"),"pineapple.mp3")</f>
        <v>pineapple.mp3</v>
      </c>
      <c r="M41" s="4" t="s">
        <v>10</v>
      </c>
    </row>
    <row r="42" ht="15.75" customHeight="1">
      <c r="A42" s="1">
        <v>1410.0</v>
      </c>
      <c r="B42" s="3">
        <v>139.0</v>
      </c>
      <c r="C42" s="7" t="s">
        <v>108</v>
      </c>
      <c r="D42" s="8" t="str">
        <f>IFERROR(__xludf.DUMMYFUNCTION("GOOGLETRANSLATE(C42, ""en"", ""pt"")"),"mamão")</f>
        <v>mamão</v>
      </c>
      <c r="E42" s="8" t="str">
        <f>IFERROR(__xludf.DUMMYFUNCTION("GOOGLETRANSLATE(C42, ""en"", ""es"")"),"papaya")</f>
        <v>papaya</v>
      </c>
      <c r="F42" s="8" t="str">
        <f>IFERROR(__xludf.DUMMYFUNCTION("GOOGLETRANSLATE(C42, ""en"", ""fr"")"),"papaye")</f>
        <v>papaye</v>
      </c>
      <c r="G42" s="8" t="str">
        <f>IFERROR(__xludf.DUMMYFUNCTION("GOOGLETRANSLATE(C42, ""en"", ""de"")"),"Papaya")</f>
        <v>Papaya</v>
      </c>
      <c r="H42" s="8" t="str">
        <f>IFERROR(__xludf.DUMMYFUNCTION("GOOGLETRANSLATE(C42, ""en"", ""ru"")"),"папайя")</f>
        <v>папайя</v>
      </c>
      <c r="I42" s="8" t="str">
        <f>IFERROR(__xludf.DUMMYFUNCTION("GOOGLETRANSLATE(C42, ""en"", ""ar"")"),"البابايا")</f>
        <v>البابايا</v>
      </c>
      <c r="J42" s="8"/>
      <c r="K42" s="7" t="str">
        <f>IFERROR(__xludf.DUMMYFUNCTION("CONCAT(REGEXREPLACE(C42,""[ ,]+"",""_""),"".mp3"")"),"papaya.mp3")</f>
        <v>papaya.mp3</v>
      </c>
      <c r="M42" s="4" t="s">
        <v>10</v>
      </c>
    </row>
    <row r="43" ht="15.75" customHeight="1">
      <c r="A43" s="1">
        <v>1411.0</v>
      </c>
      <c r="B43" s="3">
        <v>139.0</v>
      </c>
      <c r="C43" s="7" t="s">
        <v>109</v>
      </c>
      <c r="D43" s="8" t="str">
        <f>IFERROR(__xludf.DUMMYFUNCTION("GOOGLETRANSLATE(C43, ""en"", ""pt"")"),"coco")</f>
        <v>coco</v>
      </c>
      <c r="E43" s="8" t="str">
        <f>IFERROR(__xludf.DUMMYFUNCTION("GOOGLETRANSLATE(C43, ""en"", ""es"")"),"Coco")</f>
        <v>Coco</v>
      </c>
      <c r="F43" s="8" t="str">
        <f>IFERROR(__xludf.DUMMYFUNCTION("GOOGLETRANSLATE(C43, ""en"", ""fr"")"),"noix de coco")</f>
        <v>noix de coco</v>
      </c>
      <c r="G43" s="8" t="str">
        <f>IFERROR(__xludf.DUMMYFUNCTION("GOOGLETRANSLATE(C43, ""en"", ""de"")"),"Kokosnuss")</f>
        <v>Kokosnuss</v>
      </c>
      <c r="H43" s="8" t="str">
        <f>IFERROR(__xludf.DUMMYFUNCTION("GOOGLETRANSLATE(C43, ""en"", ""ru"")"),"кокос")</f>
        <v>кокос</v>
      </c>
      <c r="I43" s="8" t="str">
        <f>IFERROR(__xludf.DUMMYFUNCTION("GOOGLETRANSLATE(C43, ""en"", ""ar"")"),"جوزة الهند")</f>
        <v>جوزة الهند</v>
      </c>
      <c r="J43" s="8"/>
      <c r="K43" s="7" t="str">
        <f>IFERROR(__xludf.DUMMYFUNCTION("CONCAT(REGEXREPLACE(C43,""[ ,]+"",""_""),"".mp3"")"),"coconut.mp3")</f>
        <v>coconut.mp3</v>
      </c>
      <c r="M43" s="4" t="s">
        <v>10</v>
      </c>
    </row>
    <row r="44" ht="15.75" customHeight="1">
      <c r="A44" s="1">
        <v>1412.0</v>
      </c>
      <c r="B44" s="3">
        <v>139.0</v>
      </c>
      <c r="C44" s="7" t="s">
        <v>110</v>
      </c>
      <c r="D44" s="8" t="str">
        <f>IFERROR(__xludf.DUMMYFUNCTION("GOOGLETRANSLATE(C44, ""en"", ""pt"")"),"kiwi")</f>
        <v>kiwi</v>
      </c>
      <c r="E44" s="8" t="str">
        <f>IFERROR(__xludf.DUMMYFUNCTION("GOOGLETRANSLATE(C44, ""en"", ""es"")"),"kiwi")</f>
        <v>kiwi</v>
      </c>
      <c r="F44" s="8" t="str">
        <f>IFERROR(__xludf.DUMMYFUNCTION("GOOGLETRANSLATE(C44, ""en"", ""fr"")"),"kiwi")</f>
        <v>kiwi</v>
      </c>
      <c r="G44" s="8" t="str">
        <f>IFERROR(__xludf.DUMMYFUNCTION("GOOGLETRANSLATE(C44, ""en"", ""de"")"),"Kiwi")</f>
        <v>Kiwi</v>
      </c>
      <c r="H44" s="8" t="str">
        <f>IFERROR(__xludf.DUMMYFUNCTION("GOOGLETRANSLATE(C44, ""en"", ""ru"")"),"киви")</f>
        <v>киви</v>
      </c>
      <c r="I44" s="8" t="str">
        <f>IFERROR(__xludf.DUMMYFUNCTION("GOOGLETRANSLATE(C44, ""en"", ""ar"")"),"كيوي")</f>
        <v>كيوي</v>
      </c>
      <c r="J44" s="8"/>
      <c r="K44" s="7" t="str">
        <f>IFERROR(__xludf.DUMMYFUNCTION("CONCAT(REGEXREPLACE(C44,""[ ,]+"",""_""),"".mp3"")"),"kiwi.mp3")</f>
        <v>kiwi.mp3</v>
      </c>
      <c r="M44" s="4" t="s">
        <v>10</v>
      </c>
    </row>
    <row r="45" ht="15.75" customHeight="1">
      <c r="A45" s="1">
        <v>1413.0</v>
      </c>
      <c r="B45" s="3">
        <v>139.0</v>
      </c>
      <c r="C45" s="7" t="s">
        <v>111</v>
      </c>
      <c r="D45" s="8" t="str">
        <f>IFERROR(__xludf.DUMMYFUNCTION("GOOGLETRANSLATE(C45, ""en"", ""pt"")"),"maracujá")</f>
        <v>maracujá</v>
      </c>
      <c r="E45" s="8" t="str">
        <f>IFERROR(__xludf.DUMMYFUNCTION("GOOGLETRANSLATE(C45, ""en"", ""es"")"),"granadilla")</f>
        <v>granadilla</v>
      </c>
      <c r="F45" s="8" t="str">
        <f>IFERROR(__xludf.DUMMYFUNCTION("GOOGLETRANSLATE(C45, ""en"", ""fr"")"),"fruit de la passion")</f>
        <v>fruit de la passion</v>
      </c>
      <c r="G45" s="8" t="str">
        <f>IFERROR(__xludf.DUMMYFUNCTION("GOOGLETRANSLATE(C45, ""en"", ""de"")"),"Passionsfrucht")</f>
        <v>Passionsfrucht</v>
      </c>
      <c r="H45" s="8" t="str">
        <f>IFERROR(__xludf.DUMMYFUNCTION("GOOGLETRANSLATE(C45, ""en"", ""ru"")"),"маракуйя")</f>
        <v>маракуйя</v>
      </c>
      <c r="I45" s="8" t="str">
        <f>IFERROR(__xludf.DUMMYFUNCTION("GOOGLETRANSLATE(C45, ""en"", ""ar"")"),"فاكهة الباشن فروت")</f>
        <v>فاكهة الباشن فروت</v>
      </c>
      <c r="J45" s="8"/>
      <c r="K45" s="7" t="str">
        <f>IFERROR(__xludf.DUMMYFUNCTION("CONCAT(REGEXREPLACE(C45,""[ ,]+"",""_""),"".mp3"")"),"passion_fruit.mp3")</f>
        <v>passion_fruit.mp3</v>
      </c>
      <c r="M45" s="4" t="s">
        <v>10</v>
      </c>
    </row>
    <row r="46" ht="15.75" customHeight="1">
      <c r="A46" s="1">
        <v>1414.0</v>
      </c>
      <c r="B46" s="3">
        <v>139.0</v>
      </c>
      <c r="C46" s="7" t="s">
        <v>112</v>
      </c>
      <c r="D46" s="8" t="str">
        <f>IFERROR(__xludf.DUMMYFUNCTION("GOOGLETRANSLATE(C46, ""en"", ""pt"")"),"lichia")</f>
        <v>lichia</v>
      </c>
      <c r="E46" s="8" t="str">
        <f>IFERROR(__xludf.DUMMYFUNCTION("GOOGLETRANSLATE(C46, ""en"", ""es"")"),"lychee")</f>
        <v>lychee</v>
      </c>
      <c r="F46" s="8" t="str">
        <f>IFERROR(__xludf.DUMMYFUNCTION("GOOGLETRANSLATE(C46, ""en"", ""fr"")"),"litchi")</f>
        <v>litchi</v>
      </c>
      <c r="G46" s="8" t="str">
        <f>IFERROR(__xludf.DUMMYFUNCTION("GOOGLETRANSLATE(C46, ""en"", ""de"")"),"Litschi")</f>
        <v>Litschi</v>
      </c>
      <c r="H46" s="8" t="str">
        <f>IFERROR(__xludf.DUMMYFUNCTION("GOOGLETRANSLATE(C46, ""en"", ""ru"")"),"личи")</f>
        <v>личи</v>
      </c>
      <c r="I46" s="8" t="str">
        <f>IFERROR(__xludf.DUMMYFUNCTION("GOOGLETRANSLATE(C46, ""en"", ""ar"")"),"الليتشي")</f>
        <v>الليتشي</v>
      </c>
      <c r="J46" s="8"/>
      <c r="K46" s="7" t="str">
        <f>IFERROR(__xludf.DUMMYFUNCTION("CONCAT(REGEXREPLACE(C46,""[ ,]+"",""_""),"".mp3"")"),"lychee.mp3")</f>
        <v>lychee.mp3</v>
      </c>
      <c r="M46" s="4" t="s">
        <v>10</v>
      </c>
    </row>
    <row r="47" ht="15.75" customHeight="1">
      <c r="A47" s="1">
        <v>1415.0</v>
      </c>
      <c r="B47" s="3">
        <v>139.0</v>
      </c>
      <c r="C47" s="7" t="s">
        <v>113</v>
      </c>
      <c r="D47" s="8" t="str">
        <f>IFERROR(__xludf.DUMMYFUNCTION("GOOGLETRANSLATE(C47, ""en"", ""pt"")"),"goiaba")</f>
        <v>goiaba</v>
      </c>
      <c r="E47" s="8" t="str">
        <f>IFERROR(__xludf.DUMMYFUNCTION("GOOGLETRANSLATE(C47, ""en"", ""es"")"),"guayaba")</f>
        <v>guayaba</v>
      </c>
      <c r="F47" s="8" t="str">
        <f>IFERROR(__xludf.DUMMYFUNCTION("GOOGLETRANSLATE(C47, ""en"", ""fr"")"),"goyave")</f>
        <v>goyave</v>
      </c>
      <c r="G47" s="8" t="str">
        <f>IFERROR(__xludf.DUMMYFUNCTION("GOOGLETRANSLATE(C47, ""en"", ""de"")"),"Guave")</f>
        <v>Guave</v>
      </c>
      <c r="H47" s="8" t="str">
        <f>IFERROR(__xludf.DUMMYFUNCTION("GOOGLETRANSLATE(C47, ""en"", ""ru"")"),"гуава")</f>
        <v>гуава</v>
      </c>
      <c r="I47" s="8" t="str">
        <f>IFERROR(__xludf.DUMMYFUNCTION("GOOGLETRANSLATE(C47, ""en"", ""ar"")"),"الجوافة")</f>
        <v>الجوافة</v>
      </c>
      <c r="J47" s="8"/>
      <c r="K47" s="7" t="str">
        <f>IFERROR(__xludf.DUMMYFUNCTION("CONCAT(REGEXREPLACE(C47,""[ ,]+"",""_""),"".mp3"")"),"guava.mp3")</f>
        <v>guava.mp3</v>
      </c>
      <c r="M47" s="4" t="s">
        <v>10</v>
      </c>
    </row>
    <row r="48" ht="15.75" customHeight="1">
      <c r="A48" s="1">
        <v>1416.0</v>
      </c>
      <c r="B48" s="3">
        <v>139.0</v>
      </c>
      <c r="C48" s="7" t="s">
        <v>114</v>
      </c>
      <c r="D48" s="8" t="str">
        <f>IFERROR(__xludf.DUMMYFUNCTION("GOOGLETRANSLATE(C48, ""en"", ""pt"")"),"morango")</f>
        <v>morango</v>
      </c>
      <c r="E48" s="8" t="str">
        <f>IFERROR(__xludf.DUMMYFUNCTION("GOOGLETRANSLATE(C48, ""en"", ""es"")"),"fresa")</f>
        <v>fresa</v>
      </c>
      <c r="F48" s="8" t="str">
        <f>IFERROR(__xludf.DUMMYFUNCTION("GOOGLETRANSLATE(C48, ""en"", ""fr"")"),"fraise")</f>
        <v>fraise</v>
      </c>
      <c r="G48" s="8" t="str">
        <f>IFERROR(__xludf.DUMMYFUNCTION("GOOGLETRANSLATE(C48, ""en"", ""de"")"),"Erdbeere")</f>
        <v>Erdbeere</v>
      </c>
      <c r="H48" s="8" t="str">
        <f>IFERROR(__xludf.DUMMYFUNCTION("GOOGLETRANSLATE(C48, ""en"", ""ru"")"),"клубника")</f>
        <v>клубника</v>
      </c>
      <c r="I48" s="8" t="str">
        <f>IFERROR(__xludf.DUMMYFUNCTION("GOOGLETRANSLATE(C48, ""en"", ""ar"")"),"الفراولة")</f>
        <v>الفراولة</v>
      </c>
      <c r="J48" s="8"/>
      <c r="K48" s="7" t="str">
        <f>IFERROR(__xludf.DUMMYFUNCTION("CONCAT(REGEXREPLACE(C48,""[ ,]+"",""_""),"".mp3"")"),"strawberry.mp3")</f>
        <v>strawberry.mp3</v>
      </c>
      <c r="M48" s="4" t="s">
        <v>10</v>
      </c>
    </row>
    <row r="49" ht="15.75" customHeight="1">
      <c r="A49" s="1">
        <v>1417.0</v>
      </c>
      <c r="B49" s="3">
        <v>139.0</v>
      </c>
      <c r="C49" s="7" t="s">
        <v>115</v>
      </c>
      <c r="D49" s="8" t="str">
        <f>IFERROR(__xludf.DUMMYFUNCTION("GOOGLETRANSLATE(C49, ""en"", ""pt"")"),"mirtilo")</f>
        <v>mirtilo</v>
      </c>
      <c r="E49" s="8" t="str">
        <f>IFERROR(__xludf.DUMMYFUNCTION("GOOGLETRANSLATE(C49, ""en"", ""es"")"),"arándano")</f>
        <v>arándano</v>
      </c>
      <c r="F49" s="8" t="str">
        <f>IFERROR(__xludf.DUMMYFUNCTION("GOOGLETRANSLATE(C49, ""en"", ""fr"")"),"myrtille")</f>
        <v>myrtille</v>
      </c>
      <c r="G49" s="8" t="str">
        <f>IFERROR(__xludf.DUMMYFUNCTION("GOOGLETRANSLATE(C49, ""en"", ""de"")"),"Blaubeere")</f>
        <v>Blaubeere</v>
      </c>
      <c r="H49" s="8" t="str">
        <f>IFERROR(__xludf.DUMMYFUNCTION("GOOGLETRANSLATE(C49, ""en"", ""ru"")"),"черника")</f>
        <v>черника</v>
      </c>
      <c r="I49" s="8" t="str">
        <f>IFERROR(__xludf.DUMMYFUNCTION("GOOGLETRANSLATE(C49, ""en"", ""ar"")"),".توت")</f>
        <v>.توت</v>
      </c>
      <c r="J49" s="8"/>
      <c r="K49" s="7" t="str">
        <f>IFERROR(__xludf.DUMMYFUNCTION("CONCAT(REGEXREPLACE(C49,""[ ,]+"",""_""),"".mp3"")"),"blueberry.mp3")</f>
        <v>blueberry.mp3</v>
      </c>
      <c r="M49" s="4" t="s">
        <v>10</v>
      </c>
    </row>
    <row r="50" ht="15.75" customHeight="1">
      <c r="A50" s="1">
        <v>1418.0</v>
      </c>
      <c r="B50" s="3">
        <v>139.0</v>
      </c>
      <c r="C50" s="7" t="s">
        <v>116</v>
      </c>
      <c r="D50" s="8" t="str">
        <f>IFERROR(__xludf.DUMMYFUNCTION("GOOGLETRANSLATE(C50, ""en"", ""pt"")"),"framboesa")</f>
        <v>framboesa</v>
      </c>
      <c r="E50" s="8" t="str">
        <f>IFERROR(__xludf.DUMMYFUNCTION("GOOGLETRANSLATE(C50, ""en"", ""es"")"),"frambuesa")</f>
        <v>frambuesa</v>
      </c>
      <c r="F50" s="8" t="str">
        <f>IFERROR(__xludf.DUMMYFUNCTION("GOOGLETRANSLATE(C50, ""en"", ""fr"")"),"framboise")</f>
        <v>framboise</v>
      </c>
      <c r="G50" s="8" t="str">
        <f>IFERROR(__xludf.DUMMYFUNCTION("GOOGLETRANSLATE(C50, ""en"", ""de"")"),"Himbeere")</f>
        <v>Himbeere</v>
      </c>
      <c r="H50" s="8" t="str">
        <f>IFERROR(__xludf.DUMMYFUNCTION("GOOGLETRANSLATE(C50, ""en"", ""ru"")"),"малина")</f>
        <v>малина</v>
      </c>
      <c r="I50" s="8" t="str">
        <f>IFERROR(__xludf.DUMMYFUNCTION("GOOGLETRANSLATE(C50, ""en"", ""ar"")"),"توت العُليق")</f>
        <v>توت العُليق</v>
      </c>
      <c r="J50" s="8"/>
      <c r="K50" s="7" t="str">
        <f>IFERROR(__xludf.DUMMYFUNCTION("CONCAT(REGEXREPLACE(C50,""[ ,]+"",""_""),"".mp3"")"),"raspberry.mp3")</f>
        <v>raspberry.mp3</v>
      </c>
      <c r="M50" s="4" t="s">
        <v>10</v>
      </c>
    </row>
    <row r="51" ht="15.75" customHeight="1">
      <c r="A51" s="1">
        <v>1419.0</v>
      </c>
      <c r="B51" s="3">
        <v>139.0</v>
      </c>
      <c r="C51" s="7" t="s">
        <v>117</v>
      </c>
      <c r="D51" s="8" t="str">
        <f>IFERROR(__xludf.DUMMYFUNCTION("GOOGLETRANSLATE(C51, ""en"", ""pt"")"),"amora")</f>
        <v>amora</v>
      </c>
      <c r="E51" s="8" t="str">
        <f>IFERROR(__xludf.DUMMYFUNCTION("GOOGLETRANSLATE(C51, ""en"", ""es"")"),"zarzamora")</f>
        <v>zarzamora</v>
      </c>
      <c r="F51" s="8" t="str">
        <f>IFERROR(__xludf.DUMMYFUNCTION("GOOGLETRANSLATE(C51, ""en"", ""fr"")"),"mûre")</f>
        <v>mûre</v>
      </c>
      <c r="G51" s="8" t="str">
        <f>IFERROR(__xludf.DUMMYFUNCTION("GOOGLETRANSLATE(C51, ""en"", ""de"")"),"Brombeere")</f>
        <v>Brombeere</v>
      </c>
      <c r="H51" s="8" t="str">
        <f>IFERROR(__xludf.DUMMYFUNCTION("GOOGLETRANSLATE(C51, ""en"", ""ru"")"),"ежевика")</f>
        <v>ежевика</v>
      </c>
      <c r="I51" s="8" t="str">
        <f>IFERROR(__xludf.DUMMYFUNCTION("GOOGLETRANSLATE(C51, ""en"", ""ar"")"),"بلاك بيري")</f>
        <v>بلاك بيري</v>
      </c>
      <c r="J51" s="8"/>
      <c r="K51" s="7" t="str">
        <f>IFERROR(__xludf.DUMMYFUNCTION("CONCAT(REGEXREPLACE(C51,""[ ,]+"",""_""),"".mp3"")"),"blackberry.mp3")</f>
        <v>blackberry.mp3</v>
      </c>
      <c r="M51" s="4" t="s">
        <v>10</v>
      </c>
    </row>
    <row r="52" ht="15.75" customHeight="1">
      <c r="A52" s="1">
        <v>1420.0</v>
      </c>
      <c r="B52" s="3">
        <v>139.0</v>
      </c>
      <c r="C52" s="7" t="s">
        <v>118</v>
      </c>
      <c r="D52" s="8" t="str">
        <f>IFERROR(__xludf.DUMMYFUNCTION("GOOGLETRANSLATE(C52, ""en"", ""pt"")"),"oxicoco")</f>
        <v>oxicoco</v>
      </c>
      <c r="E52" s="8" t="str">
        <f>IFERROR(__xludf.DUMMYFUNCTION("GOOGLETRANSLATE(C52, ""en"", ""es"")"),"arándano")</f>
        <v>arándano</v>
      </c>
      <c r="F52" s="8" t="str">
        <f>IFERROR(__xludf.DUMMYFUNCTION("GOOGLETRANSLATE(C52, ""en"", ""fr"")"),"canneberge")</f>
        <v>canneberge</v>
      </c>
      <c r="G52" s="8" t="str">
        <f>IFERROR(__xludf.DUMMYFUNCTION("GOOGLETRANSLATE(C52, ""en"", ""de"")"),"Preiselbeere")</f>
        <v>Preiselbeere</v>
      </c>
      <c r="H52" s="8" t="str">
        <f>IFERROR(__xludf.DUMMYFUNCTION("GOOGLETRANSLATE(C52, ""en"", ""ru"")"),"клюква")</f>
        <v>клюква</v>
      </c>
      <c r="I52" s="8" t="str">
        <f>IFERROR(__xludf.DUMMYFUNCTION("GOOGLETRANSLATE(C52, ""en"", ""ar"")"),"توت بري")</f>
        <v>توت بري</v>
      </c>
      <c r="J52" s="8"/>
      <c r="K52" s="7" t="str">
        <f>IFERROR(__xludf.DUMMYFUNCTION("CONCAT(REGEXREPLACE(C52,""[ ,]+"",""_""),"".mp3"")"),"cranberry.mp3")</f>
        <v>cranberry.mp3</v>
      </c>
      <c r="M52" s="4" t="s">
        <v>10</v>
      </c>
    </row>
    <row r="53" ht="15.75" customHeight="1">
      <c r="A53" s="1">
        <v>1421.0</v>
      </c>
      <c r="B53" s="3">
        <v>139.0</v>
      </c>
      <c r="C53" s="7" t="s">
        <v>119</v>
      </c>
      <c r="D53" s="8" t="str">
        <f>IFERROR(__xludf.DUMMYFUNCTION("GOOGLETRANSLATE(C53, ""en"", ""pt"")"),"melancia")</f>
        <v>melancia</v>
      </c>
      <c r="E53" s="8" t="str">
        <f>IFERROR(__xludf.DUMMYFUNCTION("GOOGLETRANSLATE(C53, ""en"", ""es"")"),"sandía")</f>
        <v>sandía</v>
      </c>
      <c r="F53" s="8" t="str">
        <f>IFERROR(__xludf.DUMMYFUNCTION("GOOGLETRANSLATE(C53, ""en"", ""fr"")"),"pastèque")</f>
        <v>pastèque</v>
      </c>
      <c r="G53" s="8" t="str">
        <f>IFERROR(__xludf.DUMMYFUNCTION("GOOGLETRANSLATE(C53, ""en"", ""de"")"),"Wassermelone")</f>
        <v>Wassermelone</v>
      </c>
      <c r="H53" s="8" t="str">
        <f>IFERROR(__xludf.DUMMYFUNCTION("GOOGLETRANSLATE(C53, ""en"", ""ru"")"),"арбуз")</f>
        <v>арбуз</v>
      </c>
      <c r="I53" s="8" t="str">
        <f>IFERROR(__xludf.DUMMYFUNCTION("GOOGLETRANSLATE(C53, ""en"", ""ar"")"),"بطيخ")</f>
        <v>بطيخ</v>
      </c>
      <c r="J53" s="8"/>
      <c r="K53" s="7" t="str">
        <f>IFERROR(__xludf.DUMMYFUNCTION("CONCAT(REGEXREPLACE(C53,""[ ,]+"",""_""),"".mp3"")"),"watermelon.mp3")</f>
        <v>watermelon.mp3</v>
      </c>
      <c r="M53" s="4" t="s">
        <v>10</v>
      </c>
    </row>
    <row r="54" ht="15.75" customHeight="1">
      <c r="A54" s="1">
        <v>1422.0</v>
      </c>
      <c r="B54" s="3">
        <v>139.0</v>
      </c>
      <c r="C54" s="7" t="s">
        <v>120</v>
      </c>
      <c r="D54" s="8" t="str">
        <f>IFERROR(__xludf.DUMMYFUNCTION("GOOGLETRANSLATE(C54, ""en"", ""pt"")"),"melão")</f>
        <v>melão</v>
      </c>
      <c r="E54" s="8" t="str">
        <f>IFERROR(__xludf.DUMMYFUNCTION("GOOGLETRANSLATE(C54, ""en"", ""es"")"),"cantalupo")</f>
        <v>cantalupo</v>
      </c>
      <c r="F54" s="8" t="str">
        <f>IFERROR(__xludf.DUMMYFUNCTION("GOOGLETRANSLATE(C54, ""en"", ""fr"")"),"cantaloup")</f>
        <v>cantaloup</v>
      </c>
      <c r="G54" s="8" t="str">
        <f>IFERROR(__xludf.DUMMYFUNCTION("GOOGLETRANSLATE(C54, ""en"", ""de"")"),"Kantalupe")</f>
        <v>Kantalupe</v>
      </c>
      <c r="H54" s="8" t="str">
        <f>IFERROR(__xludf.DUMMYFUNCTION("GOOGLETRANSLATE(C54, ""en"", ""ru"")"),"мускусная дыня")</f>
        <v>мускусная дыня</v>
      </c>
      <c r="I54" s="8" t="str">
        <f>IFERROR(__xludf.DUMMYFUNCTION("GOOGLETRANSLATE(C54, ""en"", ""ar"")"),"الشمام")</f>
        <v>الشمام</v>
      </c>
      <c r="J54" s="8"/>
      <c r="K54" s="7" t="str">
        <f>IFERROR(__xludf.DUMMYFUNCTION("CONCAT(REGEXREPLACE(C54,""[ ,]+"",""_""),"".mp3"")"),"cantaloupe.mp3")</f>
        <v>cantaloupe.mp3</v>
      </c>
      <c r="M54" s="4" t="s">
        <v>10</v>
      </c>
    </row>
    <row r="55" ht="15.75" customHeight="1">
      <c r="A55" s="1">
        <v>1423.0</v>
      </c>
      <c r="B55" s="3">
        <v>139.0</v>
      </c>
      <c r="C55" s="7" t="s">
        <v>121</v>
      </c>
      <c r="D55" s="8" t="str">
        <f>IFERROR(__xludf.DUMMYFUNCTION("GOOGLETRANSLATE(C55, ""en"", ""pt"")"),"melada")</f>
        <v>melada</v>
      </c>
      <c r="E55" s="8" t="str">
        <f>IFERROR(__xludf.DUMMYFUNCTION("GOOGLETRANSLATE(C55, ""en"", ""es"")"),"gotas de miel")</f>
        <v>gotas de miel</v>
      </c>
      <c r="F55" s="8" t="str">
        <f>IFERROR(__xludf.DUMMYFUNCTION("GOOGLETRANSLATE(C55, ""en"", ""fr"")"),"miellat")</f>
        <v>miellat</v>
      </c>
      <c r="G55" s="8" t="str">
        <f>IFERROR(__xludf.DUMMYFUNCTION("GOOGLETRANSLATE(C55, ""en"", ""de"")"),"Honigmelone")</f>
        <v>Honigmelone</v>
      </c>
      <c r="H55" s="8" t="str">
        <f>IFERROR(__xludf.DUMMYFUNCTION("GOOGLETRANSLATE(C55, ""en"", ""ru"")"),"нектар")</f>
        <v>нектар</v>
      </c>
      <c r="I55" s="8" t="str">
        <f>IFERROR(__xludf.DUMMYFUNCTION("GOOGLETRANSLATE(C55, ""en"", ""ar"")"),"المن")</f>
        <v>المن</v>
      </c>
      <c r="J55" s="8"/>
      <c r="K55" s="7" t="str">
        <f>IFERROR(__xludf.DUMMYFUNCTION("CONCAT(REGEXREPLACE(C55,""[ ,]+"",""_""),"".mp3"")"),"honeydew.mp3")</f>
        <v>honeydew.mp3</v>
      </c>
      <c r="M55" s="4" t="s">
        <v>10</v>
      </c>
    </row>
    <row r="56" ht="15.75" customHeight="1">
      <c r="A56" s="1">
        <v>1424.0</v>
      </c>
      <c r="B56" s="3">
        <v>139.0</v>
      </c>
      <c r="C56" s="7" t="s">
        <v>122</v>
      </c>
      <c r="D56" s="8" t="str">
        <f>IFERROR(__xludf.DUMMYFUNCTION("GOOGLETRANSLATE(C56, ""en"", ""pt"")"),"damasco")</f>
        <v>damasco</v>
      </c>
      <c r="E56" s="8" t="str">
        <f>IFERROR(__xludf.DUMMYFUNCTION("GOOGLETRANSLATE(C56, ""en"", ""es"")"),"albaricoque")</f>
        <v>albaricoque</v>
      </c>
      <c r="F56" s="8" t="str">
        <f>IFERROR(__xludf.DUMMYFUNCTION("GOOGLETRANSLATE(C56, ""en"", ""fr"")"),"abricot")</f>
        <v>abricot</v>
      </c>
      <c r="G56" s="8" t="str">
        <f>IFERROR(__xludf.DUMMYFUNCTION("GOOGLETRANSLATE(C56, ""en"", ""de"")"),"Aprikose")</f>
        <v>Aprikose</v>
      </c>
      <c r="H56" s="8" t="str">
        <f>IFERROR(__xludf.DUMMYFUNCTION("GOOGLETRANSLATE(C56, ""en"", ""ru"")"),"абрикос")</f>
        <v>абрикос</v>
      </c>
      <c r="I56" s="8" t="str">
        <f>IFERROR(__xludf.DUMMYFUNCTION("GOOGLETRANSLATE(C56, ""en"", ""ar"")"),"مشمش")</f>
        <v>مشمش</v>
      </c>
      <c r="J56" s="8"/>
      <c r="K56" s="7" t="str">
        <f>IFERROR(__xludf.DUMMYFUNCTION("CONCAT(REGEXREPLACE(C56,""[ ,]+"",""_""),"".mp3"")"),"apricot.mp3")</f>
        <v>apricot.mp3</v>
      </c>
      <c r="M56" s="4" t="s">
        <v>10</v>
      </c>
    </row>
    <row r="57" ht="15.75" customHeight="1">
      <c r="A57" s="1">
        <v>1425.0</v>
      </c>
      <c r="B57" s="3">
        <v>139.0</v>
      </c>
      <c r="C57" s="7" t="s">
        <v>123</v>
      </c>
      <c r="D57" s="8" t="str">
        <f>IFERROR(__xludf.DUMMYFUNCTION("GOOGLETRANSLATE(C57, ""en"", ""pt"")"),"nectarina")</f>
        <v>nectarina</v>
      </c>
      <c r="E57" s="8" t="str">
        <f>IFERROR(__xludf.DUMMYFUNCTION("GOOGLETRANSLATE(C57, ""en"", ""es"")"),"nectarina")</f>
        <v>nectarina</v>
      </c>
      <c r="F57" s="8" t="str">
        <f>IFERROR(__xludf.DUMMYFUNCTION("GOOGLETRANSLATE(C57, ""en"", ""fr"")"),"nectarine")</f>
        <v>nectarine</v>
      </c>
      <c r="G57" s="8" t="str">
        <f>IFERROR(__xludf.DUMMYFUNCTION("GOOGLETRANSLATE(C57, ""en"", ""de"")"),"Nektarine")</f>
        <v>Nektarine</v>
      </c>
      <c r="H57" s="8" t="str">
        <f>IFERROR(__xludf.DUMMYFUNCTION("GOOGLETRANSLATE(C57, ""en"", ""ru"")"),"нектарин")</f>
        <v>нектарин</v>
      </c>
      <c r="I57" s="8" t="str">
        <f>IFERROR(__xludf.DUMMYFUNCTION("GOOGLETRANSLATE(C57, ""en"", ""ar"")"),"نكتارين")</f>
        <v>نكتارين</v>
      </c>
      <c r="J57" s="8"/>
      <c r="K57" s="7" t="str">
        <f>IFERROR(__xludf.DUMMYFUNCTION("CONCAT(REGEXREPLACE(C57,""[ ,]+"",""_""),"".mp3"")"),"nectarine.mp3")</f>
        <v>nectarine.mp3</v>
      </c>
      <c r="M57" s="4" t="s">
        <v>10</v>
      </c>
    </row>
    <row r="58" ht="15.75" customHeight="1">
      <c r="A58" s="1">
        <v>1426.0</v>
      </c>
      <c r="B58" s="3">
        <v>140.0</v>
      </c>
      <c r="C58" s="7" t="s">
        <v>124</v>
      </c>
      <c r="D58" s="8" t="str">
        <f>IFERROR(__xludf.DUMMYFUNCTION("GOOGLETRANSLATE(C58, ""en"", ""pt"")"),"cenoura")</f>
        <v>cenoura</v>
      </c>
      <c r="E58" s="8" t="str">
        <f>IFERROR(__xludf.DUMMYFUNCTION("GOOGLETRANSLATE(C58, ""en"", ""es"")"),"zanahoria")</f>
        <v>zanahoria</v>
      </c>
      <c r="F58" s="8" t="str">
        <f>IFERROR(__xludf.DUMMYFUNCTION("GOOGLETRANSLATE(C58, ""en"", ""fr"")"),"carotte")</f>
        <v>carotte</v>
      </c>
      <c r="G58" s="8" t="str">
        <f>IFERROR(__xludf.DUMMYFUNCTION("GOOGLETRANSLATE(C58, ""en"", ""de"")"),"Karotte")</f>
        <v>Karotte</v>
      </c>
      <c r="H58" s="8" t="str">
        <f>IFERROR(__xludf.DUMMYFUNCTION("GOOGLETRANSLATE(C58, ""en"", ""ru"")"),"морковь")</f>
        <v>морковь</v>
      </c>
      <c r="I58" s="8" t="str">
        <f>IFERROR(__xludf.DUMMYFUNCTION("GOOGLETRANSLATE(C58, ""en"", ""ar"")"),"جزرة")</f>
        <v>جزرة</v>
      </c>
      <c r="J58" s="8"/>
      <c r="K58" s="7" t="str">
        <f>IFERROR(__xludf.DUMMYFUNCTION("CONCAT(REGEXREPLACE(C58,""[ ,]+"",""_""),"".mp3"")"),"carrot.mp3")</f>
        <v>carrot.mp3</v>
      </c>
      <c r="M58" s="4" t="s">
        <v>10</v>
      </c>
    </row>
    <row r="59" ht="15.75" customHeight="1">
      <c r="A59" s="1">
        <v>1427.0</v>
      </c>
      <c r="B59" s="3">
        <v>140.0</v>
      </c>
      <c r="C59" s="7" t="s">
        <v>125</v>
      </c>
      <c r="D59" s="8" t="str">
        <f>IFERROR(__xludf.DUMMYFUNCTION("GOOGLETRANSLATE(C59, ""en"", ""pt"")"),"batata")</f>
        <v>batata</v>
      </c>
      <c r="E59" s="8" t="str">
        <f>IFERROR(__xludf.DUMMYFUNCTION("GOOGLETRANSLATE(C59, ""en"", ""es"")"),"papa")</f>
        <v>papa</v>
      </c>
      <c r="F59" s="8" t="str">
        <f>IFERROR(__xludf.DUMMYFUNCTION("GOOGLETRANSLATE(C59, ""en"", ""fr"")"),"pomme de terre")</f>
        <v>pomme de terre</v>
      </c>
      <c r="G59" s="8" t="str">
        <f>IFERROR(__xludf.DUMMYFUNCTION("GOOGLETRANSLATE(C59, ""en"", ""de"")"),"Kartoffel")</f>
        <v>Kartoffel</v>
      </c>
      <c r="H59" s="8" t="str">
        <f>IFERROR(__xludf.DUMMYFUNCTION("GOOGLETRANSLATE(C59, ""en"", ""ru"")"),"картофель")</f>
        <v>картофель</v>
      </c>
      <c r="I59" s="8" t="str">
        <f>IFERROR(__xludf.DUMMYFUNCTION("GOOGLETRANSLATE(C59, ""en"", ""ar"")"),"البطاطس")</f>
        <v>البطاطس</v>
      </c>
      <c r="J59" s="8"/>
      <c r="K59" s="7" t="str">
        <f>IFERROR(__xludf.DUMMYFUNCTION("CONCAT(REGEXREPLACE(C59,""[ ,]+"",""_""),"".mp3"")"),"potato.mp3")</f>
        <v>potato.mp3</v>
      </c>
      <c r="M59" s="4" t="s">
        <v>10</v>
      </c>
    </row>
    <row r="60" ht="15.75" customHeight="1">
      <c r="A60" s="1">
        <v>1428.0</v>
      </c>
      <c r="B60" s="3">
        <v>140.0</v>
      </c>
      <c r="C60" s="7" t="s">
        <v>126</v>
      </c>
      <c r="D60" s="8" t="str">
        <f>IFERROR(__xludf.DUMMYFUNCTION("GOOGLETRANSLATE(C60, ""en"", ""pt"")"),"batata doce")</f>
        <v>batata doce</v>
      </c>
      <c r="E60" s="8" t="str">
        <f>IFERROR(__xludf.DUMMYFUNCTION("GOOGLETRANSLATE(C60, ""en"", ""es"")"),"batata")</f>
        <v>batata</v>
      </c>
      <c r="F60" s="8" t="str">
        <f>IFERROR(__xludf.DUMMYFUNCTION("GOOGLETRANSLATE(C60, ""en"", ""fr"")"),"patate douce")</f>
        <v>patate douce</v>
      </c>
      <c r="G60" s="8" t="str">
        <f>IFERROR(__xludf.DUMMYFUNCTION("GOOGLETRANSLATE(C60, ""en"", ""de"")"),"Süßkartoffel")</f>
        <v>Süßkartoffel</v>
      </c>
      <c r="H60" s="8" t="str">
        <f>IFERROR(__xludf.DUMMYFUNCTION("GOOGLETRANSLATE(C60, ""en"", ""ru"")"),"сладкий картофель")</f>
        <v>сладкий картофель</v>
      </c>
      <c r="I60" s="8" t="str">
        <f>IFERROR(__xludf.DUMMYFUNCTION("GOOGLETRANSLATE(C60, ""en"", ""ar"")"),"البطاطا الحلوة")</f>
        <v>البطاطا الحلوة</v>
      </c>
      <c r="J60" s="8"/>
      <c r="K60" s="7" t="str">
        <f>IFERROR(__xludf.DUMMYFUNCTION("CONCAT(REGEXREPLACE(C60,""[ ,]+"",""_""),"".mp3"")"),"sweet_potato.mp3")</f>
        <v>sweet_potato.mp3</v>
      </c>
      <c r="M60" s="4" t="s">
        <v>10</v>
      </c>
    </row>
    <row r="61" ht="15.75" customHeight="1">
      <c r="A61" s="1">
        <v>1429.0</v>
      </c>
      <c r="B61" s="3">
        <v>140.0</v>
      </c>
      <c r="C61" s="3" t="s">
        <v>127</v>
      </c>
      <c r="D61" s="8" t="str">
        <f>IFERROR(__xludf.DUMMYFUNCTION("GOOGLETRANSLATE(C61, ""en"", ""pt"")"),"beterraba")</f>
        <v>beterraba</v>
      </c>
      <c r="E61" s="8" t="str">
        <f>IFERROR(__xludf.DUMMYFUNCTION("GOOGLETRANSLATE(C61, ""en"", ""es"")"),"remolacha, remolacha")</f>
        <v>remolacha, remolacha</v>
      </c>
      <c r="F61" s="8" t="str">
        <f>IFERROR(__xludf.DUMMYFUNCTION("GOOGLETRANSLATE(C61, ""en"", ""fr"")"),"betterave, betterave")</f>
        <v>betterave, betterave</v>
      </c>
      <c r="G61" s="8" t="str">
        <f>IFERROR(__xludf.DUMMYFUNCTION("GOOGLETRANSLATE(C61, ""en"", ""de"")"),"Rote Bete, Rote Bete")</f>
        <v>Rote Bete, Rote Bete</v>
      </c>
      <c r="H61" s="8" t="str">
        <f>IFERROR(__xludf.DUMMYFUNCTION("GOOGLETRANSLATE(C61, ""en"", ""ru"")"),"свекла, свекольный семечко")</f>
        <v>свекла, свекольный семечко</v>
      </c>
      <c r="I61" s="8" t="str">
        <f>IFERROR(__xludf.DUMMYFUNCTION("GOOGLETRANSLATE(C61, ""en"", ""ar"")"),"الشمندر، الشمندر")</f>
        <v>الشمندر، الشمندر</v>
      </c>
      <c r="J61" s="8"/>
      <c r="K61" s="7" t="str">
        <f>IFERROR(__xludf.DUMMYFUNCTION("CONCAT(REGEXREPLACE(C61,""[ ,]+"",""_""),"".mp3"")"),"beet_beetroot.mp3")</f>
        <v>beet_beetroot.mp3</v>
      </c>
      <c r="M61" s="4" t="s">
        <v>10</v>
      </c>
    </row>
    <row r="62" ht="15.75" customHeight="1">
      <c r="A62" s="1">
        <v>1430.0</v>
      </c>
      <c r="B62" s="3">
        <v>140.0</v>
      </c>
      <c r="C62" s="7" t="s">
        <v>128</v>
      </c>
      <c r="D62" s="8" t="str">
        <f>IFERROR(__xludf.DUMMYFUNCTION("GOOGLETRANSLATE(C62, ""en"", ""pt"")"),"nabo")</f>
        <v>nabo</v>
      </c>
      <c r="E62" s="8" t="str">
        <f>IFERROR(__xludf.DUMMYFUNCTION("GOOGLETRANSLATE(C62, ""en"", ""es"")"),"nabo")</f>
        <v>nabo</v>
      </c>
      <c r="F62" s="8" t="str">
        <f>IFERROR(__xludf.DUMMYFUNCTION("GOOGLETRANSLATE(C62, ""en"", ""fr"")"),"navet")</f>
        <v>navet</v>
      </c>
      <c r="G62" s="8" t="str">
        <f>IFERROR(__xludf.DUMMYFUNCTION("GOOGLETRANSLATE(C62, ""en"", ""de"")"),"Rübe")</f>
        <v>Rübe</v>
      </c>
      <c r="H62" s="8" t="str">
        <f>IFERROR(__xludf.DUMMYFUNCTION("GOOGLETRANSLATE(C62, ""en"", ""ru"")"),"репа")</f>
        <v>репа</v>
      </c>
      <c r="I62" s="8" t="str">
        <f>IFERROR(__xludf.DUMMYFUNCTION("GOOGLETRANSLATE(C62, ""en"", ""ar"")"),"اللفت")</f>
        <v>اللفت</v>
      </c>
      <c r="J62" s="8"/>
      <c r="K62" s="7" t="str">
        <f>IFERROR(__xludf.DUMMYFUNCTION("CONCAT(REGEXREPLACE(C62,""[ ,]+"",""_""),"".mp3"")"),"turnip.mp3")</f>
        <v>turnip.mp3</v>
      </c>
      <c r="M62" s="4" t="s">
        <v>10</v>
      </c>
    </row>
    <row r="63" ht="15.75" customHeight="1">
      <c r="A63" s="1">
        <v>1431.0</v>
      </c>
      <c r="B63" s="3">
        <v>140.0</v>
      </c>
      <c r="C63" s="7" t="s">
        <v>129</v>
      </c>
      <c r="D63" s="8" t="str">
        <f>IFERROR(__xludf.DUMMYFUNCTION("GOOGLETRANSLATE(C63, ""en"", ""pt"")"),"rabanete")</f>
        <v>rabanete</v>
      </c>
      <c r="E63" s="8" t="str">
        <f>IFERROR(__xludf.DUMMYFUNCTION("GOOGLETRANSLATE(C63, ""en"", ""es"")"),"rábano")</f>
        <v>rábano</v>
      </c>
      <c r="F63" s="8" t="str">
        <f>IFERROR(__xludf.DUMMYFUNCTION("GOOGLETRANSLATE(C63, ""en"", ""fr"")"),"radis")</f>
        <v>radis</v>
      </c>
      <c r="G63" s="8" t="str">
        <f>IFERROR(__xludf.DUMMYFUNCTION("GOOGLETRANSLATE(C63, ""en"", ""de"")"),"Rettich")</f>
        <v>Rettich</v>
      </c>
      <c r="H63" s="8" t="str">
        <f>IFERROR(__xludf.DUMMYFUNCTION("GOOGLETRANSLATE(C63, ""en"", ""ru"")"),"редис")</f>
        <v>редис</v>
      </c>
      <c r="I63" s="8" t="str">
        <f>IFERROR(__xludf.DUMMYFUNCTION("GOOGLETRANSLATE(C63, ""en"", ""ar"")"),"الفجل")</f>
        <v>الفجل</v>
      </c>
      <c r="J63" s="8"/>
      <c r="K63" s="7" t="str">
        <f>IFERROR(__xludf.DUMMYFUNCTION("CONCAT(REGEXREPLACE(C63,""[ ,]+"",""_""),"".mp3"")"),"radish.mp3")</f>
        <v>radish.mp3</v>
      </c>
      <c r="M63" s="4" t="s">
        <v>10</v>
      </c>
    </row>
    <row r="64" ht="15.75" customHeight="1">
      <c r="A64" s="1">
        <v>1432.0</v>
      </c>
      <c r="B64" s="3">
        <v>140.0</v>
      </c>
      <c r="C64" s="7" t="s">
        <v>130</v>
      </c>
      <c r="D64" s="8" t="str">
        <f>IFERROR(__xludf.DUMMYFUNCTION("GOOGLETRANSLATE(C64, ""en"", ""pt"")"),"alface")</f>
        <v>alface</v>
      </c>
      <c r="E64" s="8" t="str">
        <f>IFERROR(__xludf.DUMMYFUNCTION("GOOGLETRANSLATE(C64, ""en"", ""es"")"),"lechuga")</f>
        <v>lechuga</v>
      </c>
      <c r="F64" s="8" t="str">
        <f>IFERROR(__xludf.DUMMYFUNCTION("GOOGLETRANSLATE(C64, ""en"", ""fr"")"),"laitue")</f>
        <v>laitue</v>
      </c>
      <c r="G64" s="8" t="str">
        <f>IFERROR(__xludf.DUMMYFUNCTION("GOOGLETRANSLATE(C64, ""en"", ""de"")"),"Kopfsalat")</f>
        <v>Kopfsalat</v>
      </c>
      <c r="H64" s="8" t="str">
        <f>IFERROR(__xludf.DUMMYFUNCTION("GOOGLETRANSLATE(C64, ""en"", ""ru"")"),"латук")</f>
        <v>латук</v>
      </c>
      <c r="I64" s="8" t="str">
        <f>IFERROR(__xludf.DUMMYFUNCTION("GOOGLETRANSLATE(C64, ""en"", ""ar"")"),"خَسّ")</f>
        <v>خَسّ</v>
      </c>
      <c r="J64" s="8"/>
      <c r="K64" s="7" t="str">
        <f>IFERROR(__xludf.DUMMYFUNCTION("CONCAT(REGEXREPLACE(C64,""[ ,]+"",""_""),"".mp3"")"),"lettuce.mp3")</f>
        <v>lettuce.mp3</v>
      </c>
      <c r="M64" s="4" t="s">
        <v>10</v>
      </c>
    </row>
    <row r="65" ht="15.75" customHeight="1">
      <c r="A65" s="1">
        <v>1433.0</v>
      </c>
      <c r="B65" s="3">
        <v>140.0</v>
      </c>
      <c r="C65" s="7" t="s">
        <v>131</v>
      </c>
      <c r="D65" s="8" t="str">
        <f>IFERROR(__xludf.DUMMYFUNCTION("GOOGLETRANSLATE(C65, ""en"", ""pt"")"),"espinafre")</f>
        <v>espinafre</v>
      </c>
      <c r="E65" s="8" t="str">
        <f>IFERROR(__xludf.DUMMYFUNCTION("GOOGLETRANSLATE(C65, ""en"", ""es"")"),"espinaca")</f>
        <v>espinaca</v>
      </c>
      <c r="F65" s="8" t="str">
        <f>IFERROR(__xludf.DUMMYFUNCTION("GOOGLETRANSLATE(C65, ""en"", ""fr"")"),"épinard")</f>
        <v>épinard</v>
      </c>
      <c r="G65" s="8" t="str">
        <f>IFERROR(__xludf.DUMMYFUNCTION("GOOGLETRANSLATE(C65, ""en"", ""de"")"),"Spinat")</f>
        <v>Spinat</v>
      </c>
      <c r="H65" s="8" t="str">
        <f>IFERROR(__xludf.DUMMYFUNCTION("GOOGLETRANSLATE(C65, ""en"", ""ru"")"),"шпинат")</f>
        <v>шпинат</v>
      </c>
      <c r="I65" s="8" t="str">
        <f>IFERROR(__xludf.DUMMYFUNCTION("GOOGLETRANSLATE(C65, ""en"", ""ar"")"),"سبانخ")</f>
        <v>سبانخ</v>
      </c>
      <c r="J65" s="8"/>
      <c r="K65" s="7" t="str">
        <f>IFERROR(__xludf.DUMMYFUNCTION("CONCAT(REGEXREPLACE(C65,""[ ,]+"",""_""),"".mp3"")"),"spinach.mp3")</f>
        <v>spinach.mp3</v>
      </c>
      <c r="M65" s="4" t="s">
        <v>10</v>
      </c>
    </row>
    <row r="66" ht="15.75" customHeight="1">
      <c r="A66" s="1">
        <v>1434.0</v>
      </c>
      <c r="B66" s="3">
        <v>140.0</v>
      </c>
      <c r="C66" s="7" t="s">
        <v>132</v>
      </c>
      <c r="D66" s="8" t="str">
        <f>IFERROR(__xludf.DUMMYFUNCTION("GOOGLETRANSLATE(C66, ""en"", ""pt"")"),"couve")</f>
        <v>couve</v>
      </c>
      <c r="E66" s="8" t="str">
        <f>IFERROR(__xludf.DUMMYFUNCTION("GOOGLETRANSLATE(C66, ""en"", ""es"")"),"col rizada")</f>
        <v>col rizada</v>
      </c>
      <c r="F66" s="8" t="str">
        <f>IFERROR(__xludf.DUMMYFUNCTION("GOOGLETRANSLATE(C66, ""en"", ""fr"")"),"chou frisé")</f>
        <v>chou frisé</v>
      </c>
      <c r="G66" s="8" t="str">
        <f>IFERROR(__xludf.DUMMYFUNCTION("GOOGLETRANSLATE(C66, ""en"", ""de"")"),"Grünkohl")</f>
        <v>Grünkohl</v>
      </c>
      <c r="H66" s="8" t="str">
        <f>IFERROR(__xludf.DUMMYFUNCTION("GOOGLETRANSLATE(C66, ""en"", ""ru"")"),"капуста")</f>
        <v>капуста</v>
      </c>
      <c r="I66" s="8" t="str">
        <f>IFERROR(__xludf.DUMMYFUNCTION("GOOGLETRANSLATE(C66, ""en"", ""ar"")"),"الكرنب")</f>
        <v>الكرنب</v>
      </c>
      <c r="J66" s="8"/>
      <c r="K66" s="7" t="str">
        <f>IFERROR(__xludf.DUMMYFUNCTION("CONCAT(REGEXREPLACE(C66,""[ ,]+"",""_""),"".mp3"")"),"kale.mp3")</f>
        <v>kale.mp3</v>
      </c>
      <c r="M66" s="4" t="s">
        <v>10</v>
      </c>
    </row>
    <row r="67" ht="15.75" customHeight="1">
      <c r="A67" s="1">
        <v>1435.0</v>
      </c>
      <c r="B67" s="3">
        <v>140.0</v>
      </c>
      <c r="C67" s="7" t="s">
        <v>133</v>
      </c>
      <c r="D67" s="8" t="str">
        <f>IFERROR(__xludf.DUMMYFUNCTION("GOOGLETRANSLATE(C67, ""en"", ""pt"")"),"repolho")</f>
        <v>repolho</v>
      </c>
      <c r="E67" s="8" t="str">
        <f>IFERROR(__xludf.DUMMYFUNCTION("GOOGLETRANSLATE(C67, ""en"", ""es"")"),"repollo")</f>
        <v>repollo</v>
      </c>
      <c r="F67" s="8" t="str">
        <f>IFERROR(__xludf.DUMMYFUNCTION("GOOGLETRANSLATE(C67, ""en"", ""fr"")"),"chou")</f>
        <v>chou</v>
      </c>
      <c r="G67" s="8" t="str">
        <f>IFERROR(__xludf.DUMMYFUNCTION("GOOGLETRANSLATE(C67, ""en"", ""de"")"),"Kohl")</f>
        <v>Kohl</v>
      </c>
      <c r="H67" s="8" t="str">
        <f>IFERROR(__xludf.DUMMYFUNCTION("GOOGLETRANSLATE(C67, ""en"", ""ru"")"),"капуста")</f>
        <v>капуста</v>
      </c>
      <c r="I67" s="8" t="str">
        <f>IFERROR(__xludf.DUMMYFUNCTION("GOOGLETRANSLATE(C67, ""en"", ""ar"")"),"كرنب")</f>
        <v>كرنب</v>
      </c>
      <c r="J67" s="8"/>
      <c r="K67" s="7" t="str">
        <f>IFERROR(__xludf.DUMMYFUNCTION("CONCAT(REGEXREPLACE(C67,""[ ,]+"",""_""),"".mp3"")"),"cabbage.mp3")</f>
        <v>cabbage.mp3</v>
      </c>
      <c r="M67" s="4" t="s">
        <v>10</v>
      </c>
    </row>
    <row r="68" ht="15.75" customHeight="1">
      <c r="A68" s="1">
        <v>1436.0</v>
      </c>
      <c r="B68" s="3">
        <v>140.0</v>
      </c>
      <c r="C68" s="3" t="s">
        <v>134</v>
      </c>
      <c r="D68" s="8" t="str">
        <f>IFERROR(__xludf.DUMMYFUNCTION("GOOGLETRANSLATE(C68, ""en"", ""pt"")"),"rúcula, rúcula")</f>
        <v>rúcula, rúcula</v>
      </c>
      <c r="E68" s="8" t="str">
        <f>IFERROR(__xludf.DUMMYFUNCTION("GOOGLETRANSLATE(C68, ""en"", ""es"")"),"rúcula, rúcula")</f>
        <v>rúcula, rúcula</v>
      </c>
      <c r="F68" s="8" t="str">
        <f>IFERROR(__xludf.DUMMYFUNCTION("GOOGLETRANSLATE(C68, ""en"", ""fr"")"),"roquette")</f>
        <v>roquette</v>
      </c>
      <c r="G68" s="8" t="str">
        <f>IFERROR(__xludf.DUMMYFUNCTION("GOOGLETRANSLATE(C68, ""en"", ""de"")"),"Rucola, Raketen")</f>
        <v>Rucola, Raketen</v>
      </c>
      <c r="H68" s="8" t="str">
        <f>IFERROR(__xludf.DUMMYFUNCTION("GOOGLETRANSLATE(C68, ""en"", ""ru"")"),"руккола, ракета")</f>
        <v>руккола, ракета</v>
      </c>
      <c r="I68" s="8" t="str">
        <f>IFERROR(__xludf.DUMMYFUNCTION("GOOGLETRANSLATE(C68, ""en"", ""ar"")"),"جرجير، روكا")</f>
        <v>جرجير، روكا</v>
      </c>
      <c r="J68" s="8"/>
      <c r="K68" s="7" t="str">
        <f>IFERROR(__xludf.DUMMYFUNCTION("CONCAT(REGEXREPLACE(C68,""[ ,]+"",""_""),"".mp3"")"),"arugula_rocket.mp3")</f>
        <v>arugula_rocket.mp3</v>
      </c>
      <c r="M68" s="4" t="s">
        <v>10</v>
      </c>
    </row>
    <row r="69" ht="15.75" customHeight="1">
      <c r="A69" s="1">
        <v>1437.0</v>
      </c>
      <c r="B69" s="3">
        <v>140.0</v>
      </c>
      <c r="C69" s="7" t="s">
        <v>135</v>
      </c>
      <c r="D69" s="8" t="str">
        <f>IFERROR(__xludf.DUMMYFUNCTION("GOOGLETRANSLATE(C69, ""en"", ""pt"")"),"brócolis")</f>
        <v>brócolis</v>
      </c>
      <c r="E69" s="8" t="str">
        <f>IFERROR(__xludf.DUMMYFUNCTION("GOOGLETRANSLATE(C69, ""en"", ""es"")"),"brócoli")</f>
        <v>brócoli</v>
      </c>
      <c r="F69" s="8" t="str">
        <f>IFERROR(__xludf.DUMMYFUNCTION("GOOGLETRANSLATE(C69, ""en"", ""fr"")"),"brocoli")</f>
        <v>brocoli</v>
      </c>
      <c r="G69" s="8" t="str">
        <f>IFERROR(__xludf.DUMMYFUNCTION("GOOGLETRANSLATE(C69, ""en"", ""de"")"),"Brokkoli")</f>
        <v>Brokkoli</v>
      </c>
      <c r="H69" s="8" t="str">
        <f>IFERROR(__xludf.DUMMYFUNCTION("GOOGLETRANSLATE(C69, ""en"", ""ru"")"),"брокколи")</f>
        <v>брокколи</v>
      </c>
      <c r="I69" s="8" t="str">
        <f>IFERROR(__xludf.DUMMYFUNCTION("GOOGLETRANSLATE(C69, ""en"", ""ar"")"),"بروكلي")</f>
        <v>بروكلي</v>
      </c>
      <c r="J69" s="8"/>
      <c r="K69" s="7" t="str">
        <f>IFERROR(__xludf.DUMMYFUNCTION("CONCAT(REGEXREPLACE(C69,""[ ,]+"",""_""),"".mp3"")"),"broccoli.mp3")</f>
        <v>broccoli.mp3</v>
      </c>
      <c r="M69" s="4" t="s">
        <v>10</v>
      </c>
    </row>
    <row r="70" ht="15.75" customHeight="1">
      <c r="A70" s="1">
        <v>1438.0</v>
      </c>
      <c r="B70" s="3">
        <v>140.0</v>
      </c>
      <c r="C70" s="7" t="s">
        <v>136</v>
      </c>
      <c r="D70" s="8" t="str">
        <f>IFERROR(__xludf.DUMMYFUNCTION("GOOGLETRANSLATE(C70, ""en"", ""pt"")"),"couve-flor")</f>
        <v>couve-flor</v>
      </c>
      <c r="E70" s="8" t="str">
        <f>IFERROR(__xludf.DUMMYFUNCTION("GOOGLETRANSLATE(C70, ""en"", ""es"")"),"coliflor")</f>
        <v>coliflor</v>
      </c>
      <c r="F70" s="8" t="str">
        <f>IFERROR(__xludf.DUMMYFUNCTION("GOOGLETRANSLATE(C70, ""en"", ""fr"")"),"chou-fleur")</f>
        <v>chou-fleur</v>
      </c>
      <c r="G70" s="8" t="str">
        <f>IFERROR(__xludf.DUMMYFUNCTION("GOOGLETRANSLATE(C70, ""en"", ""de"")"),"Blumenkohl")</f>
        <v>Blumenkohl</v>
      </c>
      <c r="H70" s="8" t="str">
        <f>IFERROR(__xludf.DUMMYFUNCTION("GOOGLETRANSLATE(C70, ""en"", ""ru"")"),"цветная капуста")</f>
        <v>цветная капуста</v>
      </c>
      <c r="I70" s="8" t="str">
        <f>IFERROR(__xludf.DUMMYFUNCTION("GOOGLETRANSLATE(C70, ""en"", ""ar"")"),"قرنبيط")</f>
        <v>قرنبيط</v>
      </c>
      <c r="J70" s="8"/>
      <c r="K70" s="7" t="str">
        <f>IFERROR(__xludf.DUMMYFUNCTION("CONCAT(REGEXREPLACE(C70,""[ ,]+"",""_""),"".mp3"")"),"cauliflower.mp3")</f>
        <v>cauliflower.mp3</v>
      </c>
      <c r="M70" s="4" t="s">
        <v>10</v>
      </c>
    </row>
    <row r="71" ht="15.75" customHeight="1">
      <c r="A71" s="1">
        <v>1439.0</v>
      </c>
      <c r="B71" s="3">
        <v>140.0</v>
      </c>
      <c r="C71" s="7" t="s">
        <v>137</v>
      </c>
      <c r="D71" s="8" t="str">
        <f>IFERROR(__xludf.DUMMYFUNCTION("GOOGLETRANSLATE(C71, ""en"", ""pt"")"),"couve-de-bruxelas")</f>
        <v>couve-de-bruxelas</v>
      </c>
      <c r="E71" s="8" t="str">
        <f>IFERROR(__xludf.DUMMYFUNCTION("GOOGLETRANSLATE(C71, ""en"", ""es"")"),"coles de Bruselas")</f>
        <v>coles de Bruselas</v>
      </c>
      <c r="F71" s="8" t="str">
        <f>IFERROR(__xludf.DUMMYFUNCTION("GOOGLETRANSLATE(C71, ""en"", ""fr"")"),"choux de Bruxelles")</f>
        <v>choux de Bruxelles</v>
      </c>
      <c r="G71" s="8" t="str">
        <f>IFERROR(__xludf.DUMMYFUNCTION("GOOGLETRANSLATE(C71, ""en"", ""de"")"),"Rosenkohl")</f>
        <v>Rosenkohl</v>
      </c>
      <c r="H71" s="8" t="str">
        <f>IFERROR(__xludf.DUMMYFUNCTION("GOOGLETRANSLATE(C71, ""en"", ""ru"")"),"брюссельская капуста")</f>
        <v>брюссельская капуста</v>
      </c>
      <c r="I71" s="8" t="str">
        <f>IFERROR(__xludf.DUMMYFUNCTION("GOOGLETRANSLATE(C71, ""en"", ""ar"")"),"براعم بروكسل")</f>
        <v>براعم بروكسل</v>
      </c>
      <c r="J71" s="8"/>
      <c r="K71" s="7" t="str">
        <f>IFERROR(__xludf.DUMMYFUNCTION("CONCAT(REGEXREPLACE(C71,""[ ,]+"",""_""),"".mp3"")"),"Brussels_sprouts.mp3")</f>
        <v>Brussels_sprouts.mp3</v>
      </c>
      <c r="M71" s="4" t="s">
        <v>10</v>
      </c>
    </row>
    <row r="72" ht="15.75" customHeight="1">
      <c r="A72" s="1">
        <v>1440.0</v>
      </c>
      <c r="B72" s="3">
        <v>140.0</v>
      </c>
      <c r="C72" s="7" t="s">
        <v>138</v>
      </c>
      <c r="D72" s="8" t="str">
        <f>IFERROR(__xludf.DUMMYFUNCTION("GOOGLETRANSLATE(C72, ""en"", ""pt"")"),"cebola")</f>
        <v>cebola</v>
      </c>
      <c r="E72" s="8" t="str">
        <f>IFERROR(__xludf.DUMMYFUNCTION("GOOGLETRANSLATE(C72, ""en"", ""es"")"),"cebolla")</f>
        <v>cebolla</v>
      </c>
      <c r="F72" s="8" t="str">
        <f>IFERROR(__xludf.DUMMYFUNCTION("GOOGLETRANSLATE(C72, ""en"", ""fr"")"),"oignon")</f>
        <v>oignon</v>
      </c>
      <c r="G72" s="8" t="str">
        <f>IFERROR(__xludf.DUMMYFUNCTION("GOOGLETRANSLATE(C72, ""en"", ""de"")"),"Zwiebel")</f>
        <v>Zwiebel</v>
      </c>
      <c r="H72" s="8" t="str">
        <f>IFERROR(__xludf.DUMMYFUNCTION("GOOGLETRANSLATE(C72, ""en"", ""ru"")"),"лук")</f>
        <v>лук</v>
      </c>
      <c r="I72" s="8" t="str">
        <f>IFERROR(__xludf.DUMMYFUNCTION("GOOGLETRANSLATE(C72, ""en"", ""ar"")"),"البصل")</f>
        <v>البصل</v>
      </c>
      <c r="J72" s="8"/>
      <c r="K72" s="7" t="str">
        <f>IFERROR(__xludf.DUMMYFUNCTION("CONCAT(REGEXREPLACE(C72,""[ ,]+"",""_""),"".mp3"")"),"onion.mp3")</f>
        <v>onion.mp3</v>
      </c>
      <c r="M72" s="4" t="s">
        <v>10</v>
      </c>
    </row>
    <row r="73" ht="15.75" customHeight="1">
      <c r="A73" s="1">
        <v>1441.0</v>
      </c>
      <c r="B73" s="3">
        <v>140.0</v>
      </c>
      <c r="C73" s="7" t="s">
        <v>139</v>
      </c>
      <c r="D73" s="8" t="str">
        <f>IFERROR(__xludf.DUMMYFUNCTION("GOOGLETRANSLATE(C73, ""en"", ""pt"")"),"alho")</f>
        <v>alho</v>
      </c>
      <c r="E73" s="8" t="str">
        <f>IFERROR(__xludf.DUMMYFUNCTION("GOOGLETRANSLATE(C73, ""en"", ""es"")"),"ajo")</f>
        <v>ajo</v>
      </c>
      <c r="F73" s="8" t="str">
        <f>IFERROR(__xludf.DUMMYFUNCTION("GOOGLETRANSLATE(C73, ""en"", ""fr"")"),"ail")</f>
        <v>ail</v>
      </c>
      <c r="G73" s="8" t="str">
        <f>IFERROR(__xludf.DUMMYFUNCTION("GOOGLETRANSLATE(C73, ""en"", ""de"")"),"Knoblauch")</f>
        <v>Knoblauch</v>
      </c>
      <c r="H73" s="8" t="str">
        <f>IFERROR(__xludf.DUMMYFUNCTION("GOOGLETRANSLATE(C73, ""en"", ""ru"")"),"чеснок")</f>
        <v>чеснок</v>
      </c>
      <c r="I73" s="8" t="str">
        <f>IFERROR(__xludf.DUMMYFUNCTION("GOOGLETRANSLATE(C73, ""en"", ""ar"")"),"ثوم")</f>
        <v>ثوم</v>
      </c>
      <c r="J73" s="8"/>
      <c r="K73" s="7" t="str">
        <f>IFERROR(__xludf.DUMMYFUNCTION("CONCAT(REGEXREPLACE(C73,""[ ,]+"",""_""),"".mp3"")"),"garlic.mp3")</f>
        <v>garlic.mp3</v>
      </c>
      <c r="M73" s="4" t="s">
        <v>10</v>
      </c>
    </row>
    <row r="74" ht="15.75" customHeight="1">
      <c r="A74" s="1">
        <v>1442.0</v>
      </c>
      <c r="B74" s="3">
        <v>140.0</v>
      </c>
      <c r="C74" s="7" t="s">
        <v>140</v>
      </c>
      <c r="D74" s="8" t="str">
        <f>IFERROR(__xludf.DUMMYFUNCTION("GOOGLETRANSLATE(C74, ""en"", ""pt"")"),"alho-poró")</f>
        <v>alho-poró</v>
      </c>
      <c r="E74" s="8" t="str">
        <f>IFERROR(__xludf.DUMMYFUNCTION("GOOGLETRANSLATE(C74, ""en"", ""es"")"),"Puerro")</f>
        <v>Puerro</v>
      </c>
      <c r="F74" s="8" t="str">
        <f>IFERROR(__xludf.DUMMYFUNCTION("GOOGLETRANSLATE(C74, ""en"", ""fr"")"),"poireau")</f>
        <v>poireau</v>
      </c>
      <c r="G74" s="8" t="str">
        <f>IFERROR(__xludf.DUMMYFUNCTION("GOOGLETRANSLATE(C74, ""en"", ""de"")"),"Lauch")</f>
        <v>Lauch</v>
      </c>
      <c r="H74" s="8" t="str">
        <f>IFERROR(__xludf.DUMMYFUNCTION("GOOGLETRANSLATE(C74, ""en"", ""ru"")"),"лук-порей")</f>
        <v>лук-порей</v>
      </c>
      <c r="I74" s="8" t="str">
        <f>IFERROR(__xludf.DUMMYFUNCTION("GOOGLETRANSLATE(C74, ""en"", ""ar"")"),"كراث")</f>
        <v>كراث</v>
      </c>
      <c r="J74" s="8"/>
      <c r="K74" s="7" t="str">
        <f>IFERROR(__xludf.DUMMYFUNCTION("CONCAT(REGEXREPLACE(C74,""[ ,]+"",""_""),"".mp3"")"),"leek.mp3")</f>
        <v>leek.mp3</v>
      </c>
      <c r="M74" s="4" t="s">
        <v>10</v>
      </c>
    </row>
    <row r="75" ht="15.75" customHeight="1">
      <c r="A75" s="1">
        <v>1443.0</v>
      </c>
      <c r="B75" s="3">
        <v>140.0</v>
      </c>
      <c r="C75" s="7" t="s">
        <v>141</v>
      </c>
      <c r="D75" s="8" t="str">
        <f>IFERROR(__xludf.DUMMYFUNCTION("GOOGLETRANSLATE(C75, ""en"", ""pt"")"),"salsão")</f>
        <v>salsão</v>
      </c>
      <c r="E75" s="8" t="str">
        <f>IFERROR(__xludf.DUMMYFUNCTION("GOOGLETRANSLATE(C75, ""en"", ""es"")"),"apio")</f>
        <v>apio</v>
      </c>
      <c r="F75" s="8" t="str">
        <f>IFERROR(__xludf.DUMMYFUNCTION("GOOGLETRANSLATE(C75, ""en"", ""fr"")"),"céleri")</f>
        <v>céleri</v>
      </c>
      <c r="G75" s="8" t="str">
        <f>IFERROR(__xludf.DUMMYFUNCTION("GOOGLETRANSLATE(C75, ""en"", ""de"")"),"Sellerie")</f>
        <v>Sellerie</v>
      </c>
      <c r="H75" s="8" t="str">
        <f>IFERROR(__xludf.DUMMYFUNCTION("GOOGLETRANSLATE(C75, ""en"", ""ru"")"),"сельдерей")</f>
        <v>сельдерей</v>
      </c>
      <c r="I75" s="8" t="str">
        <f>IFERROR(__xludf.DUMMYFUNCTION("GOOGLETRANSLATE(C75, ""en"", ""ar"")"),"كرفس")</f>
        <v>كرفس</v>
      </c>
      <c r="J75" s="8"/>
      <c r="K75" s="7" t="str">
        <f>IFERROR(__xludf.DUMMYFUNCTION("CONCAT(REGEXREPLACE(C75,""[ ,]+"",""_""),"".mp3"")"),"celery.mp3")</f>
        <v>celery.mp3</v>
      </c>
      <c r="M75" s="4" t="s">
        <v>10</v>
      </c>
    </row>
    <row r="76" ht="15.75" customHeight="1">
      <c r="A76" s="1">
        <v>1444.0</v>
      </c>
      <c r="B76" s="3">
        <v>140.0</v>
      </c>
      <c r="C76" s="7" t="s">
        <v>142</v>
      </c>
      <c r="D76" s="8" t="str">
        <f>IFERROR(__xludf.DUMMYFUNCTION("GOOGLETRANSLATE(C76, ""en"", ""pt"")"),"tomate")</f>
        <v>tomate</v>
      </c>
      <c r="E76" s="8" t="str">
        <f>IFERROR(__xludf.DUMMYFUNCTION("GOOGLETRANSLATE(C76, ""en"", ""es"")"),"tomate")</f>
        <v>tomate</v>
      </c>
      <c r="F76" s="8" t="str">
        <f>IFERROR(__xludf.DUMMYFUNCTION("GOOGLETRANSLATE(C76, ""en"", ""fr"")"),"tomate")</f>
        <v>tomate</v>
      </c>
      <c r="G76" s="8" t="str">
        <f>IFERROR(__xludf.DUMMYFUNCTION("GOOGLETRANSLATE(C76, ""en"", ""de"")"),"Tomate")</f>
        <v>Tomate</v>
      </c>
      <c r="H76" s="8" t="str">
        <f>IFERROR(__xludf.DUMMYFUNCTION("GOOGLETRANSLATE(C76, ""en"", ""ru"")"),"помидор")</f>
        <v>помидор</v>
      </c>
      <c r="I76" s="8" t="str">
        <f>IFERROR(__xludf.DUMMYFUNCTION("GOOGLETRANSLATE(C76, ""en"", ""ar"")"),"طماطم")</f>
        <v>طماطم</v>
      </c>
      <c r="J76" s="8"/>
      <c r="K76" s="7" t="str">
        <f>IFERROR(__xludf.DUMMYFUNCTION("CONCAT(REGEXREPLACE(C76,""[ ,]+"",""_""),"".mp3"")"),"tomato.mp3")</f>
        <v>tomato.mp3</v>
      </c>
      <c r="M76" s="4" t="s">
        <v>10</v>
      </c>
    </row>
    <row r="77" ht="15.75" customHeight="1">
      <c r="A77" s="1">
        <v>1445.0</v>
      </c>
      <c r="B77" s="3">
        <v>140.0</v>
      </c>
      <c r="C77" s="7" t="s">
        <v>143</v>
      </c>
      <c r="D77" s="8" t="str">
        <f>IFERROR(__xludf.DUMMYFUNCTION("GOOGLETRANSLATE(C77, ""en"", ""pt"")"),"pepino")</f>
        <v>pepino</v>
      </c>
      <c r="E77" s="8" t="str">
        <f>IFERROR(__xludf.DUMMYFUNCTION("GOOGLETRANSLATE(C77, ""en"", ""es"")"),"pepino")</f>
        <v>pepino</v>
      </c>
      <c r="F77" s="8" t="str">
        <f>IFERROR(__xludf.DUMMYFUNCTION("GOOGLETRANSLATE(C77, ""en"", ""fr"")"),"concombre")</f>
        <v>concombre</v>
      </c>
      <c r="G77" s="8" t="str">
        <f>IFERROR(__xludf.DUMMYFUNCTION("GOOGLETRANSLATE(C77, ""en"", ""de"")"),"Gurke")</f>
        <v>Gurke</v>
      </c>
      <c r="H77" s="8" t="str">
        <f>IFERROR(__xludf.DUMMYFUNCTION("GOOGLETRANSLATE(C77, ""en"", ""ru"")"),"огурец")</f>
        <v>огурец</v>
      </c>
      <c r="I77" s="8" t="str">
        <f>IFERROR(__xludf.DUMMYFUNCTION("GOOGLETRANSLATE(C77, ""en"", ""ar"")"),"خيار")</f>
        <v>خيار</v>
      </c>
      <c r="J77" s="8"/>
      <c r="K77" s="7" t="str">
        <f>IFERROR(__xludf.DUMMYFUNCTION("CONCAT(REGEXREPLACE(C77,""[ ,]+"",""_""),"".mp3"")"),"cucumber.mp3")</f>
        <v>cucumber.mp3</v>
      </c>
      <c r="M77" s="4" t="s">
        <v>10</v>
      </c>
    </row>
    <row r="78" ht="15.75" customHeight="1">
      <c r="A78" s="1">
        <v>1446.0</v>
      </c>
      <c r="B78" s="3">
        <v>140.0</v>
      </c>
      <c r="C78" s="3" t="s">
        <v>144</v>
      </c>
      <c r="D78" s="8" t="str">
        <f>IFERROR(__xludf.DUMMYFUNCTION("GOOGLETRANSLATE(C78, ""en"", ""pt"")"),"abobrinha, curgete")</f>
        <v>abobrinha, curgete</v>
      </c>
      <c r="E78" s="8" t="str">
        <f>IFERROR(__xludf.DUMMYFUNCTION("GOOGLETRANSLATE(C78, ""en"", ""es"")"),"calabacín")</f>
        <v>calabacín</v>
      </c>
      <c r="F78" s="8" t="str">
        <f>IFERROR(__xludf.DUMMYFUNCTION("GOOGLETRANSLATE(C78, ""en"", ""fr"")"),"courgette")</f>
        <v>courgette</v>
      </c>
      <c r="G78" s="8" t="str">
        <f>IFERROR(__xludf.DUMMYFUNCTION("GOOGLETRANSLATE(C78, ""en"", ""de"")"),"Zucchini, Courgette")</f>
        <v>Zucchini, Courgette</v>
      </c>
      <c r="H78" s="8" t="str">
        <f>IFERROR(__xludf.DUMMYFUNCTION("GOOGLETRANSLATE(C78, ""en"", ""ru"")"),"кабачок, цуккини")</f>
        <v>кабачок, цуккини</v>
      </c>
      <c r="I78" s="8" t="str">
        <f>IFERROR(__xludf.DUMMYFUNCTION("GOOGLETRANSLATE(C78, ""en"", ""ar"")"),"الكوسا")</f>
        <v>الكوسا</v>
      </c>
      <c r="J78" s="8"/>
      <c r="K78" s="7" t="str">
        <f>IFERROR(__xludf.DUMMYFUNCTION("CONCAT(REGEXREPLACE(C78,""[ ,]+"",""_""),"".mp3"")"),"zucchini_courgette.mp3")</f>
        <v>zucchini_courgette.mp3</v>
      </c>
      <c r="M78" s="4" t="s">
        <v>10</v>
      </c>
    </row>
    <row r="79" ht="15.75" customHeight="1">
      <c r="A79" s="1">
        <v>1447.0</v>
      </c>
      <c r="B79" s="3">
        <v>140.0</v>
      </c>
      <c r="C79" s="3" t="s">
        <v>145</v>
      </c>
      <c r="D79" s="8" t="str">
        <f>IFERROR(__xludf.DUMMYFUNCTION("GOOGLETRANSLATE(C79, ""en"", ""pt"")"),"berinjela")</f>
        <v>berinjela</v>
      </c>
      <c r="E79" s="8" t="str">
        <f>IFERROR(__xludf.DUMMYFUNCTION("GOOGLETRANSLATE(C79, ""en"", ""es"")"),"berenjena")</f>
        <v>berenjena</v>
      </c>
      <c r="F79" s="8" t="str">
        <f>IFERROR(__xludf.DUMMYFUNCTION("GOOGLETRANSLATE(C79, ""en"", ""fr"")"),"aubergine")</f>
        <v>aubergine</v>
      </c>
      <c r="G79" s="8" t="str">
        <f>IFERROR(__xludf.DUMMYFUNCTION("GOOGLETRANSLATE(C79, ""en"", ""de"")"),"Aubergine")</f>
        <v>Aubergine</v>
      </c>
      <c r="H79" s="8" t="str">
        <f>IFERROR(__xludf.DUMMYFUNCTION("GOOGLETRANSLATE(C79, ""en"", ""ru"")"),"баклажан")</f>
        <v>баклажан</v>
      </c>
      <c r="I79" s="8" t="str">
        <f>IFERROR(__xludf.DUMMYFUNCTION("GOOGLETRANSLATE(C79, ""en"", ""ar"")"),"الباذنجان، أوبيرجين")</f>
        <v>الباذنجان، أوبيرجين</v>
      </c>
      <c r="J79" s="8"/>
      <c r="K79" s="7" t="str">
        <f>IFERROR(__xludf.DUMMYFUNCTION("CONCAT(REGEXREPLACE(C79,""[ ,]+"",""_""),"".mp3"")"),"eggplant_aubergine.mp3")</f>
        <v>eggplant_aubergine.mp3</v>
      </c>
      <c r="M79" s="4" t="s">
        <v>10</v>
      </c>
    </row>
    <row r="80" ht="15.75" customHeight="1">
      <c r="A80" s="1">
        <v>1448.0</v>
      </c>
      <c r="B80" s="3">
        <v>140.0</v>
      </c>
      <c r="C80" s="7" t="s">
        <v>146</v>
      </c>
      <c r="D80" s="8" t="str">
        <f>IFERROR(__xludf.DUMMYFUNCTION("GOOGLETRANSLATE(C80, ""en"", ""pt"")"),"pimentão")</f>
        <v>pimentão</v>
      </c>
      <c r="E80" s="8" t="str">
        <f>IFERROR(__xludf.DUMMYFUNCTION("GOOGLETRANSLATE(C80, ""en"", ""es"")"),"pimiento morrón")</f>
        <v>pimiento morrón</v>
      </c>
      <c r="F80" s="8" t="str">
        <f>IFERROR(__xludf.DUMMYFUNCTION("GOOGLETRANSLATE(C80, ""en"", ""fr"")"),"poivron")</f>
        <v>poivron</v>
      </c>
      <c r="G80" s="8" t="str">
        <f>IFERROR(__xludf.DUMMYFUNCTION("GOOGLETRANSLATE(C80, ""en"", ""de"")"),"Paprika")</f>
        <v>Paprika</v>
      </c>
      <c r="H80" s="8" t="str">
        <f>IFERROR(__xludf.DUMMYFUNCTION("GOOGLETRANSLATE(C80, ""en"", ""ru"")"),"болгарский перец")</f>
        <v>болгарский перец</v>
      </c>
      <c r="I80" s="8" t="str">
        <f>IFERROR(__xludf.DUMMYFUNCTION("GOOGLETRANSLATE(C80, ""en"", ""ar"")"),"الفلفل الحلو")</f>
        <v>الفلفل الحلو</v>
      </c>
      <c r="J80" s="8"/>
      <c r="K80" s="7" t="str">
        <f>IFERROR(__xludf.DUMMYFUNCTION("CONCAT(REGEXREPLACE(C80,""[ ,]+"",""_""),"".mp3"")"),"bell_pepper.mp3")</f>
        <v>bell_pepper.mp3</v>
      </c>
      <c r="M80" s="4" t="s">
        <v>10</v>
      </c>
    </row>
    <row r="81" ht="15.75" customHeight="1">
      <c r="A81" s="1">
        <v>1449.0</v>
      </c>
      <c r="B81" s="3">
        <v>140.0</v>
      </c>
      <c r="C81" s="7" t="s">
        <v>147</v>
      </c>
      <c r="D81" s="8" t="str">
        <f>IFERROR(__xludf.DUMMYFUNCTION("GOOGLETRANSLATE(C81, ""en"", ""pt"")"),"Pimenta")</f>
        <v>Pimenta</v>
      </c>
      <c r="E81" s="8" t="str">
        <f>IFERROR(__xludf.DUMMYFUNCTION("GOOGLETRANSLATE(C81, ""en"", ""es"")"),"Ají picante")</f>
        <v>Ají picante</v>
      </c>
      <c r="F81" s="8" t="str">
        <f>IFERROR(__xludf.DUMMYFUNCTION("GOOGLETRANSLATE(C81, ""en"", ""fr"")"),"piment")</f>
        <v>piment</v>
      </c>
      <c r="G81" s="8" t="str">
        <f>IFERROR(__xludf.DUMMYFUNCTION("GOOGLETRANSLATE(C81, ""en"", ""de"")"),"Chili-Pfeffer")</f>
        <v>Chili-Pfeffer</v>
      </c>
      <c r="H81" s="8" t="str">
        <f>IFERROR(__xludf.DUMMYFUNCTION("GOOGLETRANSLATE(C81, ""en"", ""ru"")"),"перец чили")</f>
        <v>перец чили</v>
      </c>
      <c r="I81" s="8" t="str">
        <f>IFERROR(__xludf.DUMMYFUNCTION("GOOGLETRANSLATE(C81, ""en"", ""ar"")"),"الفلفل الحار")</f>
        <v>الفلفل الحار</v>
      </c>
      <c r="J81" s="8"/>
      <c r="K81" s="7" t="str">
        <f>IFERROR(__xludf.DUMMYFUNCTION("CONCAT(REGEXREPLACE(C81,""[ ,]+"",""_""),"".mp3"")"),"chili_pepper.mp3")</f>
        <v>chili_pepper.mp3</v>
      </c>
      <c r="M81" s="4" t="s">
        <v>10</v>
      </c>
    </row>
    <row r="82" ht="15.75" customHeight="1">
      <c r="A82" s="1">
        <v>1450.0</v>
      </c>
      <c r="B82" s="3">
        <v>140.0</v>
      </c>
      <c r="C82" s="7" t="s">
        <v>148</v>
      </c>
      <c r="D82" s="8" t="str">
        <f>IFERROR(__xludf.DUMMYFUNCTION("GOOGLETRANSLATE(C82, ""en"", ""pt"")"),"abóbora")</f>
        <v>abóbora</v>
      </c>
      <c r="E82" s="8" t="str">
        <f>IFERROR(__xludf.DUMMYFUNCTION("GOOGLETRANSLATE(C82, ""en"", ""es"")"),"calabaza")</f>
        <v>calabaza</v>
      </c>
      <c r="F82" s="8" t="str">
        <f>IFERROR(__xludf.DUMMYFUNCTION("GOOGLETRANSLATE(C82, ""en"", ""fr"")"),"citrouille")</f>
        <v>citrouille</v>
      </c>
      <c r="G82" s="8" t="str">
        <f>IFERROR(__xludf.DUMMYFUNCTION("GOOGLETRANSLATE(C82, ""en"", ""de"")"),"Kürbis")</f>
        <v>Kürbis</v>
      </c>
      <c r="H82" s="8" t="str">
        <f>IFERROR(__xludf.DUMMYFUNCTION("GOOGLETRANSLATE(C82, ""en"", ""ru"")"),"тыква")</f>
        <v>тыква</v>
      </c>
      <c r="I82" s="8" t="str">
        <f>IFERROR(__xludf.DUMMYFUNCTION("GOOGLETRANSLATE(C82, ""en"", ""ar"")"),"يقطين")</f>
        <v>يقطين</v>
      </c>
      <c r="J82" s="8"/>
      <c r="K82" s="7" t="str">
        <f>IFERROR(__xludf.DUMMYFUNCTION("CONCAT(REGEXREPLACE(C82,""[ ,]+"",""_""),"".mp3"")"),"pumpkin.mp3")</f>
        <v>pumpkin.mp3</v>
      </c>
      <c r="M82" s="4" t="s">
        <v>10</v>
      </c>
    </row>
    <row r="83" ht="15.75" customHeight="1">
      <c r="A83" s="1">
        <v>1451.0</v>
      </c>
      <c r="B83" s="3">
        <v>140.0</v>
      </c>
      <c r="C83" s="3" t="s">
        <v>149</v>
      </c>
      <c r="D83" s="8" t="str">
        <f>IFERROR(__xludf.DUMMYFUNCTION("GOOGLETRANSLATE(C83, ""en"", ""pt"")"),"milho")</f>
        <v>milho</v>
      </c>
      <c r="E83" s="8" t="str">
        <f>IFERROR(__xludf.DUMMYFUNCTION("GOOGLETRANSLATE(C83, ""en"", ""es"")"),"maíz")</f>
        <v>maíz</v>
      </c>
      <c r="F83" s="8" t="str">
        <f>IFERROR(__xludf.DUMMYFUNCTION("GOOGLETRANSLATE(C83, ""en"", ""fr"")"),"maïs, maïs")</f>
        <v>maïs, maïs</v>
      </c>
      <c r="G83" s="8" t="str">
        <f>IFERROR(__xludf.DUMMYFUNCTION("GOOGLETRANSLATE(C83, ""en"", ""de"")"),"Mais")</f>
        <v>Mais</v>
      </c>
      <c r="H83" s="8" t="str">
        <f>IFERROR(__xludf.DUMMYFUNCTION("GOOGLETRANSLATE(C83, ""en"", ""ru"")"),"кукуруза, кукурузный початок")</f>
        <v>кукуруза, кукурузный початок</v>
      </c>
      <c r="I83" s="8" t="str">
        <f>IFERROR(__xludf.DUMMYFUNCTION("GOOGLETRANSLATE(C83, ""en"", ""ar"")"),"الذرة")</f>
        <v>الذرة</v>
      </c>
      <c r="J83" s="8"/>
      <c r="K83" s="7" t="str">
        <f>IFERROR(__xludf.DUMMYFUNCTION("CONCAT(REGEXREPLACE(C83,""[ ,]+"",""_""),"".mp3"")"),"corn_maize.mp3")</f>
        <v>corn_maize.mp3</v>
      </c>
      <c r="M83" s="4" t="s">
        <v>10</v>
      </c>
    </row>
    <row r="84" ht="15.75" customHeight="1">
      <c r="A84" s="1">
        <v>1452.0</v>
      </c>
      <c r="B84" s="3">
        <v>140.0</v>
      </c>
      <c r="C84" s="7" t="s">
        <v>150</v>
      </c>
      <c r="D84" s="8" t="str">
        <f>IFERROR(__xludf.DUMMYFUNCTION("GOOGLETRANSLATE(C84, ""en"", ""pt"")"),"ervilhas")</f>
        <v>ervilhas</v>
      </c>
      <c r="E84" s="8" t="str">
        <f>IFERROR(__xludf.DUMMYFUNCTION("GOOGLETRANSLATE(C84, ""en"", ""es"")"),"guisantes")</f>
        <v>guisantes</v>
      </c>
      <c r="F84" s="8" t="str">
        <f>IFERROR(__xludf.DUMMYFUNCTION("GOOGLETRANSLATE(C84, ""en"", ""fr"")"),"petits pois")</f>
        <v>petits pois</v>
      </c>
      <c r="G84" s="8" t="str">
        <f>IFERROR(__xludf.DUMMYFUNCTION("GOOGLETRANSLATE(C84, ""en"", ""de"")"),"Erbsen")</f>
        <v>Erbsen</v>
      </c>
      <c r="H84" s="8" t="str">
        <f>IFERROR(__xludf.DUMMYFUNCTION("GOOGLETRANSLATE(C84, ""en"", ""ru"")"),"горох")</f>
        <v>горох</v>
      </c>
      <c r="I84" s="8" t="str">
        <f>IFERROR(__xludf.DUMMYFUNCTION("GOOGLETRANSLATE(C84, ""en"", ""ar"")"),"البازلاء")</f>
        <v>البازلاء</v>
      </c>
      <c r="J84" s="8"/>
      <c r="K84" s="7" t="str">
        <f>IFERROR(__xludf.DUMMYFUNCTION("CONCAT(REGEXREPLACE(C84,""[ ,]+"",""_""),"".mp3"")"),"peas.mp3")</f>
        <v>peas.mp3</v>
      </c>
      <c r="M84" s="4" t="s">
        <v>10</v>
      </c>
    </row>
    <row r="85" ht="15.75" customHeight="1">
      <c r="A85" s="1">
        <v>1453.0</v>
      </c>
      <c r="B85" s="3">
        <v>140.0</v>
      </c>
      <c r="C85" s="7" t="s">
        <v>151</v>
      </c>
      <c r="D85" s="8" t="str">
        <f>IFERROR(__xludf.DUMMYFUNCTION("GOOGLETRANSLATE(C85, ""en"", ""pt"")"),"vagens")</f>
        <v>vagens</v>
      </c>
      <c r="E85" s="8" t="str">
        <f>IFERROR(__xludf.DUMMYFUNCTION("GOOGLETRANSLATE(C85, ""en"", ""es"")"),"judías verdes")</f>
        <v>judías verdes</v>
      </c>
      <c r="F85" s="8" t="str">
        <f>IFERROR(__xludf.DUMMYFUNCTION("GOOGLETRANSLATE(C85, ""en"", ""fr"")"),"haricots verts")</f>
        <v>haricots verts</v>
      </c>
      <c r="G85" s="8" t="str">
        <f>IFERROR(__xludf.DUMMYFUNCTION("GOOGLETRANSLATE(C85, ""en"", ""de"")"),"grüne Bohnen")</f>
        <v>grüne Bohnen</v>
      </c>
      <c r="H85" s="8" t="str">
        <f>IFERROR(__xludf.DUMMYFUNCTION("GOOGLETRANSLATE(C85, ""en"", ""ru"")"),"зеленая фасоль")</f>
        <v>зеленая фасоль</v>
      </c>
      <c r="I85" s="8" t="str">
        <f>IFERROR(__xludf.DUMMYFUNCTION("GOOGLETRANSLATE(C85, ""en"", ""ar"")"),"فاصوليا خضراء")</f>
        <v>فاصوليا خضراء</v>
      </c>
      <c r="J85" s="8"/>
      <c r="K85" s="7" t="str">
        <f>IFERROR(__xludf.DUMMYFUNCTION("CONCAT(REGEXREPLACE(C85,""[ ,]+"",""_""),"".mp3"")"),"green_beans.mp3")</f>
        <v>green_beans.mp3</v>
      </c>
      <c r="M85" s="4" t="s">
        <v>10</v>
      </c>
    </row>
    <row r="86" ht="15.75" customHeight="1">
      <c r="A86" s="1">
        <v>1454.0</v>
      </c>
      <c r="B86" s="3">
        <v>140.0</v>
      </c>
      <c r="C86" s="7" t="s">
        <v>152</v>
      </c>
      <c r="D86" s="8" t="str">
        <f>IFERROR(__xludf.DUMMYFUNCTION("GOOGLETRANSLATE(C86, ""en"", ""pt"")"),"lentilhas")</f>
        <v>lentilhas</v>
      </c>
      <c r="E86" s="8" t="str">
        <f>IFERROR(__xludf.DUMMYFUNCTION("GOOGLETRANSLATE(C86, ""en"", ""es"")"),"lentejas")</f>
        <v>lentejas</v>
      </c>
      <c r="F86" s="8" t="str">
        <f>IFERROR(__xludf.DUMMYFUNCTION("GOOGLETRANSLATE(C86, ""en"", ""fr"")"),"lentilles")</f>
        <v>lentilles</v>
      </c>
      <c r="G86" s="8" t="str">
        <f>IFERROR(__xludf.DUMMYFUNCTION("GOOGLETRANSLATE(C86, ""en"", ""de"")"),"Linsen")</f>
        <v>Linsen</v>
      </c>
      <c r="H86" s="8" t="str">
        <f>IFERROR(__xludf.DUMMYFUNCTION("GOOGLETRANSLATE(C86, ""en"", ""ru"")"),"чечевица")</f>
        <v>чечевица</v>
      </c>
      <c r="I86" s="8" t="str">
        <f>IFERROR(__xludf.DUMMYFUNCTION("GOOGLETRANSLATE(C86, ""en"", ""ar"")"),"العدس")</f>
        <v>العدس</v>
      </c>
      <c r="J86" s="8"/>
      <c r="K86" s="7" t="str">
        <f>IFERROR(__xludf.DUMMYFUNCTION("CONCAT(REGEXREPLACE(C86,""[ ,]+"",""_""),"".mp3"")"),"lentils.mp3")</f>
        <v>lentils.mp3</v>
      </c>
      <c r="M86" s="4" t="s">
        <v>10</v>
      </c>
    </row>
    <row r="87" ht="15.75" customHeight="1">
      <c r="A87" s="1">
        <v>1455.0</v>
      </c>
      <c r="B87" s="3">
        <v>140.0</v>
      </c>
      <c r="C87" s="7" t="s">
        <v>153</v>
      </c>
      <c r="D87" s="8" t="str">
        <f>IFERROR(__xludf.DUMMYFUNCTION("GOOGLETRANSLATE(C87, ""en"", ""pt"")"),"grão de bico")</f>
        <v>grão de bico</v>
      </c>
      <c r="E87" s="8" t="str">
        <f>IFERROR(__xludf.DUMMYFUNCTION("GOOGLETRANSLATE(C87, ""en"", ""es"")"),"garbanzos")</f>
        <v>garbanzos</v>
      </c>
      <c r="F87" s="8" t="str">
        <f>IFERROR(__xludf.DUMMYFUNCTION("GOOGLETRANSLATE(C87, ""en"", ""fr"")"),"pois chiches")</f>
        <v>pois chiches</v>
      </c>
      <c r="G87" s="8" t="str">
        <f>IFERROR(__xludf.DUMMYFUNCTION("GOOGLETRANSLATE(C87, ""en"", ""de"")"),"Kichererbsen")</f>
        <v>Kichererbsen</v>
      </c>
      <c r="H87" s="8" t="str">
        <f>IFERROR(__xludf.DUMMYFUNCTION("GOOGLETRANSLATE(C87, ""en"", ""ru"")"),"нут")</f>
        <v>нут</v>
      </c>
      <c r="I87" s="8" t="str">
        <f>IFERROR(__xludf.DUMMYFUNCTION("GOOGLETRANSLATE(C87, ""en"", ""ar"")"),"الحمص")</f>
        <v>الحمص</v>
      </c>
      <c r="J87" s="8"/>
      <c r="K87" s="7" t="str">
        <f>IFERROR(__xludf.DUMMYFUNCTION("CONCAT(REGEXREPLACE(C87,""[ ,]+"",""_""),"".mp3"")"),"chickpeas.mp3")</f>
        <v>chickpeas.mp3</v>
      </c>
      <c r="M87" s="4" t="s">
        <v>10</v>
      </c>
    </row>
    <row r="88" ht="15.75" customHeight="1">
      <c r="A88" s="1">
        <v>1456.0</v>
      </c>
      <c r="B88" s="3">
        <v>141.0</v>
      </c>
      <c r="C88" s="7" t="s">
        <v>154</v>
      </c>
      <c r="D88" s="8" t="str">
        <f>IFERROR(__xludf.DUMMYFUNCTION("GOOGLETRANSLATE(C88, ""en"", ""pt"")"),"carro")</f>
        <v>carro</v>
      </c>
      <c r="E88" s="8" t="str">
        <f>IFERROR(__xludf.DUMMYFUNCTION("GOOGLETRANSLATE(C88, ""en"", ""es"")"),"auto")</f>
        <v>auto</v>
      </c>
      <c r="F88" s="8" t="str">
        <f>IFERROR(__xludf.DUMMYFUNCTION("GOOGLETRANSLATE(C88, ""en"", ""fr"")"),"voiture")</f>
        <v>voiture</v>
      </c>
      <c r="G88" s="8" t="str">
        <f>IFERROR(__xludf.DUMMYFUNCTION("GOOGLETRANSLATE(C88, ""en"", ""de"")"),"Auto")</f>
        <v>Auto</v>
      </c>
      <c r="H88" s="8" t="str">
        <f>IFERROR(__xludf.DUMMYFUNCTION("GOOGLETRANSLATE(C88, ""en"", ""ru"")"),"машина")</f>
        <v>машина</v>
      </c>
      <c r="I88" s="8" t="str">
        <f>IFERROR(__xludf.DUMMYFUNCTION("GOOGLETRANSLATE(C88, ""en"", ""ar"")"),"سيارة")</f>
        <v>سيارة</v>
      </c>
      <c r="J88" s="8"/>
      <c r="K88" s="7" t="str">
        <f>IFERROR(__xludf.DUMMYFUNCTION("CONCAT(REGEXREPLACE(C88,""[ ,]+"",""_""),"".mp3"")"),"car.mp3")</f>
        <v>car.mp3</v>
      </c>
      <c r="M88" s="4" t="s">
        <v>10</v>
      </c>
    </row>
    <row r="89" ht="15.75" customHeight="1">
      <c r="A89" s="1">
        <v>1457.0</v>
      </c>
      <c r="B89" s="3">
        <v>141.0</v>
      </c>
      <c r="C89" s="7" t="s">
        <v>155</v>
      </c>
      <c r="D89" s="8" t="str">
        <f>IFERROR(__xludf.DUMMYFUNCTION("GOOGLETRANSLATE(C89, ""en"", ""pt"")"),"ônibus")</f>
        <v>ônibus</v>
      </c>
      <c r="E89" s="8" t="str">
        <f>IFERROR(__xludf.DUMMYFUNCTION("GOOGLETRANSLATE(C89, ""en"", ""es"")"),"autobús")</f>
        <v>autobús</v>
      </c>
      <c r="F89" s="8" t="str">
        <f>IFERROR(__xludf.DUMMYFUNCTION("GOOGLETRANSLATE(C89, ""en"", ""fr"")"),"bus")</f>
        <v>bus</v>
      </c>
      <c r="G89" s="8" t="str">
        <f>IFERROR(__xludf.DUMMYFUNCTION("GOOGLETRANSLATE(C89, ""en"", ""de"")"),"Bus")</f>
        <v>Bus</v>
      </c>
      <c r="H89" s="8" t="str">
        <f>IFERROR(__xludf.DUMMYFUNCTION("GOOGLETRANSLATE(C89, ""en"", ""ru"")"),"автобус")</f>
        <v>автобус</v>
      </c>
      <c r="I89" s="8" t="str">
        <f>IFERROR(__xludf.DUMMYFUNCTION("GOOGLETRANSLATE(C89, ""en"", ""ar"")"),"حافلة")</f>
        <v>حافلة</v>
      </c>
      <c r="J89" s="8"/>
      <c r="K89" s="7" t="str">
        <f>IFERROR(__xludf.DUMMYFUNCTION("CONCAT(REGEXREPLACE(C89,""[ ,]+"",""_""),"".mp3"")"),"bus.mp3")</f>
        <v>bus.mp3</v>
      </c>
      <c r="M89" s="4" t="s">
        <v>10</v>
      </c>
    </row>
    <row r="90" ht="15.75" customHeight="1">
      <c r="A90" s="1">
        <v>1458.0</v>
      </c>
      <c r="B90" s="3">
        <v>141.0</v>
      </c>
      <c r="C90" s="7" t="s">
        <v>156</v>
      </c>
      <c r="D90" s="8" t="str">
        <f>IFERROR(__xludf.DUMMYFUNCTION("GOOGLETRANSLATE(C90, ""en"", ""pt"")"),"Táxi")</f>
        <v>Táxi</v>
      </c>
      <c r="E90" s="8" t="str">
        <f>IFERROR(__xludf.DUMMYFUNCTION("GOOGLETRANSLATE(C90, ""en"", ""es"")"),"Taxi")</f>
        <v>Taxi</v>
      </c>
      <c r="F90" s="8" t="str">
        <f>IFERROR(__xludf.DUMMYFUNCTION("GOOGLETRANSLATE(C90, ""en"", ""fr"")"),"Taxi")</f>
        <v>Taxi</v>
      </c>
      <c r="G90" s="8" t="str">
        <f>IFERROR(__xludf.DUMMYFUNCTION("GOOGLETRANSLATE(C90, ""en"", ""de"")"),"Taxi")</f>
        <v>Taxi</v>
      </c>
      <c r="H90" s="8" t="str">
        <f>IFERROR(__xludf.DUMMYFUNCTION("GOOGLETRANSLATE(C90, ""en"", ""ru"")"),"такси")</f>
        <v>такси</v>
      </c>
      <c r="I90" s="8" t="str">
        <f>IFERROR(__xludf.DUMMYFUNCTION("GOOGLETRANSLATE(C90, ""en"", ""ar"")"),"تاكسي")</f>
        <v>تاكسي</v>
      </c>
      <c r="J90" s="8"/>
      <c r="K90" s="7" t="str">
        <f>IFERROR(__xludf.DUMMYFUNCTION("CONCAT(REGEXREPLACE(C90,""[ ,]+"",""_""),"".mp3"")"),"taxi.mp3")</f>
        <v>taxi.mp3</v>
      </c>
      <c r="M90" s="4" t="s">
        <v>10</v>
      </c>
    </row>
    <row r="91" ht="15.75" customHeight="1">
      <c r="A91" s="1">
        <v>1459.0</v>
      </c>
      <c r="B91" s="3">
        <v>141.0</v>
      </c>
      <c r="C91" s="7" t="s">
        <v>157</v>
      </c>
      <c r="D91" s="8" t="str">
        <f>IFERROR(__xludf.DUMMYFUNCTION("GOOGLETRANSLATE(C91, ""en"", ""pt"")"),"trem")</f>
        <v>trem</v>
      </c>
      <c r="E91" s="8" t="str">
        <f>IFERROR(__xludf.DUMMYFUNCTION("GOOGLETRANSLATE(C91, ""en"", ""es"")"),"tren")</f>
        <v>tren</v>
      </c>
      <c r="F91" s="8" t="str">
        <f>IFERROR(__xludf.DUMMYFUNCTION("GOOGLETRANSLATE(C91, ""en"", ""fr"")"),"former")</f>
        <v>former</v>
      </c>
      <c r="G91" s="8" t="str">
        <f>IFERROR(__xludf.DUMMYFUNCTION("GOOGLETRANSLATE(C91, ""en"", ""de"")"),"Zug")</f>
        <v>Zug</v>
      </c>
      <c r="H91" s="8" t="str">
        <f>IFERROR(__xludf.DUMMYFUNCTION("GOOGLETRANSLATE(C91, ""en"", ""ru"")"),"тренироваться")</f>
        <v>тренироваться</v>
      </c>
      <c r="I91" s="8" t="str">
        <f>IFERROR(__xludf.DUMMYFUNCTION("GOOGLETRANSLATE(C91, ""en"", ""ar"")"),"يدرب")</f>
        <v>يدرب</v>
      </c>
      <c r="J91" s="8"/>
      <c r="K91" s="7" t="str">
        <f>IFERROR(__xludf.DUMMYFUNCTION("CONCAT(REGEXREPLACE(C91,""[ ,]+"",""_""),"".mp3"")"),"train.mp3")</f>
        <v>train.mp3</v>
      </c>
      <c r="M91" s="4" t="s">
        <v>10</v>
      </c>
    </row>
    <row r="92" ht="15.75" customHeight="1">
      <c r="A92" s="1">
        <v>1460.0</v>
      </c>
      <c r="B92" s="3">
        <v>141.0</v>
      </c>
      <c r="C92" s="7" t="s">
        <v>158</v>
      </c>
      <c r="D92" s="8" t="str">
        <f>IFERROR(__xludf.DUMMYFUNCTION("GOOGLETRANSLATE(C92, ""en"", ""pt"")"),"eléctrico")</f>
        <v>eléctrico</v>
      </c>
      <c r="E92" s="8" t="str">
        <f>IFERROR(__xludf.DUMMYFUNCTION("GOOGLETRANSLATE(C92, ""en"", ""es"")"),"tranvía")</f>
        <v>tranvía</v>
      </c>
      <c r="F92" s="8" t="str">
        <f>IFERROR(__xludf.DUMMYFUNCTION("GOOGLETRANSLATE(C92, ""en"", ""fr"")"),"tram")</f>
        <v>tram</v>
      </c>
      <c r="G92" s="8" t="str">
        <f>IFERROR(__xludf.DUMMYFUNCTION("GOOGLETRANSLATE(C92, ""en"", ""de"")"),"Tram")</f>
        <v>Tram</v>
      </c>
      <c r="H92" s="8" t="str">
        <f>IFERROR(__xludf.DUMMYFUNCTION("GOOGLETRANSLATE(C92, ""en"", ""ru"")"),"трамвай")</f>
        <v>трамвай</v>
      </c>
      <c r="I92" s="8" t="str">
        <f>IFERROR(__xludf.DUMMYFUNCTION("GOOGLETRANSLATE(C92, ""en"", ""ar"")"),"ترام")</f>
        <v>ترام</v>
      </c>
      <c r="J92" s="8"/>
      <c r="K92" s="7" t="str">
        <f>IFERROR(__xludf.DUMMYFUNCTION("CONCAT(REGEXREPLACE(C92,""[ ,]+"",""_""),"".mp3"")"),"tram.mp3")</f>
        <v>tram.mp3</v>
      </c>
      <c r="M92" s="4" t="s">
        <v>10</v>
      </c>
    </row>
    <row r="93" ht="15.75" customHeight="1">
      <c r="A93" s="1">
        <v>1461.0</v>
      </c>
      <c r="B93" s="3">
        <v>141.0</v>
      </c>
      <c r="C93" s="3" t="s">
        <v>159</v>
      </c>
      <c r="D93" s="8" t="str">
        <f>IFERROR(__xludf.DUMMYFUNCTION("GOOGLETRANSLATE(C93, ""en"", ""pt"")"),"metrô, subterrâneo")</f>
        <v>metrô, subterrâneo</v>
      </c>
      <c r="E93" s="8" t="str">
        <f>IFERROR(__xludf.DUMMYFUNCTION("GOOGLETRANSLATE(C93, ""en"", ""es"")"),"metro, subterráneo")</f>
        <v>metro, subterráneo</v>
      </c>
      <c r="F93" s="8" t="str">
        <f>IFERROR(__xludf.DUMMYFUNCTION("GOOGLETRANSLATE(C93, ""en"", ""fr"")"),"métro, souterrain")</f>
        <v>métro, souterrain</v>
      </c>
      <c r="G93" s="8" t="str">
        <f>IFERROR(__xludf.DUMMYFUNCTION("GOOGLETRANSLATE(C93, ""en"", ""de"")"),"U-Bahn, Untergrund")</f>
        <v>U-Bahn, Untergrund</v>
      </c>
      <c r="H93" s="8" t="str">
        <f>IFERROR(__xludf.DUMMYFUNCTION("GOOGLETRANSLATE(C93, ""en"", ""ru"")"),"метро, ​​подземный")</f>
        <v>метро, ​​подземный</v>
      </c>
      <c r="I93" s="8" t="str">
        <f>IFERROR(__xludf.DUMMYFUNCTION("GOOGLETRANSLATE(C93, ""en"", ""ar"")"),"مترو الأنفاق، تحت الأرض")</f>
        <v>مترو الأنفاق، تحت الأرض</v>
      </c>
      <c r="J93" s="8"/>
      <c r="K93" s="7" t="str">
        <f>IFERROR(__xludf.DUMMYFUNCTION("CONCAT(REGEXREPLACE(C93,""[ ,]+"",""_""),"".mp3"")"),"subway_underground.mp3")</f>
        <v>subway_underground.mp3</v>
      </c>
      <c r="M93" s="4" t="s">
        <v>10</v>
      </c>
    </row>
    <row r="94" ht="15.75" customHeight="1">
      <c r="A94" s="1">
        <v>1462.0</v>
      </c>
      <c r="B94" s="3">
        <v>141.0</v>
      </c>
      <c r="C94" s="7" t="s">
        <v>160</v>
      </c>
      <c r="D94" s="8" t="str">
        <f>IFERROR(__xludf.DUMMYFUNCTION("GOOGLETRANSLATE(C94, ""en"", ""pt"")"),"metrô")</f>
        <v>metrô</v>
      </c>
      <c r="E94" s="8" t="str">
        <f>IFERROR(__xludf.DUMMYFUNCTION("GOOGLETRANSLATE(C94, ""en"", ""es"")"),"metro")</f>
        <v>metro</v>
      </c>
      <c r="F94" s="8" t="str">
        <f>IFERROR(__xludf.DUMMYFUNCTION("GOOGLETRANSLATE(C94, ""en"", ""fr"")"),"métro")</f>
        <v>métro</v>
      </c>
      <c r="G94" s="8" t="str">
        <f>IFERROR(__xludf.DUMMYFUNCTION("GOOGLETRANSLATE(C94, ""en"", ""de"")"),"Metro")</f>
        <v>Metro</v>
      </c>
      <c r="H94" s="8" t="str">
        <f>IFERROR(__xludf.DUMMYFUNCTION("GOOGLETRANSLATE(C94, ""en"", ""ru"")"),"метро")</f>
        <v>метро</v>
      </c>
      <c r="I94" s="8" t="str">
        <f>IFERROR(__xludf.DUMMYFUNCTION("GOOGLETRANSLATE(C94, ""en"", ""ar"")"),"مترو")</f>
        <v>مترو</v>
      </c>
      <c r="J94" s="8"/>
      <c r="K94" s="7" t="str">
        <f>IFERROR(__xludf.DUMMYFUNCTION("CONCAT(REGEXREPLACE(C94,""[ ,]+"",""_""),"".mp3"")"),"metro.mp3")</f>
        <v>metro.mp3</v>
      </c>
      <c r="M94" s="4" t="s">
        <v>10</v>
      </c>
    </row>
    <row r="95" ht="15.75" customHeight="1">
      <c r="A95" s="1">
        <v>1463.0</v>
      </c>
      <c r="B95" s="3">
        <v>141.0</v>
      </c>
      <c r="C95" s="3" t="s">
        <v>161</v>
      </c>
      <c r="D95" s="8" t="str">
        <f>IFERROR(__xludf.DUMMYFUNCTION("GOOGLETRANSLATE(C95, ""en"", ""pt"")"),"bicicleta, bicicleta")</f>
        <v>bicicleta, bicicleta</v>
      </c>
      <c r="E95" s="8" t="str">
        <f>IFERROR(__xludf.DUMMYFUNCTION("GOOGLETRANSLATE(C95, ""en"", ""es"")"),"bicicleta, bici")</f>
        <v>bicicleta, bici</v>
      </c>
      <c r="F95" s="8" t="str">
        <f>IFERROR(__xludf.DUMMYFUNCTION("GOOGLETRANSLATE(C95, ""en"", ""fr"")"),"vélo, vélo")</f>
        <v>vélo, vélo</v>
      </c>
      <c r="G95" s="8" t="str">
        <f>IFERROR(__xludf.DUMMYFUNCTION("GOOGLETRANSLATE(C95, ""en"", ""de"")"),"Fahrrad, Rad")</f>
        <v>Fahrrad, Rad</v>
      </c>
      <c r="H95" s="8" t="str">
        <f>IFERROR(__xludf.DUMMYFUNCTION("GOOGLETRANSLATE(C95, ""en"", ""ru"")"),"велосипед, байк")</f>
        <v>велосипед, байк</v>
      </c>
      <c r="I95" s="8" t="str">
        <f>IFERROR(__xludf.DUMMYFUNCTION("GOOGLETRANSLATE(C95, ""en"", ""ar"")"),"دراجة هوائية، دراجة")</f>
        <v>دراجة هوائية، دراجة</v>
      </c>
      <c r="J95" s="8"/>
      <c r="K95" s="7" t="str">
        <f>IFERROR(__xludf.DUMMYFUNCTION("CONCAT(REGEXREPLACE(C95,""[ ,]+"",""_""),"".mp3"")"),"bicycle_bike.mp3")</f>
        <v>bicycle_bike.mp3</v>
      </c>
      <c r="M95" s="4" t="s">
        <v>10</v>
      </c>
    </row>
    <row r="96" ht="15.75" customHeight="1">
      <c r="A96" s="1">
        <v>1464.0</v>
      </c>
      <c r="B96" s="3">
        <v>141.0</v>
      </c>
      <c r="C96" s="7" t="s">
        <v>162</v>
      </c>
      <c r="D96" s="8" t="str">
        <f>IFERROR(__xludf.DUMMYFUNCTION("GOOGLETRANSLATE(C96, ""en"", ""pt"")"),"motocicleta")</f>
        <v>motocicleta</v>
      </c>
      <c r="E96" s="8" t="str">
        <f>IFERROR(__xludf.DUMMYFUNCTION("GOOGLETRANSLATE(C96, ""en"", ""es"")"),"motocicleta")</f>
        <v>motocicleta</v>
      </c>
      <c r="F96" s="8" t="str">
        <f>IFERROR(__xludf.DUMMYFUNCTION("GOOGLETRANSLATE(C96, ""en"", ""fr"")"),"moto")</f>
        <v>moto</v>
      </c>
      <c r="G96" s="8" t="str">
        <f>IFERROR(__xludf.DUMMYFUNCTION("GOOGLETRANSLATE(C96, ""en"", ""de"")"),"Motorrad")</f>
        <v>Motorrad</v>
      </c>
      <c r="H96" s="8" t="str">
        <f>IFERROR(__xludf.DUMMYFUNCTION("GOOGLETRANSLATE(C96, ""en"", ""ru"")"),"мотоцикл")</f>
        <v>мотоцикл</v>
      </c>
      <c r="I96" s="8" t="str">
        <f>IFERROR(__xludf.DUMMYFUNCTION("GOOGLETRANSLATE(C96, ""en"", ""ar"")"),"دراجة نارية")</f>
        <v>دراجة نارية</v>
      </c>
      <c r="J96" s="8"/>
      <c r="K96" s="7" t="str">
        <f>IFERROR(__xludf.DUMMYFUNCTION("CONCAT(REGEXREPLACE(C96,""[ ,]+"",""_""),"".mp3"")"),"motorcycle.mp3")</f>
        <v>motorcycle.mp3</v>
      </c>
      <c r="M96" s="4" t="s">
        <v>10</v>
      </c>
    </row>
    <row r="97" ht="15.75" customHeight="1">
      <c r="A97" s="1">
        <v>1465.0</v>
      </c>
      <c r="B97" s="3">
        <v>141.0</v>
      </c>
      <c r="C97" s="7" t="s">
        <v>163</v>
      </c>
      <c r="D97" s="8" t="str">
        <f>IFERROR(__xludf.DUMMYFUNCTION("GOOGLETRANSLATE(C97, ""en"", ""pt"")"),"patinete")</f>
        <v>patinete</v>
      </c>
      <c r="E97" s="8" t="str">
        <f>IFERROR(__xludf.DUMMYFUNCTION("GOOGLETRANSLATE(C97, ""en"", ""es"")"),"scooter")</f>
        <v>scooter</v>
      </c>
      <c r="F97" s="8" t="str">
        <f>IFERROR(__xludf.DUMMYFUNCTION("GOOGLETRANSLATE(C97, ""en"", ""fr"")"),"scooter")</f>
        <v>scooter</v>
      </c>
      <c r="G97" s="8" t="str">
        <f>IFERROR(__xludf.DUMMYFUNCTION("GOOGLETRANSLATE(C97, ""en"", ""de"")"),"Roller")</f>
        <v>Roller</v>
      </c>
      <c r="H97" s="8" t="str">
        <f>IFERROR(__xludf.DUMMYFUNCTION("GOOGLETRANSLATE(C97, ""en"", ""ru"")"),"скутер")</f>
        <v>скутер</v>
      </c>
      <c r="I97" s="8" t="str">
        <f>IFERROR(__xludf.DUMMYFUNCTION("GOOGLETRANSLATE(C97, ""en"", ""ar"")"),"سكوتر")</f>
        <v>سكوتر</v>
      </c>
      <c r="J97" s="8"/>
      <c r="K97" s="7" t="str">
        <f>IFERROR(__xludf.DUMMYFUNCTION("CONCAT(REGEXREPLACE(C97,""[ ,]+"",""_""),"".mp3"")"),"scooter.mp3")</f>
        <v>scooter.mp3</v>
      </c>
      <c r="M97" s="4" t="s">
        <v>10</v>
      </c>
    </row>
    <row r="98" ht="15.75" customHeight="1">
      <c r="A98" s="1">
        <v>1466.0</v>
      </c>
      <c r="B98" s="3">
        <v>141.0</v>
      </c>
      <c r="C98" s="3" t="s">
        <v>164</v>
      </c>
      <c r="D98" s="8" t="str">
        <f>IFERROR(__xludf.DUMMYFUNCTION("GOOGLETRANSLATE(C98, ""en"", ""pt"")"),"caminhão, caminhão")</f>
        <v>caminhão, caminhão</v>
      </c>
      <c r="E98" s="8" t="str">
        <f>IFERROR(__xludf.DUMMYFUNCTION("GOOGLETRANSLATE(C98, ""en"", ""es"")"),"camión, camión")</f>
        <v>camión, camión</v>
      </c>
      <c r="F98" s="8" t="str">
        <f>IFERROR(__xludf.DUMMYFUNCTION("GOOGLETRANSLATE(C98, ""en"", ""fr"")"),"camion, poids lourd")</f>
        <v>camion, poids lourd</v>
      </c>
      <c r="G98" s="8" t="str">
        <f>IFERROR(__xludf.DUMMYFUNCTION("GOOGLETRANSLATE(C98, ""en"", ""de"")"),"LKW, Lastwagen")</f>
        <v>LKW, Lastwagen</v>
      </c>
      <c r="H98" s="8" t="str">
        <f>IFERROR(__xludf.DUMMYFUNCTION("GOOGLETRANSLATE(C98, ""en"", ""ru"")"),"грузовик, фура")</f>
        <v>грузовик, фура</v>
      </c>
      <c r="I98" s="8" t="str">
        <f>IFERROR(__xludf.DUMMYFUNCTION("GOOGLETRANSLATE(C98, ""en"", ""ar"")"),"شاحنة، لوري")</f>
        <v>شاحنة، لوري</v>
      </c>
      <c r="J98" s="8"/>
      <c r="K98" s="7" t="str">
        <f>IFERROR(__xludf.DUMMYFUNCTION("CONCAT(REGEXREPLACE(C98,""[ ,]+"",""_""),"".mp3"")"),"truck_lorry.mp3")</f>
        <v>truck_lorry.mp3</v>
      </c>
      <c r="M98" s="4" t="s">
        <v>10</v>
      </c>
    </row>
    <row r="99" ht="15.75" customHeight="1">
      <c r="A99" s="1">
        <v>1467.0</v>
      </c>
      <c r="B99" s="3">
        <v>141.0</v>
      </c>
      <c r="C99" s="7" t="s">
        <v>165</v>
      </c>
      <c r="D99" s="8" t="str">
        <f>IFERROR(__xludf.DUMMYFUNCTION("GOOGLETRANSLATE(C99, ""en"", ""pt"")"),"van")</f>
        <v>van</v>
      </c>
      <c r="E99" s="8" t="str">
        <f>IFERROR(__xludf.DUMMYFUNCTION("GOOGLETRANSLATE(C99, ""en"", ""es"")"),"furgoneta")</f>
        <v>furgoneta</v>
      </c>
      <c r="F99" s="8" t="str">
        <f>IFERROR(__xludf.DUMMYFUNCTION("GOOGLETRANSLATE(C99, ""en"", ""fr"")"),"van")</f>
        <v>van</v>
      </c>
      <c r="G99" s="8" t="str">
        <f>IFERROR(__xludf.DUMMYFUNCTION("GOOGLETRANSLATE(C99, ""en"", ""de"")"),"van")</f>
        <v>van</v>
      </c>
      <c r="H99" s="8" t="str">
        <f>IFERROR(__xludf.DUMMYFUNCTION("GOOGLETRANSLATE(C99, ""en"", ""ru"")"),"фургон")</f>
        <v>фургон</v>
      </c>
      <c r="I99" s="8" t="str">
        <f>IFERROR(__xludf.DUMMYFUNCTION("GOOGLETRANSLATE(C99, ""en"", ""ar"")"),"شاحنة")</f>
        <v>شاحنة</v>
      </c>
      <c r="J99" s="8"/>
      <c r="K99" s="7" t="str">
        <f>IFERROR(__xludf.DUMMYFUNCTION("CONCAT(REGEXREPLACE(C99,""[ ,]+"",""_""),"".mp3"")"),"van.mp3")</f>
        <v>van.mp3</v>
      </c>
      <c r="M99" s="4" t="s">
        <v>10</v>
      </c>
    </row>
    <row r="100" ht="15.75" customHeight="1">
      <c r="A100" s="1">
        <v>1468.0</v>
      </c>
      <c r="B100" s="3">
        <v>141.0</v>
      </c>
      <c r="C100" s="7" t="s">
        <v>166</v>
      </c>
      <c r="D100" s="8" t="str">
        <f>IFERROR(__xludf.DUMMYFUNCTION("GOOGLETRANSLATE(C100, ""en"", ""pt"")"),"treinador")</f>
        <v>treinador</v>
      </c>
      <c r="E100" s="8" t="str">
        <f>IFERROR(__xludf.DUMMYFUNCTION("GOOGLETRANSLATE(C100, ""en"", ""es"")"),"entrenador")</f>
        <v>entrenador</v>
      </c>
      <c r="F100" s="8" t="str">
        <f>IFERROR(__xludf.DUMMYFUNCTION("GOOGLETRANSLATE(C100, ""en"", ""fr"")"),"entraîneur")</f>
        <v>entraîneur</v>
      </c>
      <c r="G100" s="8" t="str">
        <f>IFERROR(__xludf.DUMMYFUNCTION("GOOGLETRANSLATE(C100, ""en"", ""de"")"),"Trainer")</f>
        <v>Trainer</v>
      </c>
      <c r="H100" s="8" t="str">
        <f>IFERROR(__xludf.DUMMYFUNCTION("GOOGLETRANSLATE(C100, ""en"", ""ru"")"),"тренер")</f>
        <v>тренер</v>
      </c>
      <c r="I100" s="8" t="str">
        <f>IFERROR(__xludf.DUMMYFUNCTION("GOOGLETRANSLATE(C100, ""en"", ""ar"")"),"مدرب")</f>
        <v>مدرب</v>
      </c>
      <c r="J100" s="8"/>
      <c r="K100" s="7" t="str">
        <f>IFERROR(__xludf.DUMMYFUNCTION("CONCAT(REGEXREPLACE(C100,""[ ,]+"",""_""),"".mp3"")"),"coach.mp3")</f>
        <v>coach.mp3</v>
      </c>
      <c r="M100" s="4" t="s">
        <v>10</v>
      </c>
    </row>
    <row r="101" ht="15.75" customHeight="1">
      <c r="A101" s="1">
        <v>1469.0</v>
      </c>
      <c r="B101" s="3">
        <v>141.0</v>
      </c>
      <c r="C101" s="7" t="s">
        <v>167</v>
      </c>
      <c r="D101" s="8" t="str">
        <f>IFERROR(__xludf.DUMMYFUNCTION("GOOGLETRANSLATE(C101, ""en"", ""pt"")"),"caminhonete")</f>
        <v>caminhonete</v>
      </c>
      <c r="E101" s="8" t="str">
        <f>IFERROR(__xludf.DUMMYFUNCTION("GOOGLETRANSLATE(C101, ""en"", ""es"")"),"camioneta")</f>
        <v>camioneta</v>
      </c>
      <c r="F101" s="8" t="str">
        <f>IFERROR(__xludf.DUMMYFUNCTION("GOOGLETRANSLATE(C101, ""en"", ""fr"")"),"camionnette")</f>
        <v>camionnette</v>
      </c>
      <c r="G101" s="8" t="str">
        <f>IFERROR(__xludf.DUMMYFUNCTION("GOOGLETRANSLATE(C101, ""en"", ""de"")"),"Pickup-Truck")</f>
        <v>Pickup-Truck</v>
      </c>
      <c r="H101" s="8" t="str">
        <f>IFERROR(__xludf.DUMMYFUNCTION("GOOGLETRANSLATE(C101, ""en"", ""ru"")"),"пикап")</f>
        <v>пикап</v>
      </c>
      <c r="I101" s="8" t="str">
        <f>IFERROR(__xludf.DUMMYFUNCTION("GOOGLETRANSLATE(C101, ""en"", ""ar"")"),"شاحنة صغيرة")</f>
        <v>شاحنة صغيرة</v>
      </c>
      <c r="J101" s="8"/>
      <c r="K101" s="7" t="str">
        <f>IFERROR(__xludf.DUMMYFUNCTION("CONCAT(REGEXREPLACE(C101,""[ ,]+"",""_""),"".mp3"")"),"pickup_truck.mp3")</f>
        <v>pickup_truck.mp3</v>
      </c>
      <c r="M101" s="4" t="s">
        <v>10</v>
      </c>
    </row>
    <row r="102" ht="15.75" customHeight="1">
      <c r="A102" s="1">
        <v>1470.0</v>
      </c>
      <c r="B102" s="3">
        <v>141.0</v>
      </c>
      <c r="C102" s="7" t="s">
        <v>168</v>
      </c>
      <c r="D102" s="8" t="str">
        <f>IFERROR(__xludf.DUMMYFUNCTION("GOOGLETRANSLATE(C102, ""en"", ""pt"")"),"ambulância")</f>
        <v>ambulância</v>
      </c>
      <c r="E102" s="8" t="str">
        <f>IFERROR(__xludf.DUMMYFUNCTION("GOOGLETRANSLATE(C102, ""en"", ""es"")"),"ambulancia")</f>
        <v>ambulancia</v>
      </c>
      <c r="F102" s="8" t="str">
        <f>IFERROR(__xludf.DUMMYFUNCTION("GOOGLETRANSLATE(C102, ""en"", ""fr"")"),"ambulance")</f>
        <v>ambulance</v>
      </c>
      <c r="G102" s="8" t="str">
        <f>IFERROR(__xludf.DUMMYFUNCTION("GOOGLETRANSLATE(C102, ""en"", ""de"")"),"Krankenwagen")</f>
        <v>Krankenwagen</v>
      </c>
      <c r="H102" s="8" t="str">
        <f>IFERROR(__xludf.DUMMYFUNCTION("GOOGLETRANSLATE(C102, ""en"", ""ru"")"),"скорая помощь")</f>
        <v>скорая помощь</v>
      </c>
      <c r="I102" s="8" t="str">
        <f>IFERROR(__xludf.DUMMYFUNCTION("GOOGLETRANSLATE(C102, ""en"", ""ar"")"),"سيارة إسعاف")</f>
        <v>سيارة إسعاف</v>
      </c>
      <c r="J102" s="8"/>
      <c r="K102" s="7" t="str">
        <f>IFERROR(__xludf.DUMMYFUNCTION("CONCAT(REGEXREPLACE(C102,""[ ,]+"",""_""),"".mp3"")"),"ambulance.mp3")</f>
        <v>ambulance.mp3</v>
      </c>
      <c r="M102" s="4" t="s">
        <v>10</v>
      </c>
    </row>
    <row r="103" ht="15.75" customHeight="1">
      <c r="A103" s="1">
        <v>1471.0</v>
      </c>
      <c r="B103" s="3">
        <v>141.0</v>
      </c>
      <c r="C103" s="7" t="s">
        <v>169</v>
      </c>
      <c r="D103" s="8" t="str">
        <f>IFERROR(__xludf.DUMMYFUNCTION("GOOGLETRANSLATE(C103, ""en"", ""pt"")"),"carro de bombeiros")</f>
        <v>carro de bombeiros</v>
      </c>
      <c r="E103" s="8" t="str">
        <f>IFERROR(__xludf.DUMMYFUNCTION("GOOGLETRANSLATE(C103, ""en"", ""es"")"),"camión de bomberos")</f>
        <v>camión de bomberos</v>
      </c>
      <c r="F103" s="8" t="str">
        <f>IFERROR(__xludf.DUMMYFUNCTION("GOOGLETRANSLATE(C103, ""en"", ""fr"")"),"camion de pompiers")</f>
        <v>camion de pompiers</v>
      </c>
      <c r="G103" s="8" t="str">
        <f>IFERROR(__xludf.DUMMYFUNCTION("GOOGLETRANSLATE(C103, ""en"", ""de"")"),"Feuerwehrwagen")</f>
        <v>Feuerwehrwagen</v>
      </c>
      <c r="H103" s="8" t="str">
        <f>IFERROR(__xludf.DUMMYFUNCTION("GOOGLETRANSLATE(C103, ""en"", ""ru"")"),"пожарная машина")</f>
        <v>пожарная машина</v>
      </c>
      <c r="I103" s="8" t="str">
        <f>IFERROR(__xludf.DUMMYFUNCTION("GOOGLETRANSLATE(C103, ""en"", ""ar"")"),"سيارة إطفاء")</f>
        <v>سيارة إطفاء</v>
      </c>
      <c r="J103" s="8"/>
      <c r="K103" s="7" t="str">
        <f>IFERROR(__xludf.DUMMYFUNCTION("CONCAT(REGEXREPLACE(C103,""[ ,]+"",""_""),"".mp3"")"),"fire_engine.mp3")</f>
        <v>fire_engine.mp3</v>
      </c>
      <c r="M103" s="4" t="s">
        <v>10</v>
      </c>
    </row>
    <row r="104" ht="15.75" customHeight="1">
      <c r="A104" s="1">
        <v>1472.0</v>
      </c>
      <c r="B104" s="3">
        <v>141.0</v>
      </c>
      <c r="C104" s="7" t="s">
        <v>170</v>
      </c>
      <c r="D104" s="8" t="str">
        <f>IFERROR(__xludf.DUMMYFUNCTION("GOOGLETRANSLATE(C104, ""en"", ""pt"")"),"carro da polícia")</f>
        <v>carro da polícia</v>
      </c>
      <c r="E104" s="8" t="str">
        <f>IFERROR(__xludf.DUMMYFUNCTION("GOOGLETRANSLATE(C104, ""en"", ""es"")"),"coche de policía")</f>
        <v>coche de policía</v>
      </c>
      <c r="F104" s="8" t="str">
        <f>IFERROR(__xludf.DUMMYFUNCTION("GOOGLETRANSLATE(C104, ""en"", ""fr"")"),"voiture de police")</f>
        <v>voiture de police</v>
      </c>
      <c r="G104" s="8" t="str">
        <f>IFERROR(__xludf.DUMMYFUNCTION("GOOGLETRANSLATE(C104, ""en"", ""de"")"),"Polizeiwagen")</f>
        <v>Polizeiwagen</v>
      </c>
      <c r="H104" s="8" t="str">
        <f>IFERROR(__xludf.DUMMYFUNCTION("GOOGLETRANSLATE(C104, ""en"", ""ru"")"),"полицейская машина")</f>
        <v>полицейская машина</v>
      </c>
      <c r="I104" s="8" t="str">
        <f>IFERROR(__xludf.DUMMYFUNCTION("GOOGLETRANSLATE(C104, ""en"", ""ar"")"),"سيارة شرطة")</f>
        <v>سيارة شرطة</v>
      </c>
      <c r="J104" s="8"/>
      <c r="K104" s="7" t="str">
        <f>IFERROR(__xludf.DUMMYFUNCTION("CONCAT(REGEXREPLACE(C104,""[ ,]+"",""_""),"".mp3"")"),"police_car.mp3")</f>
        <v>police_car.mp3</v>
      </c>
      <c r="M104" s="4" t="s">
        <v>10</v>
      </c>
    </row>
    <row r="105" ht="15.75" customHeight="1">
      <c r="A105" s="1">
        <v>1473.0</v>
      </c>
      <c r="B105" s="3">
        <v>141.0</v>
      </c>
      <c r="C105" s="3" t="s">
        <v>171</v>
      </c>
      <c r="D105" s="8" t="str">
        <f>IFERROR(__xludf.DUMMYFUNCTION("GOOGLETRANSLATE(C105, ""en"", ""pt"")"),"avião, avião")</f>
        <v>avião, avião</v>
      </c>
      <c r="E105" s="8" t="str">
        <f>IFERROR(__xludf.DUMMYFUNCTION("GOOGLETRANSLATE(C105, ""en"", ""es"")"),"avión, avión")</f>
        <v>avión, avión</v>
      </c>
      <c r="F105" s="8" t="str">
        <f>IFERROR(__xludf.DUMMYFUNCTION("GOOGLETRANSLATE(C105, ""en"", ""fr"")"),"avion, avion")</f>
        <v>avion, avion</v>
      </c>
      <c r="G105" s="8" t="str">
        <f>IFERROR(__xludf.DUMMYFUNCTION("GOOGLETRANSLATE(C105, ""en"", ""de"")"),"Flugzeug, Flugzeug")</f>
        <v>Flugzeug, Flugzeug</v>
      </c>
      <c r="H105" s="8" t="str">
        <f>IFERROR(__xludf.DUMMYFUNCTION("GOOGLETRANSLATE(C105, ""en"", ""ru"")"),"самолет, летательный аппарат")</f>
        <v>самолет, летательный аппарат</v>
      </c>
      <c r="I105" s="8" t="str">
        <f>IFERROR(__xludf.DUMMYFUNCTION("GOOGLETRANSLATE(C105, ""en"", ""ar"")"),"طائرة، طائرة")</f>
        <v>طائرة، طائرة</v>
      </c>
      <c r="J105" s="8"/>
      <c r="K105" s="7" t="str">
        <f>IFERROR(__xludf.DUMMYFUNCTION("CONCAT(REGEXREPLACE(C105,""[ ,]+"",""_""),"".mp3"")"),"airplane_plane.mp3")</f>
        <v>airplane_plane.mp3</v>
      </c>
      <c r="M105" s="4" t="s">
        <v>10</v>
      </c>
    </row>
    <row r="106" ht="15.75" customHeight="1">
      <c r="A106" s="1">
        <v>1474.0</v>
      </c>
      <c r="B106" s="3">
        <v>141.0</v>
      </c>
      <c r="C106" s="7" t="s">
        <v>172</v>
      </c>
      <c r="D106" s="8" t="str">
        <f>IFERROR(__xludf.DUMMYFUNCTION("GOOGLETRANSLATE(C106, ""en"", ""pt"")"),"jato")</f>
        <v>jato</v>
      </c>
      <c r="E106" s="8" t="str">
        <f>IFERROR(__xludf.DUMMYFUNCTION("GOOGLETRANSLATE(C106, ""en"", ""es"")"),"chorro")</f>
        <v>chorro</v>
      </c>
      <c r="F106" s="8" t="str">
        <f>IFERROR(__xludf.DUMMYFUNCTION("GOOGLETRANSLATE(C106, ""en"", ""fr"")"),"jet")</f>
        <v>jet</v>
      </c>
      <c r="G106" s="8" t="str">
        <f>IFERROR(__xludf.DUMMYFUNCTION("GOOGLETRANSLATE(C106, ""en"", ""de"")"),"Jet")</f>
        <v>Jet</v>
      </c>
      <c r="H106" s="8" t="str">
        <f>IFERROR(__xludf.DUMMYFUNCTION("GOOGLETRANSLATE(C106, ""en"", ""ru"")"),"реактивный")</f>
        <v>реактивный</v>
      </c>
      <c r="I106" s="8" t="str">
        <f>IFERROR(__xludf.DUMMYFUNCTION("GOOGLETRANSLATE(C106, ""en"", ""ar"")"),"جيت")</f>
        <v>جيت</v>
      </c>
      <c r="J106" s="8"/>
      <c r="K106" s="7" t="str">
        <f>IFERROR(__xludf.DUMMYFUNCTION("CONCAT(REGEXREPLACE(C106,""[ ,]+"",""_""),"".mp3"")"),"jet.mp3")</f>
        <v>jet.mp3</v>
      </c>
      <c r="M106" s="4" t="s">
        <v>10</v>
      </c>
    </row>
    <row r="107" ht="15.75" customHeight="1">
      <c r="A107" s="1">
        <v>1475.0</v>
      </c>
      <c r="B107" s="3">
        <v>141.0</v>
      </c>
      <c r="C107" s="7" t="s">
        <v>173</v>
      </c>
      <c r="D107" s="8" t="str">
        <f>IFERROR(__xludf.DUMMYFUNCTION("GOOGLETRANSLATE(C107, ""en"", ""pt"")"),"helicóptero")</f>
        <v>helicóptero</v>
      </c>
      <c r="E107" s="8" t="str">
        <f>IFERROR(__xludf.DUMMYFUNCTION("GOOGLETRANSLATE(C107, ""en"", ""es"")"),"helicóptero")</f>
        <v>helicóptero</v>
      </c>
      <c r="F107" s="8" t="str">
        <f>IFERROR(__xludf.DUMMYFUNCTION("GOOGLETRANSLATE(C107, ""en"", ""fr"")"),"hélicoptère")</f>
        <v>hélicoptère</v>
      </c>
      <c r="G107" s="8" t="str">
        <f>IFERROR(__xludf.DUMMYFUNCTION("GOOGLETRANSLATE(C107, ""en"", ""de"")"),"Hubschrauber")</f>
        <v>Hubschrauber</v>
      </c>
      <c r="H107" s="8" t="str">
        <f>IFERROR(__xludf.DUMMYFUNCTION("GOOGLETRANSLATE(C107, ""en"", ""ru"")"),"вертолет")</f>
        <v>вертолет</v>
      </c>
      <c r="I107" s="8" t="str">
        <f>IFERROR(__xludf.DUMMYFUNCTION("GOOGLETRANSLATE(C107, ""en"", ""ar"")"),"هليكوبتر")</f>
        <v>هليكوبتر</v>
      </c>
      <c r="J107" s="8"/>
      <c r="K107" s="7" t="str">
        <f>IFERROR(__xludf.DUMMYFUNCTION("CONCAT(REGEXREPLACE(C107,""[ ,]+"",""_""),"".mp3"")"),"helicopter.mp3")</f>
        <v>helicopter.mp3</v>
      </c>
      <c r="M107" s="4" t="s">
        <v>10</v>
      </c>
    </row>
    <row r="108" ht="15.75" customHeight="1">
      <c r="A108" s="1">
        <v>1476.0</v>
      </c>
      <c r="B108" s="3">
        <v>141.0</v>
      </c>
      <c r="C108" s="7" t="s">
        <v>174</v>
      </c>
      <c r="D108" s="8" t="str">
        <f>IFERROR(__xludf.DUMMYFUNCTION("GOOGLETRANSLATE(C108, ""en"", ""pt"")"),"planador")</f>
        <v>planador</v>
      </c>
      <c r="E108" s="8" t="str">
        <f>IFERROR(__xludf.DUMMYFUNCTION("GOOGLETRANSLATE(C108, ""en"", ""es"")"),"planeador")</f>
        <v>planeador</v>
      </c>
      <c r="F108" s="8" t="str">
        <f>IFERROR(__xludf.DUMMYFUNCTION("GOOGLETRANSLATE(C108, ""en"", ""fr"")"),"planeur")</f>
        <v>planeur</v>
      </c>
      <c r="G108" s="8" t="str">
        <f>IFERROR(__xludf.DUMMYFUNCTION("GOOGLETRANSLATE(C108, ""en"", ""de"")"),"Segelflugzeug")</f>
        <v>Segelflugzeug</v>
      </c>
      <c r="H108" s="8" t="str">
        <f>IFERROR(__xludf.DUMMYFUNCTION("GOOGLETRANSLATE(C108, ""en"", ""ru"")"),"планер")</f>
        <v>планер</v>
      </c>
      <c r="I108" s="8" t="str">
        <f>IFERROR(__xludf.DUMMYFUNCTION("GOOGLETRANSLATE(C108, ""en"", ""ar"")"),"طائرة شراعية")</f>
        <v>طائرة شراعية</v>
      </c>
      <c r="J108" s="8"/>
      <c r="K108" s="7" t="str">
        <f>IFERROR(__xludf.DUMMYFUNCTION("CONCAT(REGEXREPLACE(C108,""[ ,]+"",""_""),"".mp3"")"),"glider.mp3")</f>
        <v>glider.mp3</v>
      </c>
      <c r="M108" s="4" t="s">
        <v>10</v>
      </c>
    </row>
    <row r="109" ht="15.75" customHeight="1">
      <c r="A109" s="1">
        <v>1477.0</v>
      </c>
      <c r="B109" s="3">
        <v>141.0</v>
      </c>
      <c r="C109" s="7" t="s">
        <v>175</v>
      </c>
      <c r="D109" s="8" t="str">
        <f>IFERROR(__xludf.DUMMYFUNCTION("GOOGLETRANSLATE(C109, ""en"", ""pt"")"),"balão de ar quente")</f>
        <v>balão de ar quente</v>
      </c>
      <c r="E109" s="8" t="str">
        <f>IFERROR(__xludf.DUMMYFUNCTION("GOOGLETRANSLATE(C109, ""en"", ""es"")"),"globo aerostático")</f>
        <v>globo aerostático</v>
      </c>
      <c r="F109" s="8" t="str">
        <f>IFERROR(__xludf.DUMMYFUNCTION("GOOGLETRANSLATE(C109, ""en"", ""fr"")"),"montgolfière")</f>
        <v>montgolfière</v>
      </c>
      <c r="G109" s="8" t="str">
        <f>IFERROR(__xludf.DUMMYFUNCTION("GOOGLETRANSLATE(C109, ""en"", ""de"")"),"Heißluftballon")</f>
        <v>Heißluftballon</v>
      </c>
      <c r="H109" s="8" t="str">
        <f>IFERROR(__xludf.DUMMYFUNCTION("GOOGLETRANSLATE(C109, ""en"", ""ru"")"),"воздушный шар")</f>
        <v>воздушный шар</v>
      </c>
      <c r="I109" s="8" t="str">
        <f>IFERROR(__xludf.DUMMYFUNCTION("GOOGLETRANSLATE(C109, ""en"", ""ar"")"),"منطاد الهواء الساخن")</f>
        <v>منطاد الهواء الساخن</v>
      </c>
      <c r="J109" s="8"/>
      <c r="K109" s="7" t="str">
        <f>IFERROR(__xludf.DUMMYFUNCTION("CONCAT(REGEXREPLACE(C109,""[ ,]+"",""_""),"".mp3"")"),"hot‑air_balloon.mp3")</f>
        <v>hot‑air_balloon.mp3</v>
      </c>
      <c r="M109" s="4" t="s">
        <v>10</v>
      </c>
    </row>
    <row r="110" ht="15.75" customHeight="1">
      <c r="A110" s="1">
        <v>1478.0</v>
      </c>
      <c r="B110" s="3">
        <v>141.0</v>
      </c>
      <c r="C110" s="7" t="s">
        <v>176</v>
      </c>
      <c r="D110" s="8" t="str">
        <f>IFERROR(__xludf.DUMMYFUNCTION("GOOGLETRANSLATE(C110, ""en"", ""pt"")"),"drone")</f>
        <v>drone</v>
      </c>
      <c r="E110" s="8" t="str">
        <f>IFERROR(__xludf.DUMMYFUNCTION("GOOGLETRANSLATE(C110, ""en"", ""es"")"),"zumbido")</f>
        <v>zumbido</v>
      </c>
      <c r="F110" s="8" t="str">
        <f>IFERROR(__xludf.DUMMYFUNCTION("GOOGLETRANSLATE(C110, ""en"", ""fr"")"),"drone")</f>
        <v>drone</v>
      </c>
      <c r="G110" s="8" t="str">
        <f>IFERROR(__xludf.DUMMYFUNCTION("GOOGLETRANSLATE(C110, ""en"", ""de"")"),"Drohne")</f>
        <v>Drohne</v>
      </c>
      <c r="H110" s="8" t="str">
        <f>IFERROR(__xludf.DUMMYFUNCTION("GOOGLETRANSLATE(C110, ""en"", ""ru"")"),"дрон")</f>
        <v>дрон</v>
      </c>
      <c r="I110" s="8" t="str">
        <f>IFERROR(__xludf.DUMMYFUNCTION("GOOGLETRANSLATE(C110, ""en"", ""ar"")"),"طائرة بدون طيار")</f>
        <v>طائرة بدون طيار</v>
      </c>
      <c r="J110" s="8"/>
      <c r="K110" s="7" t="str">
        <f>IFERROR(__xludf.DUMMYFUNCTION("CONCAT(REGEXREPLACE(C110,""[ ,]+"",""_""),"".mp3"")"),"drone.mp3")</f>
        <v>drone.mp3</v>
      </c>
      <c r="M110" s="4" t="s">
        <v>10</v>
      </c>
    </row>
    <row r="111" ht="15.75" customHeight="1">
      <c r="A111" s="1">
        <v>1479.0</v>
      </c>
      <c r="B111" s="3">
        <v>141.0</v>
      </c>
      <c r="C111" s="7" t="s">
        <v>177</v>
      </c>
      <c r="D111" s="8" t="str">
        <f>IFERROR(__xludf.DUMMYFUNCTION("GOOGLETRANSLATE(C111, ""en"", ""pt"")"),"barco")</f>
        <v>barco</v>
      </c>
      <c r="E111" s="8" t="str">
        <f>IFERROR(__xludf.DUMMYFUNCTION("GOOGLETRANSLATE(C111, ""en"", ""es"")"),"bote")</f>
        <v>bote</v>
      </c>
      <c r="F111" s="8" t="str">
        <f>IFERROR(__xludf.DUMMYFUNCTION("GOOGLETRANSLATE(C111, ""en"", ""fr"")"),"bateau")</f>
        <v>bateau</v>
      </c>
      <c r="G111" s="8" t="str">
        <f>IFERROR(__xludf.DUMMYFUNCTION("GOOGLETRANSLATE(C111, ""en"", ""de"")"),"Boot")</f>
        <v>Boot</v>
      </c>
      <c r="H111" s="8" t="str">
        <f>IFERROR(__xludf.DUMMYFUNCTION("GOOGLETRANSLATE(C111, ""en"", ""ru"")"),"лодка")</f>
        <v>лодка</v>
      </c>
      <c r="I111" s="8" t="str">
        <f>IFERROR(__xludf.DUMMYFUNCTION("GOOGLETRANSLATE(C111, ""en"", ""ar"")"),"قارب")</f>
        <v>قارب</v>
      </c>
      <c r="J111" s="8"/>
      <c r="K111" s="7" t="str">
        <f>IFERROR(__xludf.DUMMYFUNCTION("CONCAT(REGEXREPLACE(C111,""[ ,]+"",""_""),"".mp3"")"),"boat.mp3")</f>
        <v>boat.mp3</v>
      </c>
      <c r="M111" s="4" t="s">
        <v>10</v>
      </c>
    </row>
    <row r="112" ht="15.75" customHeight="1">
      <c r="A112" s="1">
        <v>1480.0</v>
      </c>
      <c r="B112" s="3">
        <v>141.0</v>
      </c>
      <c r="C112" s="7" t="s">
        <v>178</v>
      </c>
      <c r="D112" s="8" t="str">
        <f>IFERROR(__xludf.DUMMYFUNCTION("GOOGLETRANSLATE(C112, ""en"", ""pt"")"),"enviar")</f>
        <v>enviar</v>
      </c>
      <c r="E112" s="8" t="str">
        <f>IFERROR(__xludf.DUMMYFUNCTION("GOOGLETRANSLATE(C112, ""en"", ""es"")"),"barco")</f>
        <v>barco</v>
      </c>
      <c r="F112" s="8" t="str">
        <f>IFERROR(__xludf.DUMMYFUNCTION("GOOGLETRANSLATE(C112, ""en"", ""fr"")"),"bateau")</f>
        <v>bateau</v>
      </c>
      <c r="G112" s="8" t="str">
        <f>IFERROR(__xludf.DUMMYFUNCTION("GOOGLETRANSLATE(C112, ""en"", ""de"")"),"Schiff")</f>
        <v>Schiff</v>
      </c>
      <c r="H112" s="8" t="str">
        <f>IFERROR(__xludf.DUMMYFUNCTION("GOOGLETRANSLATE(C112, ""en"", ""ru"")"),"корабль")</f>
        <v>корабль</v>
      </c>
      <c r="I112" s="8" t="str">
        <f>IFERROR(__xludf.DUMMYFUNCTION("GOOGLETRANSLATE(C112, ""en"", ""ar"")"),"سفينة")</f>
        <v>سفينة</v>
      </c>
      <c r="J112" s="8"/>
      <c r="K112" s="7" t="str">
        <f>IFERROR(__xludf.DUMMYFUNCTION("CONCAT(REGEXREPLACE(C112,""[ ,]+"",""_""),"".mp3"")"),"ship.mp3")</f>
        <v>ship.mp3</v>
      </c>
      <c r="M112" s="4" t="s">
        <v>10</v>
      </c>
    </row>
    <row r="113" ht="15.75" customHeight="1">
      <c r="A113" s="1">
        <v>1481.0</v>
      </c>
      <c r="B113" s="3">
        <v>141.0</v>
      </c>
      <c r="C113" s="7" t="s">
        <v>179</v>
      </c>
      <c r="D113" s="8" t="str">
        <f>IFERROR(__xludf.DUMMYFUNCTION("GOOGLETRANSLATE(C113, ""en"", ""pt"")"),"balsa")</f>
        <v>balsa</v>
      </c>
      <c r="E113" s="8" t="str">
        <f>IFERROR(__xludf.DUMMYFUNCTION("GOOGLETRANSLATE(C113, ""en"", ""es"")"),"transportar")</f>
        <v>transportar</v>
      </c>
      <c r="F113" s="8" t="str">
        <f>IFERROR(__xludf.DUMMYFUNCTION("GOOGLETRANSLATE(C113, ""en"", ""fr"")"),"traversier")</f>
        <v>traversier</v>
      </c>
      <c r="G113" s="8" t="str">
        <f>IFERROR(__xludf.DUMMYFUNCTION("GOOGLETRANSLATE(C113, ""en"", ""de"")"),"Fähre")</f>
        <v>Fähre</v>
      </c>
      <c r="H113" s="8" t="str">
        <f>IFERROR(__xludf.DUMMYFUNCTION("GOOGLETRANSLATE(C113, ""en"", ""ru"")"),"перевозить")</f>
        <v>перевозить</v>
      </c>
      <c r="I113" s="8" t="str">
        <f>IFERROR(__xludf.DUMMYFUNCTION("GOOGLETRANSLATE(C113, ""en"", ""ar"")"),"العبارة")</f>
        <v>العبارة</v>
      </c>
      <c r="J113" s="8"/>
      <c r="K113" s="7" t="str">
        <f>IFERROR(__xludf.DUMMYFUNCTION("CONCAT(REGEXREPLACE(C113,""[ ,]+"",""_""),"".mp3"")"),"ferry.mp3")</f>
        <v>ferry.mp3</v>
      </c>
      <c r="M113" s="4" t="s">
        <v>10</v>
      </c>
    </row>
    <row r="114" ht="15.75" customHeight="1">
      <c r="A114" s="1">
        <v>1482.0</v>
      </c>
      <c r="B114" s="3">
        <v>141.0</v>
      </c>
      <c r="C114" s="7" t="s">
        <v>180</v>
      </c>
      <c r="D114" s="8" t="str">
        <f>IFERROR(__xludf.DUMMYFUNCTION("GOOGLETRANSLATE(C114, ""en"", ""pt"")"),"submarino")</f>
        <v>submarino</v>
      </c>
      <c r="E114" s="8" t="str">
        <f>IFERROR(__xludf.DUMMYFUNCTION("GOOGLETRANSLATE(C114, ""en"", ""es"")"),"submarino")</f>
        <v>submarino</v>
      </c>
      <c r="F114" s="8" t="str">
        <f>IFERROR(__xludf.DUMMYFUNCTION("GOOGLETRANSLATE(C114, ""en"", ""fr"")"),"sous-marin")</f>
        <v>sous-marin</v>
      </c>
      <c r="G114" s="8" t="str">
        <f>IFERROR(__xludf.DUMMYFUNCTION("GOOGLETRANSLATE(C114, ""en"", ""de"")"),"U-Boot")</f>
        <v>U-Boot</v>
      </c>
      <c r="H114" s="8" t="str">
        <f>IFERROR(__xludf.DUMMYFUNCTION("GOOGLETRANSLATE(C114, ""en"", ""ru"")"),"подводная лодка")</f>
        <v>подводная лодка</v>
      </c>
      <c r="I114" s="8" t="str">
        <f>IFERROR(__xludf.DUMMYFUNCTION("GOOGLETRANSLATE(C114, ""en"", ""ar"")"),"غواصة")</f>
        <v>غواصة</v>
      </c>
      <c r="J114" s="8"/>
      <c r="K114" s="7" t="str">
        <f>IFERROR(__xludf.DUMMYFUNCTION("CONCAT(REGEXREPLACE(C114,""[ ,]+"",""_""),"".mp3"")"),"submarine.mp3")</f>
        <v>submarine.mp3</v>
      </c>
      <c r="M114" s="4" t="s">
        <v>10</v>
      </c>
    </row>
    <row r="115" ht="15.75" customHeight="1">
      <c r="A115" s="1">
        <v>1483.0</v>
      </c>
      <c r="B115" s="3">
        <v>141.0</v>
      </c>
      <c r="C115" s="7" t="s">
        <v>181</v>
      </c>
      <c r="D115" s="8" t="str">
        <f>IFERROR(__xludf.DUMMYFUNCTION("GOOGLETRANSLATE(C115, ""en"", ""pt"")"),"iate")</f>
        <v>iate</v>
      </c>
      <c r="E115" s="8" t="str">
        <f>IFERROR(__xludf.DUMMYFUNCTION("GOOGLETRANSLATE(C115, ""en"", ""es"")"),"yate")</f>
        <v>yate</v>
      </c>
      <c r="F115" s="8" t="str">
        <f>IFERROR(__xludf.DUMMYFUNCTION("GOOGLETRANSLATE(C115, ""en"", ""fr"")"),"yacht")</f>
        <v>yacht</v>
      </c>
      <c r="G115" s="8" t="str">
        <f>IFERROR(__xludf.DUMMYFUNCTION("GOOGLETRANSLATE(C115, ""en"", ""de"")"),"Yacht")</f>
        <v>Yacht</v>
      </c>
      <c r="H115" s="8" t="str">
        <f>IFERROR(__xludf.DUMMYFUNCTION("GOOGLETRANSLATE(C115, ""en"", ""ru"")"),"яхта")</f>
        <v>яхта</v>
      </c>
      <c r="I115" s="8" t="str">
        <f>IFERROR(__xludf.DUMMYFUNCTION("GOOGLETRANSLATE(C115, ""en"", ""ar"")"),"يخت")</f>
        <v>يخت</v>
      </c>
      <c r="J115" s="8"/>
      <c r="K115" s="7" t="str">
        <f>IFERROR(__xludf.DUMMYFUNCTION("CONCAT(REGEXREPLACE(C115,""[ ,]+"",""_""),"".mp3"")"),"yacht.mp3")</f>
        <v>yacht.mp3</v>
      </c>
      <c r="M115" s="4" t="s">
        <v>10</v>
      </c>
    </row>
    <row r="116" ht="15.75" customHeight="1">
      <c r="A116" s="1">
        <v>1484.0</v>
      </c>
      <c r="B116" s="3">
        <v>141.0</v>
      </c>
      <c r="C116" s="7" t="s">
        <v>182</v>
      </c>
      <c r="D116" s="8" t="str">
        <f>IFERROR(__xludf.DUMMYFUNCTION("GOOGLETRANSLATE(C116, ""en"", ""pt"")"),"canoa")</f>
        <v>canoa</v>
      </c>
      <c r="E116" s="8" t="str">
        <f>IFERROR(__xludf.DUMMYFUNCTION("GOOGLETRANSLATE(C116, ""en"", ""es"")"),"canoa")</f>
        <v>canoa</v>
      </c>
      <c r="F116" s="8" t="str">
        <f>IFERROR(__xludf.DUMMYFUNCTION("GOOGLETRANSLATE(C116, ""en"", ""fr"")"),"canoë")</f>
        <v>canoë</v>
      </c>
      <c r="G116" s="8" t="str">
        <f>IFERROR(__xludf.DUMMYFUNCTION("GOOGLETRANSLATE(C116, ""en"", ""de"")"),"Kanu")</f>
        <v>Kanu</v>
      </c>
      <c r="H116" s="8" t="str">
        <f>IFERROR(__xludf.DUMMYFUNCTION("GOOGLETRANSLATE(C116, ""en"", ""ru"")"),"каноэ")</f>
        <v>каноэ</v>
      </c>
      <c r="I116" s="8" t="str">
        <f>IFERROR(__xludf.DUMMYFUNCTION("GOOGLETRANSLATE(C116, ""en"", ""ar"")"),"الزورق")</f>
        <v>الزورق</v>
      </c>
      <c r="J116" s="8"/>
      <c r="K116" s="7" t="str">
        <f>IFERROR(__xludf.DUMMYFUNCTION("CONCAT(REGEXREPLACE(C116,""[ ,]+"",""_""),"".mp3"")"),"canoe.mp3")</f>
        <v>canoe.mp3</v>
      </c>
      <c r="M116" s="4" t="s">
        <v>10</v>
      </c>
    </row>
    <row r="117" ht="15.75" customHeight="1">
      <c r="A117" s="1">
        <v>1485.0</v>
      </c>
      <c r="B117" s="3">
        <v>141.0</v>
      </c>
      <c r="C117" s="7" t="s">
        <v>183</v>
      </c>
      <c r="D117" s="8" t="str">
        <f>IFERROR(__xludf.DUMMYFUNCTION("GOOGLETRANSLATE(C117, ""en"", ""pt"")"),"caiaque")</f>
        <v>caiaque</v>
      </c>
      <c r="E117" s="8" t="str">
        <f>IFERROR(__xludf.DUMMYFUNCTION("GOOGLETRANSLATE(C117, ""en"", ""es"")"),"kayac")</f>
        <v>kayac</v>
      </c>
      <c r="F117" s="8" t="str">
        <f>IFERROR(__xludf.DUMMYFUNCTION("GOOGLETRANSLATE(C117, ""en"", ""fr"")"),"kayak")</f>
        <v>kayak</v>
      </c>
      <c r="G117" s="8" t="str">
        <f>IFERROR(__xludf.DUMMYFUNCTION("GOOGLETRANSLATE(C117, ""en"", ""de"")"),"Kajak")</f>
        <v>Kajak</v>
      </c>
      <c r="H117" s="8" t="str">
        <f>IFERROR(__xludf.DUMMYFUNCTION("GOOGLETRANSLATE(C117, ""en"", ""ru"")"),"каяк")</f>
        <v>каяк</v>
      </c>
      <c r="I117" s="8" t="str">
        <f>IFERROR(__xludf.DUMMYFUNCTION("GOOGLETRANSLATE(C117, ""en"", ""ar"")"),"قوارب الكاياك")</f>
        <v>قوارب الكاياك</v>
      </c>
      <c r="J117" s="8"/>
      <c r="K117" s="7" t="str">
        <f>IFERROR(__xludf.DUMMYFUNCTION("CONCAT(REGEXREPLACE(C117,""[ ,]+"",""_""),"".mp3"")"),"kayak.mp3")</f>
        <v>kayak.mp3</v>
      </c>
      <c r="M117" s="4" t="s">
        <v>10</v>
      </c>
    </row>
    <row r="118" ht="15.75" customHeight="1">
      <c r="A118" s="1">
        <v>1486.0</v>
      </c>
      <c r="B118" s="3">
        <v>141.0</v>
      </c>
      <c r="C118" s="7" t="s">
        <v>184</v>
      </c>
      <c r="D118" s="8" t="str">
        <f>IFERROR(__xludf.DUMMYFUNCTION("GOOGLETRANSLATE(C118, ""en"", ""pt"")"),"jangada")</f>
        <v>jangada</v>
      </c>
      <c r="E118" s="8" t="str">
        <f>IFERROR(__xludf.DUMMYFUNCTION("GOOGLETRANSLATE(C118, ""en"", ""es"")"),"balsa")</f>
        <v>balsa</v>
      </c>
      <c r="F118" s="8" t="str">
        <f>IFERROR(__xludf.DUMMYFUNCTION("GOOGLETRANSLATE(C118, ""en"", ""fr"")"),"radeau")</f>
        <v>radeau</v>
      </c>
      <c r="G118" s="8" t="str">
        <f>IFERROR(__xludf.DUMMYFUNCTION("GOOGLETRANSLATE(C118, ""en"", ""de"")"),"Floß")</f>
        <v>Floß</v>
      </c>
      <c r="H118" s="8" t="str">
        <f>IFERROR(__xludf.DUMMYFUNCTION("GOOGLETRANSLATE(C118, ""en"", ""ru"")"),"плот")</f>
        <v>плот</v>
      </c>
      <c r="I118" s="8" t="str">
        <f>IFERROR(__xludf.DUMMYFUNCTION("GOOGLETRANSLATE(C118, ""en"", ""ar"")"),"طوف")</f>
        <v>طوف</v>
      </c>
      <c r="J118" s="8"/>
      <c r="K118" s="7" t="str">
        <f>IFERROR(__xludf.DUMMYFUNCTION("CONCAT(REGEXREPLACE(C118,""[ ,]+"",""_""),"".mp3"")"),"raft.mp3")</f>
        <v>raft.mp3</v>
      </c>
      <c r="M118" s="4" t="s">
        <v>10</v>
      </c>
    </row>
    <row r="119" ht="15.75" customHeight="1">
      <c r="A119" s="1">
        <v>1487.0</v>
      </c>
      <c r="B119" s="3">
        <v>141.0</v>
      </c>
      <c r="C119" s="7" t="s">
        <v>185</v>
      </c>
      <c r="D119" s="8" t="str">
        <f>IFERROR(__xludf.DUMMYFUNCTION("GOOGLETRANSLATE(C119, ""en"", ""pt"")"),"veleiro")</f>
        <v>veleiro</v>
      </c>
      <c r="E119" s="8" t="str">
        <f>IFERROR(__xludf.DUMMYFUNCTION("GOOGLETRANSLATE(C119, ""en"", ""es"")"),"velero")</f>
        <v>velero</v>
      </c>
      <c r="F119" s="8" t="str">
        <f>IFERROR(__xludf.DUMMYFUNCTION("GOOGLETRANSLATE(C119, ""en"", ""fr"")"),"voilier")</f>
        <v>voilier</v>
      </c>
      <c r="G119" s="8" t="str">
        <f>IFERROR(__xludf.DUMMYFUNCTION("GOOGLETRANSLATE(C119, ""en"", ""de"")"),"Segelboot")</f>
        <v>Segelboot</v>
      </c>
      <c r="H119" s="8" t="str">
        <f>IFERROR(__xludf.DUMMYFUNCTION("GOOGLETRANSLATE(C119, ""en"", ""ru"")"),"парусная лодка")</f>
        <v>парусная лодка</v>
      </c>
      <c r="I119" s="8" t="str">
        <f>IFERROR(__xludf.DUMMYFUNCTION("GOOGLETRANSLATE(C119, ""en"", ""ar"")"),"قارب شراعي")</f>
        <v>قارب شراعي</v>
      </c>
      <c r="J119" s="8"/>
      <c r="K119" s="7" t="str">
        <f>IFERROR(__xludf.DUMMYFUNCTION("CONCAT(REGEXREPLACE(C119,""[ ,]+"",""_""),"".mp3"")"),"sailboat.mp3")</f>
        <v>sailboat.mp3</v>
      </c>
      <c r="M119" s="4" t="s">
        <v>10</v>
      </c>
    </row>
    <row r="120" ht="15.75" customHeight="1">
      <c r="A120" s="1">
        <v>1488.0</v>
      </c>
      <c r="B120" s="3">
        <v>141.0</v>
      </c>
      <c r="C120" s="7" t="s">
        <v>186</v>
      </c>
      <c r="D120" s="8" t="str">
        <f>IFERROR(__xludf.DUMMYFUNCTION("GOOGLETRANSLATE(C120, ""en"", ""pt"")"),"aeroporto")</f>
        <v>aeroporto</v>
      </c>
      <c r="E120" s="8" t="str">
        <f>IFERROR(__xludf.DUMMYFUNCTION("GOOGLETRANSLATE(C120, ""en"", ""es"")"),"aeropuerto")</f>
        <v>aeropuerto</v>
      </c>
      <c r="F120" s="8" t="str">
        <f>IFERROR(__xludf.DUMMYFUNCTION("GOOGLETRANSLATE(C120, ""en"", ""fr"")"),"aéroport")</f>
        <v>aéroport</v>
      </c>
      <c r="G120" s="8" t="str">
        <f>IFERROR(__xludf.DUMMYFUNCTION("GOOGLETRANSLATE(C120, ""en"", ""de"")"),"Flughafen")</f>
        <v>Flughafen</v>
      </c>
      <c r="H120" s="8" t="str">
        <f>IFERROR(__xludf.DUMMYFUNCTION("GOOGLETRANSLATE(C120, ""en"", ""ru"")"),"аэропорт")</f>
        <v>аэропорт</v>
      </c>
      <c r="I120" s="8" t="str">
        <f>IFERROR(__xludf.DUMMYFUNCTION("GOOGLETRANSLATE(C120, ""en"", ""ar"")"),"مطار")</f>
        <v>مطار</v>
      </c>
      <c r="J120" s="8"/>
      <c r="K120" s="7" t="str">
        <f>IFERROR(__xludf.DUMMYFUNCTION("CONCAT(REGEXREPLACE(C120,""[ ,]+"",""_""),"".mp3"")"),"airport.mp3")</f>
        <v>airport.mp3</v>
      </c>
      <c r="M120" s="4" t="s">
        <v>10</v>
      </c>
    </row>
    <row r="121" ht="15.75" customHeight="1">
      <c r="A121" s="1">
        <v>1489.0</v>
      </c>
      <c r="B121" s="3">
        <v>141.0</v>
      </c>
      <c r="C121" s="7" t="s">
        <v>187</v>
      </c>
      <c r="D121" s="8" t="str">
        <f>IFERROR(__xludf.DUMMYFUNCTION("GOOGLETRANSLATE(C121, ""en"", ""pt"")"),"pista")</f>
        <v>pista</v>
      </c>
      <c r="E121" s="8" t="str">
        <f>IFERROR(__xludf.DUMMYFUNCTION("GOOGLETRANSLATE(C121, ""en"", ""es"")"),"pista")</f>
        <v>pista</v>
      </c>
      <c r="F121" s="8" t="str">
        <f>IFERROR(__xludf.DUMMYFUNCTION("GOOGLETRANSLATE(C121, ""en"", ""fr"")"),"piste")</f>
        <v>piste</v>
      </c>
      <c r="G121" s="8" t="str">
        <f>IFERROR(__xludf.DUMMYFUNCTION("GOOGLETRANSLATE(C121, ""en"", ""de"")"),"Runway")</f>
        <v>Runway</v>
      </c>
      <c r="H121" s="8" t="str">
        <f>IFERROR(__xludf.DUMMYFUNCTION("GOOGLETRANSLATE(C121, ""en"", ""ru"")"),"взлетно-посадочная полоса")</f>
        <v>взлетно-посадочная полоса</v>
      </c>
      <c r="I121" s="8" t="str">
        <f>IFERROR(__xludf.DUMMYFUNCTION("GOOGLETRANSLATE(C121, ""en"", ""ar"")"),"مدرج الطائرات")</f>
        <v>مدرج الطائرات</v>
      </c>
      <c r="J121" s="8"/>
      <c r="K121" s="7" t="str">
        <f>IFERROR(__xludf.DUMMYFUNCTION("CONCAT(REGEXREPLACE(C121,""[ ,]+"",""_""),"".mp3"")"),"runway.mp3")</f>
        <v>runway.mp3</v>
      </c>
      <c r="M121" s="4" t="s">
        <v>10</v>
      </c>
    </row>
    <row r="122" ht="15.75" customHeight="1">
      <c r="A122" s="1">
        <v>1490.0</v>
      </c>
      <c r="B122" s="3">
        <v>141.0</v>
      </c>
      <c r="C122" s="7" t="s">
        <v>188</v>
      </c>
      <c r="D122" s="8" t="str">
        <f>IFERROR(__xludf.DUMMYFUNCTION("GOOGLETRANSLATE(C122, ""en"", ""pt"")"),"estação")</f>
        <v>estação</v>
      </c>
      <c r="E122" s="8" t="str">
        <f>IFERROR(__xludf.DUMMYFUNCTION("GOOGLETRANSLATE(C122, ""en"", ""es"")"),"estación")</f>
        <v>estación</v>
      </c>
      <c r="F122" s="8" t="str">
        <f>IFERROR(__xludf.DUMMYFUNCTION("GOOGLETRANSLATE(C122, ""en"", ""fr"")"),"gare")</f>
        <v>gare</v>
      </c>
      <c r="G122" s="8" t="str">
        <f>IFERROR(__xludf.DUMMYFUNCTION("GOOGLETRANSLATE(C122, ""en"", ""de"")"),"Station")</f>
        <v>Station</v>
      </c>
      <c r="H122" s="8" t="str">
        <f>IFERROR(__xludf.DUMMYFUNCTION("GOOGLETRANSLATE(C122, ""en"", ""ru"")"),"станция")</f>
        <v>станция</v>
      </c>
      <c r="I122" s="8" t="str">
        <f>IFERROR(__xludf.DUMMYFUNCTION("GOOGLETRANSLATE(C122, ""en"", ""ar"")"),"محطة")</f>
        <v>محطة</v>
      </c>
      <c r="J122" s="8"/>
      <c r="K122" s="7" t="str">
        <f>IFERROR(__xludf.DUMMYFUNCTION("CONCAT(REGEXREPLACE(C122,""[ ,]+"",""_""),"".mp3"")"),"station.mp3")</f>
        <v>station.mp3</v>
      </c>
      <c r="M122" s="4" t="s">
        <v>10</v>
      </c>
    </row>
    <row r="123" ht="15.75" customHeight="1">
      <c r="A123" s="1">
        <v>1491.0</v>
      </c>
      <c r="B123" s="3">
        <v>141.0</v>
      </c>
      <c r="C123" s="7" t="s">
        <v>189</v>
      </c>
      <c r="D123" s="8" t="str">
        <f>IFERROR(__xludf.DUMMYFUNCTION("GOOGLETRANSLATE(C123, ""en"", ""pt"")"),"plataforma")</f>
        <v>plataforma</v>
      </c>
      <c r="E123" s="8" t="str">
        <f>IFERROR(__xludf.DUMMYFUNCTION("GOOGLETRANSLATE(C123, ""en"", ""es"")"),"plataforma")</f>
        <v>plataforma</v>
      </c>
      <c r="F123" s="8" t="str">
        <f>IFERROR(__xludf.DUMMYFUNCTION("GOOGLETRANSLATE(C123, ""en"", ""fr"")"),"plate-forme")</f>
        <v>plate-forme</v>
      </c>
      <c r="G123" s="8" t="str">
        <f>IFERROR(__xludf.DUMMYFUNCTION("GOOGLETRANSLATE(C123, ""en"", ""de"")"),"Plattform")</f>
        <v>Plattform</v>
      </c>
      <c r="H123" s="8" t="str">
        <f>IFERROR(__xludf.DUMMYFUNCTION("GOOGLETRANSLATE(C123, ""en"", ""ru"")"),"платформа")</f>
        <v>платформа</v>
      </c>
      <c r="I123" s="8" t="str">
        <f>IFERROR(__xludf.DUMMYFUNCTION("GOOGLETRANSLATE(C123, ""en"", ""ar"")"),"منصة")</f>
        <v>منصة</v>
      </c>
      <c r="J123" s="8"/>
      <c r="K123" s="7" t="str">
        <f>IFERROR(__xludf.DUMMYFUNCTION("CONCAT(REGEXREPLACE(C123,""[ ,]+"",""_""),"".mp3"")"),"platform.mp3")</f>
        <v>platform.mp3</v>
      </c>
      <c r="M123" s="4" t="s">
        <v>10</v>
      </c>
    </row>
    <row r="124" ht="15.75" customHeight="1">
      <c r="A124" s="1">
        <v>1492.0</v>
      </c>
      <c r="B124" s="3">
        <v>141.0</v>
      </c>
      <c r="C124" s="7" t="s">
        <v>190</v>
      </c>
      <c r="D124" s="8" t="str">
        <f>IFERROR(__xludf.DUMMYFUNCTION("GOOGLETRANSLATE(C124, ""en"", ""pt"")"),"porta")</f>
        <v>porta</v>
      </c>
      <c r="E124" s="8" t="str">
        <f>IFERROR(__xludf.DUMMYFUNCTION("GOOGLETRANSLATE(C124, ""en"", ""es"")"),"puerto")</f>
        <v>puerto</v>
      </c>
      <c r="F124" s="8" t="str">
        <f>IFERROR(__xludf.DUMMYFUNCTION("GOOGLETRANSLATE(C124, ""en"", ""fr"")"),"port")</f>
        <v>port</v>
      </c>
      <c r="G124" s="8" t="str">
        <f>IFERROR(__xludf.DUMMYFUNCTION("GOOGLETRANSLATE(C124, ""en"", ""de"")"),"Hafen")</f>
        <v>Hafen</v>
      </c>
      <c r="H124" s="8" t="str">
        <f>IFERROR(__xludf.DUMMYFUNCTION("GOOGLETRANSLATE(C124, ""en"", ""ru"")"),"порт")</f>
        <v>порт</v>
      </c>
      <c r="I124" s="8" t="str">
        <f>IFERROR(__xludf.DUMMYFUNCTION("GOOGLETRANSLATE(C124, ""en"", ""ar"")"),"ميناء")</f>
        <v>ميناء</v>
      </c>
      <c r="J124" s="8"/>
      <c r="K124" s="7" t="str">
        <f>IFERROR(__xludf.DUMMYFUNCTION("CONCAT(REGEXREPLACE(C124,""[ ,]+"",""_""),"".mp3"")"),"port.mp3")</f>
        <v>port.mp3</v>
      </c>
      <c r="M124" s="4" t="s">
        <v>10</v>
      </c>
    </row>
    <row r="125" ht="15.75" customHeight="1">
      <c r="A125" s="1">
        <v>1493.0</v>
      </c>
      <c r="B125" s="3">
        <v>141.0</v>
      </c>
      <c r="C125" s="7" t="s">
        <v>191</v>
      </c>
      <c r="D125" s="8" t="str">
        <f>IFERROR(__xludf.DUMMYFUNCTION("GOOGLETRANSLATE(C125, ""en"", ""pt"")"),"porto")</f>
        <v>porto</v>
      </c>
      <c r="E125" s="8" t="str">
        <f>IFERROR(__xludf.DUMMYFUNCTION("GOOGLETRANSLATE(C125, ""en"", ""es"")"),"puerto")</f>
        <v>puerto</v>
      </c>
      <c r="F125" s="8" t="str">
        <f>IFERROR(__xludf.DUMMYFUNCTION("GOOGLETRANSLATE(C125, ""en"", ""fr"")"),"port")</f>
        <v>port</v>
      </c>
      <c r="G125" s="8" t="str">
        <f>IFERROR(__xludf.DUMMYFUNCTION("GOOGLETRANSLATE(C125, ""en"", ""de"")"),"Hafen")</f>
        <v>Hafen</v>
      </c>
      <c r="H125" s="8" t="str">
        <f>IFERROR(__xludf.DUMMYFUNCTION("GOOGLETRANSLATE(C125, ""en"", ""ru"")"),"гавань")</f>
        <v>гавань</v>
      </c>
      <c r="I125" s="8" t="str">
        <f>IFERROR(__xludf.DUMMYFUNCTION("GOOGLETRANSLATE(C125, ""en"", ""ar"")"),"الميناء")</f>
        <v>الميناء</v>
      </c>
      <c r="J125" s="8"/>
      <c r="K125" s="7" t="str">
        <f>IFERROR(__xludf.DUMMYFUNCTION("CONCAT(REGEXREPLACE(C125,""[ ,]+"",""_""),"".mp3"")"),"harbor.mp3")</f>
        <v>harbor.mp3</v>
      </c>
      <c r="M125" s="4" t="s">
        <v>10</v>
      </c>
    </row>
    <row r="126" ht="15.75" customHeight="1">
      <c r="A126" s="1">
        <v>1494.0</v>
      </c>
      <c r="B126" s="3">
        <v>141.0</v>
      </c>
      <c r="C126" s="7" t="s">
        <v>192</v>
      </c>
      <c r="D126" s="8" t="str">
        <f>IFERROR(__xludf.DUMMYFUNCTION("GOOGLETRANSLATE(C126, ""en"", ""pt"")"),"ponto de ônibus")</f>
        <v>ponto de ônibus</v>
      </c>
      <c r="E126" s="8" t="str">
        <f>IFERROR(__xludf.DUMMYFUNCTION("GOOGLETRANSLATE(C126, ""en"", ""es"")"),"parada de autobús")</f>
        <v>parada de autobús</v>
      </c>
      <c r="F126" s="8" t="str">
        <f>IFERROR(__xludf.DUMMYFUNCTION("GOOGLETRANSLATE(C126, ""en"", ""fr"")"),"arrêt de bus")</f>
        <v>arrêt de bus</v>
      </c>
      <c r="G126" s="8" t="str">
        <f>IFERROR(__xludf.DUMMYFUNCTION("GOOGLETRANSLATE(C126, ""en"", ""de"")"),"Bushaltestelle")</f>
        <v>Bushaltestelle</v>
      </c>
      <c r="H126" s="8" t="str">
        <f>IFERROR(__xludf.DUMMYFUNCTION("GOOGLETRANSLATE(C126, ""en"", ""ru"")"),"автобусная остановка")</f>
        <v>автобусная остановка</v>
      </c>
      <c r="I126" s="8" t="str">
        <f>IFERROR(__xludf.DUMMYFUNCTION("GOOGLETRANSLATE(C126, ""en"", ""ar"")"),"موقف الحافلات")</f>
        <v>موقف الحافلات</v>
      </c>
      <c r="J126" s="8"/>
      <c r="K126" s="7" t="str">
        <f>IFERROR(__xludf.DUMMYFUNCTION("CONCAT(REGEXREPLACE(C126,""[ ,]+"",""_""),"".mp3"")"),"bus_stop.mp3")</f>
        <v>bus_stop.mp3</v>
      </c>
      <c r="M126" s="4" t="s">
        <v>10</v>
      </c>
    </row>
    <row r="127" ht="15.75" customHeight="1">
      <c r="A127" s="1">
        <v>1495.0</v>
      </c>
      <c r="B127" s="3">
        <v>141.0</v>
      </c>
      <c r="C127" s="7" t="s">
        <v>193</v>
      </c>
      <c r="D127" s="8" t="str">
        <f>IFERROR(__xludf.DUMMYFUNCTION("GOOGLETRANSLATE(C127, ""en"", ""pt"")"),"estacionamento")</f>
        <v>estacionamento</v>
      </c>
      <c r="E127" s="8" t="str">
        <f>IFERROR(__xludf.DUMMYFUNCTION("GOOGLETRANSLATE(C127, ""en"", ""es"")"),"estacionamiento")</f>
        <v>estacionamiento</v>
      </c>
      <c r="F127" s="8" t="str">
        <f>IFERROR(__xludf.DUMMYFUNCTION("GOOGLETRANSLATE(C127, ""en"", ""fr"")"),"parking")</f>
        <v>parking</v>
      </c>
      <c r="G127" s="8" t="str">
        <f>IFERROR(__xludf.DUMMYFUNCTION("GOOGLETRANSLATE(C127, ""en"", ""de"")"),"Parkplatz")</f>
        <v>Parkplatz</v>
      </c>
      <c r="H127" s="8" t="str">
        <f>IFERROR(__xludf.DUMMYFUNCTION("GOOGLETRANSLATE(C127, ""en"", ""ru"")"),"парковка")</f>
        <v>парковка</v>
      </c>
      <c r="I127" s="8" t="str">
        <f>IFERROR(__xludf.DUMMYFUNCTION("GOOGLETRANSLATE(C127, ""en"", ""ar"")"),"موقف السيارات")</f>
        <v>موقف السيارات</v>
      </c>
      <c r="J127" s="8"/>
      <c r="K127" s="7" t="str">
        <f>IFERROR(__xludf.DUMMYFUNCTION("CONCAT(REGEXREPLACE(C127,""[ ,]+"",""_""),"".mp3"")"),"parking_lot.mp3")</f>
        <v>parking_lot.mp3</v>
      </c>
      <c r="M127" s="4" t="s">
        <v>10</v>
      </c>
    </row>
    <row r="128" ht="15.75" customHeight="1">
      <c r="A128" s="1">
        <v>1496.0</v>
      </c>
      <c r="B128" s="3">
        <v>141.0</v>
      </c>
      <c r="C128" s="7" t="s">
        <v>194</v>
      </c>
      <c r="D128" s="8" t="str">
        <f>IFERROR(__xludf.DUMMYFUNCTION("GOOGLETRANSLATE(C128, ""en"", ""pt"")"),"garagem")</f>
        <v>garagem</v>
      </c>
      <c r="E128" s="8" t="str">
        <f>IFERROR(__xludf.DUMMYFUNCTION("GOOGLETRANSLATE(C128, ""en"", ""es"")"),"cochera")</f>
        <v>cochera</v>
      </c>
      <c r="F128" s="8" t="str">
        <f>IFERROR(__xludf.DUMMYFUNCTION("GOOGLETRANSLATE(C128, ""en"", ""fr"")"),"garage")</f>
        <v>garage</v>
      </c>
      <c r="G128" s="8" t="str">
        <f>IFERROR(__xludf.DUMMYFUNCTION("GOOGLETRANSLATE(C128, ""en"", ""de"")"),"Garage")</f>
        <v>Garage</v>
      </c>
      <c r="H128" s="8" t="str">
        <f>IFERROR(__xludf.DUMMYFUNCTION("GOOGLETRANSLATE(C128, ""en"", ""ru"")"),"гараж")</f>
        <v>гараж</v>
      </c>
      <c r="I128" s="8" t="str">
        <f>IFERROR(__xludf.DUMMYFUNCTION("GOOGLETRANSLATE(C128, ""en"", ""ar"")"),"كراج")</f>
        <v>كراج</v>
      </c>
      <c r="J128" s="8"/>
      <c r="K128" s="7" t="str">
        <f>IFERROR(__xludf.DUMMYFUNCTION("CONCAT(REGEXREPLACE(C128,""[ ,]+"",""_""),"".mp3"")"),"garage.mp3")</f>
        <v>garage.mp3</v>
      </c>
      <c r="M128" s="4" t="s">
        <v>10</v>
      </c>
    </row>
    <row r="129" ht="15.75" customHeight="1">
      <c r="A129" s="1">
        <v>1497.0</v>
      </c>
      <c r="B129" s="3">
        <v>141.0</v>
      </c>
      <c r="C129" s="3" t="s">
        <v>195</v>
      </c>
      <c r="D129" s="8" t="str">
        <f>IFERROR(__xludf.DUMMYFUNCTION("GOOGLETRANSLATE(C129, ""en"", ""pt"")"),"rodovia, autoestrada")</f>
        <v>rodovia, autoestrada</v>
      </c>
      <c r="E129" s="8" t="str">
        <f>IFERROR(__xludf.DUMMYFUNCTION("GOOGLETRANSLATE(C129, ""en"", ""es"")"),"autopista, autovía")</f>
        <v>autopista, autovía</v>
      </c>
      <c r="F129" s="8" t="str">
        <f>IFERROR(__xludf.DUMMYFUNCTION("GOOGLETRANSLATE(C129, ""en"", ""fr"")"),"autoroute, voie rapide")</f>
        <v>autoroute, voie rapide</v>
      </c>
      <c r="G129" s="8" t="str">
        <f>IFERROR(__xludf.DUMMYFUNCTION("GOOGLETRANSLATE(C129, ""en"", ""de"")"),"Autobahn, Schnellstraße")</f>
        <v>Autobahn, Schnellstraße</v>
      </c>
      <c r="H129" s="8" t="str">
        <f>IFERROR(__xludf.DUMMYFUNCTION("GOOGLETRANSLATE(C129, ""en"", ""ru"")"),"шоссе, автомагистраль")</f>
        <v>шоссе, автомагистраль</v>
      </c>
      <c r="I129" s="8" t="str">
        <f>IFERROR(__xludf.DUMMYFUNCTION("GOOGLETRANSLATE(C129, ""en"", ""ar"")"),"الطريق السريع، الطريق السريع")</f>
        <v>الطريق السريع، الطريق السريع</v>
      </c>
      <c r="J129" s="8"/>
      <c r="K129" s="7" t="str">
        <f>IFERROR(__xludf.DUMMYFUNCTION("CONCAT(REGEXREPLACE(C129,""[ ,]+"",""_""),"".mp3"")"),"highway_motorway.mp3")</f>
        <v>highway_motorway.mp3</v>
      </c>
      <c r="M129" s="4" t="s">
        <v>10</v>
      </c>
    </row>
    <row r="130" ht="15.75" customHeight="1">
      <c r="A130" s="1">
        <v>1498.0</v>
      </c>
      <c r="B130" s="3">
        <v>141.0</v>
      </c>
      <c r="C130" s="7" t="s">
        <v>196</v>
      </c>
      <c r="D130" s="8" t="str">
        <f>IFERROR(__xludf.DUMMYFUNCTION("GOOGLETRANSLATE(C130, ""en"", ""pt"")"),"ponte")</f>
        <v>ponte</v>
      </c>
      <c r="E130" s="8" t="str">
        <f>IFERROR(__xludf.DUMMYFUNCTION("GOOGLETRANSLATE(C130, ""en"", ""es"")"),"puente")</f>
        <v>puente</v>
      </c>
      <c r="F130" s="8" t="str">
        <f>IFERROR(__xludf.DUMMYFUNCTION("GOOGLETRANSLATE(C130, ""en"", ""fr"")"),"pont")</f>
        <v>pont</v>
      </c>
      <c r="G130" s="8" t="str">
        <f>IFERROR(__xludf.DUMMYFUNCTION("GOOGLETRANSLATE(C130, ""en"", ""de"")"),"Brücke")</f>
        <v>Brücke</v>
      </c>
      <c r="H130" s="8" t="str">
        <f>IFERROR(__xludf.DUMMYFUNCTION("GOOGLETRANSLATE(C130, ""en"", ""ru"")"),"мост")</f>
        <v>мост</v>
      </c>
      <c r="I130" s="8" t="str">
        <f>IFERROR(__xludf.DUMMYFUNCTION("GOOGLETRANSLATE(C130, ""en"", ""ar"")"),"كوبري")</f>
        <v>كوبري</v>
      </c>
      <c r="J130" s="8"/>
      <c r="K130" s="7" t="str">
        <f>IFERROR(__xludf.DUMMYFUNCTION("CONCAT(REGEXREPLACE(C130,""[ ,]+"",""_""),"".mp3"")"),"bridge.mp3")</f>
        <v>bridge.mp3</v>
      </c>
      <c r="M130" s="4" t="s">
        <v>10</v>
      </c>
    </row>
    <row r="131" ht="15.75" customHeight="1">
      <c r="A131" s="1">
        <v>1499.0</v>
      </c>
      <c r="B131" s="3">
        <v>141.0</v>
      </c>
      <c r="C131" s="7" t="s">
        <v>197</v>
      </c>
      <c r="D131" s="8" t="str">
        <f>IFERROR(__xludf.DUMMYFUNCTION("GOOGLETRANSLATE(C131, ""en"", ""pt"")"),"túnel")</f>
        <v>túnel</v>
      </c>
      <c r="E131" s="8" t="str">
        <f>IFERROR(__xludf.DUMMYFUNCTION("GOOGLETRANSLATE(C131, ""en"", ""es"")"),"túnel")</f>
        <v>túnel</v>
      </c>
      <c r="F131" s="8" t="str">
        <f>IFERROR(__xludf.DUMMYFUNCTION("GOOGLETRANSLATE(C131, ""en"", ""fr"")"),"tunnel")</f>
        <v>tunnel</v>
      </c>
      <c r="G131" s="8" t="str">
        <f>IFERROR(__xludf.DUMMYFUNCTION("GOOGLETRANSLATE(C131, ""en"", ""de"")"),"Tunnel")</f>
        <v>Tunnel</v>
      </c>
      <c r="H131" s="8" t="str">
        <f>IFERROR(__xludf.DUMMYFUNCTION("GOOGLETRANSLATE(C131, ""en"", ""ru"")"),"туннель")</f>
        <v>туннель</v>
      </c>
      <c r="I131" s="8" t="str">
        <f>IFERROR(__xludf.DUMMYFUNCTION("GOOGLETRANSLATE(C131, ""en"", ""ar"")"),"نفق")</f>
        <v>نفق</v>
      </c>
      <c r="J131" s="8"/>
      <c r="K131" s="7" t="str">
        <f>IFERROR(__xludf.DUMMYFUNCTION("CONCAT(REGEXREPLACE(C131,""[ ,]+"",""_""),"".mp3"")"),"tunnel.mp3")</f>
        <v>tunnel.mp3</v>
      </c>
      <c r="M131" s="4" t="s">
        <v>10</v>
      </c>
    </row>
    <row r="132" ht="15.75" customHeight="1">
      <c r="A132" s="1">
        <v>1500.0</v>
      </c>
      <c r="B132" s="3">
        <v>142.0</v>
      </c>
      <c r="C132" s="7" t="s">
        <v>198</v>
      </c>
      <c r="D132" s="8" t="str">
        <f>IFERROR(__xludf.DUMMYFUNCTION("GOOGLETRANSLATE(C132, ""en"", ""pt"")"),"cachorro")</f>
        <v>cachorro</v>
      </c>
      <c r="E132" s="8" t="str">
        <f>IFERROR(__xludf.DUMMYFUNCTION("GOOGLETRANSLATE(C132, ""en"", ""es"")"),"perro")</f>
        <v>perro</v>
      </c>
      <c r="F132" s="8" t="str">
        <f>IFERROR(__xludf.DUMMYFUNCTION("GOOGLETRANSLATE(C132, ""en"", ""fr"")"),"chien")</f>
        <v>chien</v>
      </c>
      <c r="G132" s="8" t="str">
        <f>IFERROR(__xludf.DUMMYFUNCTION("GOOGLETRANSLATE(C132, ""en"", ""de"")"),"Hund")</f>
        <v>Hund</v>
      </c>
      <c r="H132" s="8" t="str">
        <f>IFERROR(__xludf.DUMMYFUNCTION("GOOGLETRANSLATE(C132, ""en"", ""ru"")"),"собака")</f>
        <v>собака</v>
      </c>
      <c r="I132" s="8" t="str">
        <f>IFERROR(__xludf.DUMMYFUNCTION("GOOGLETRANSLATE(C132, ""en"", ""ar"")"),"كلب")</f>
        <v>كلب</v>
      </c>
      <c r="J132" s="8"/>
      <c r="K132" s="7" t="str">
        <f>IFERROR(__xludf.DUMMYFUNCTION("CONCAT(REGEXREPLACE(C132,""[ ,]+"",""_""),"".mp3"")"),"dog.mp3")</f>
        <v>dog.mp3</v>
      </c>
      <c r="M132" s="4" t="s">
        <v>10</v>
      </c>
    </row>
    <row r="133" ht="15.75" customHeight="1">
      <c r="A133" s="1">
        <v>1501.0</v>
      </c>
      <c r="B133" s="3">
        <v>142.0</v>
      </c>
      <c r="C133" s="7" t="s">
        <v>199</v>
      </c>
      <c r="D133" s="8" t="str">
        <f>IFERROR(__xludf.DUMMYFUNCTION("GOOGLETRANSLATE(C133, ""en"", ""pt"")"),"filhote de cachorro")</f>
        <v>filhote de cachorro</v>
      </c>
      <c r="E133" s="8" t="str">
        <f>IFERROR(__xludf.DUMMYFUNCTION("GOOGLETRANSLATE(C133, ""en"", ""es"")"),"cachorro")</f>
        <v>cachorro</v>
      </c>
      <c r="F133" s="8" t="str">
        <f>IFERROR(__xludf.DUMMYFUNCTION("GOOGLETRANSLATE(C133, ""en"", ""fr"")"),"chiot")</f>
        <v>chiot</v>
      </c>
      <c r="G133" s="8" t="str">
        <f>IFERROR(__xludf.DUMMYFUNCTION("GOOGLETRANSLATE(C133, ""en"", ""de"")"),"Welpe")</f>
        <v>Welpe</v>
      </c>
      <c r="H133" s="8" t="str">
        <f>IFERROR(__xludf.DUMMYFUNCTION("GOOGLETRANSLATE(C133, ""en"", ""ru"")"),"щенок")</f>
        <v>щенок</v>
      </c>
      <c r="I133" s="8" t="str">
        <f>IFERROR(__xludf.DUMMYFUNCTION("GOOGLETRANSLATE(C133, ""en"", ""ar"")"),"جرو")</f>
        <v>جرو</v>
      </c>
      <c r="J133" s="8"/>
      <c r="K133" s="7" t="str">
        <f>IFERROR(__xludf.DUMMYFUNCTION("CONCAT(REGEXREPLACE(C133,""[ ,]+"",""_""),"".mp3"")"),"puppy.mp3")</f>
        <v>puppy.mp3</v>
      </c>
      <c r="M133" s="4" t="s">
        <v>10</v>
      </c>
    </row>
    <row r="134" ht="15.75" customHeight="1">
      <c r="A134" s="1">
        <v>1502.0</v>
      </c>
      <c r="B134" s="3">
        <v>142.0</v>
      </c>
      <c r="C134" s="7" t="s">
        <v>200</v>
      </c>
      <c r="D134" s="8" t="str">
        <f>IFERROR(__xludf.DUMMYFUNCTION("GOOGLETRANSLATE(C134, ""en"", ""pt"")"),"gato")</f>
        <v>gato</v>
      </c>
      <c r="E134" s="8" t="str">
        <f>IFERROR(__xludf.DUMMYFUNCTION("GOOGLETRANSLATE(C134, ""en"", ""es"")"),"gato")</f>
        <v>gato</v>
      </c>
      <c r="F134" s="8" t="str">
        <f>IFERROR(__xludf.DUMMYFUNCTION("GOOGLETRANSLATE(C134, ""en"", ""fr"")"),"chat")</f>
        <v>chat</v>
      </c>
      <c r="G134" s="8" t="str">
        <f>IFERROR(__xludf.DUMMYFUNCTION("GOOGLETRANSLATE(C134, ""en"", ""de"")"),"Katze")</f>
        <v>Katze</v>
      </c>
      <c r="H134" s="8" t="str">
        <f>IFERROR(__xludf.DUMMYFUNCTION("GOOGLETRANSLATE(C134, ""en"", ""ru"")"),"кот")</f>
        <v>кот</v>
      </c>
      <c r="I134" s="8" t="str">
        <f>IFERROR(__xludf.DUMMYFUNCTION("GOOGLETRANSLATE(C134, ""en"", ""ar"")"),"قطة")</f>
        <v>قطة</v>
      </c>
      <c r="J134" s="8"/>
      <c r="K134" s="7" t="str">
        <f>IFERROR(__xludf.DUMMYFUNCTION("CONCAT(REGEXREPLACE(C134,""[ ,]+"",""_""),"".mp3"")"),"cat.mp3")</f>
        <v>cat.mp3</v>
      </c>
      <c r="M134" s="4" t="s">
        <v>10</v>
      </c>
    </row>
    <row r="135" ht="15.75" customHeight="1">
      <c r="A135" s="1">
        <v>1503.0</v>
      </c>
      <c r="B135" s="3">
        <v>142.0</v>
      </c>
      <c r="C135" s="7" t="s">
        <v>201</v>
      </c>
      <c r="D135" s="8" t="str">
        <f>IFERROR(__xludf.DUMMYFUNCTION("GOOGLETRANSLATE(C135, ""en"", ""pt"")"),"gatinho")</f>
        <v>gatinho</v>
      </c>
      <c r="E135" s="8" t="str">
        <f>IFERROR(__xludf.DUMMYFUNCTION("GOOGLETRANSLATE(C135, ""en"", ""es"")"),"gatito")</f>
        <v>gatito</v>
      </c>
      <c r="F135" s="8" t="str">
        <f>IFERROR(__xludf.DUMMYFUNCTION("GOOGLETRANSLATE(C135, ""en"", ""fr"")"),"chaton")</f>
        <v>chaton</v>
      </c>
      <c r="G135" s="8" t="str">
        <f>IFERROR(__xludf.DUMMYFUNCTION("GOOGLETRANSLATE(C135, ""en"", ""de"")"),"Kätzchen")</f>
        <v>Kätzchen</v>
      </c>
      <c r="H135" s="8" t="str">
        <f>IFERROR(__xludf.DUMMYFUNCTION("GOOGLETRANSLATE(C135, ""en"", ""ru"")"),"котенок")</f>
        <v>котенок</v>
      </c>
      <c r="I135" s="8" t="str">
        <f>IFERROR(__xludf.DUMMYFUNCTION("GOOGLETRANSLATE(C135, ""en"", ""ar"")"),"هريرة")</f>
        <v>هريرة</v>
      </c>
      <c r="J135" s="8"/>
      <c r="K135" s="7" t="str">
        <f>IFERROR(__xludf.DUMMYFUNCTION("CONCAT(REGEXREPLACE(C135,""[ ,]+"",""_""),"".mp3"")"),"kitten.mp3")</f>
        <v>kitten.mp3</v>
      </c>
      <c r="M135" s="4" t="s">
        <v>10</v>
      </c>
    </row>
    <row r="136" ht="15.75" customHeight="1">
      <c r="A136" s="1">
        <v>1504.0</v>
      </c>
      <c r="B136" s="3">
        <v>142.0</v>
      </c>
      <c r="C136" s="3" t="s">
        <v>202</v>
      </c>
      <c r="D136" s="8" t="str">
        <f>IFERROR(__xludf.DUMMYFUNCTION("GOOGLETRANSLATE(C136, ""en"", ""pt"")"),"coelho, coelhinho")</f>
        <v>coelho, coelhinho</v>
      </c>
      <c r="E136" s="8" t="str">
        <f>IFERROR(__xludf.DUMMYFUNCTION("GOOGLETRANSLATE(C136, ""en"", ""es"")"),"conejo, conejo")</f>
        <v>conejo, conejo</v>
      </c>
      <c r="F136" s="8" t="str">
        <f>IFERROR(__xludf.DUMMYFUNCTION("GOOGLETRANSLATE(C136, ""en"", ""fr"")"),"lapin, lapereau")</f>
        <v>lapin, lapereau</v>
      </c>
      <c r="G136" s="8" t="str">
        <f>IFERROR(__xludf.DUMMYFUNCTION("GOOGLETRANSLATE(C136, ""en"", ""de"")"),"Kaninchen, Hase")</f>
        <v>Kaninchen, Hase</v>
      </c>
      <c r="H136" s="8" t="str">
        <f>IFERROR(__xludf.DUMMYFUNCTION("GOOGLETRANSLATE(C136, ""en"", ""ru"")"),"кролик, зайчик")</f>
        <v>кролик, зайчик</v>
      </c>
      <c r="I136" s="8" t="str">
        <f>IFERROR(__xludf.DUMMYFUNCTION("GOOGLETRANSLATE(C136, ""en"", ""ar"")"),"أرنب، أرنب")</f>
        <v>أرنب، أرنب</v>
      </c>
      <c r="J136" s="8"/>
      <c r="K136" s="7" t="str">
        <f>IFERROR(__xludf.DUMMYFUNCTION("CONCAT(REGEXREPLACE(C136,""[ ,]+"",""_""),"".mp3"")"),"rabbit_bunny.mp3")</f>
        <v>rabbit_bunny.mp3</v>
      </c>
      <c r="M136" s="4" t="s">
        <v>10</v>
      </c>
    </row>
    <row r="137" ht="15.75" customHeight="1">
      <c r="A137" s="1">
        <v>1505.0</v>
      </c>
      <c r="B137" s="3">
        <v>142.0</v>
      </c>
      <c r="C137" s="7" t="s">
        <v>203</v>
      </c>
      <c r="D137" s="8" t="str">
        <f>IFERROR(__xludf.DUMMYFUNCTION("GOOGLETRANSLATE(C137, ""en"", ""pt"")"),"hamster")</f>
        <v>hamster</v>
      </c>
      <c r="E137" s="8" t="str">
        <f>IFERROR(__xludf.DUMMYFUNCTION("GOOGLETRANSLATE(C137, ""en"", ""es"")"),"hámster")</f>
        <v>hámster</v>
      </c>
      <c r="F137" s="8" t="str">
        <f>IFERROR(__xludf.DUMMYFUNCTION("GOOGLETRANSLATE(C137, ""en"", ""fr"")"),"hamster")</f>
        <v>hamster</v>
      </c>
      <c r="G137" s="8" t="str">
        <f>IFERROR(__xludf.DUMMYFUNCTION("GOOGLETRANSLATE(C137, ""en"", ""de"")"),"Hamster")</f>
        <v>Hamster</v>
      </c>
      <c r="H137" s="8" t="str">
        <f>IFERROR(__xludf.DUMMYFUNCTION("GOOGLETRANSLATE(C137, ""en"", ""ru"")"),"хомяк")</f>
        <v>хомяк</v>
      </c>
      <c r="I137" s="8" t="str">
        <f>IFERROR(__xludf.DUMMYFUNCTION("GOOGLETRANSLATE(C137, ""en"", ""ar"")"),"الهامستر")</f>
        <v>الهامستر</v>
      </c>
      <c r="J137" s="8"/>
      <c r="K137" s="7" t="str">
        <f>IFERROR(__xludf.DUMMYFUNCTION("CONCAT(REGEXREPLACE(C137,""[ ,]+"",""_""),"".mp3"")"),"hamster.mp3")</f>
        <v>hamster.mp3</v>
      </c>
      <c r="M137" s="4" t="s">
        <v>10</v>
      </c>
    </row>
    <row r="138" ht="15.75" customHeight="1">
      <c r="A138" s="1">
        <v>1506.0</v>
      </c>
      <c r="B138" s="3">
        <v>142.0</v>
      </c>
      <c r="C138" s="7" t="s">
        <v>204</v>
      </c>
      <c r="D138" s="8" t="str">
        <f>IFERROR(__xludf.DUMMYFUNCTION("GOOGLETRANSLATE(C138, ""en"", ""pt"")"),"cobaia")</f>
        <v>cobaia</v>
      </c>
      <c r="E138" s="8" t="str">
        <f>IFERROR(__xludf.DUMMYFUNCTION("GOOGLETRANSLATE(C138, ""en"", ""es"")"),"conejillo de Indias")</f>
        <v>conejillo de Indias</v>
      </c>
      <c r="F138" s="8" t="str">
        <f>IFERROR(__xludf.DUMMYFUNCTION("GOOGLETRANSLATE(C138, ""en"", ""fr"")"),"cobaye")</f>
        <v>cobaye</v>
      </c>
      <c r="G138" s="8" t="str">
        <f>IFERROR(__xludf.DUMMYFUNCTION("GOOGLETRANSLATE(C138, ""en"", ""de"")"),"Meerschweinchen")</f>
        <v>Meerschweinchen</v>
      </c>
      <c r="H138" s="8" t="str">
        <f>IFERROR(__xludf.DUMMYFUNCTION("GOOGLETRANSLATE(C138, ""en"", ""ru"")"),"морская свинка")</f>
        <v>морская свинка</v>
      </c>
      <c r="I138" s="8" t="str">
        <f>IFERROR(__xludf.DUMMYFUNCTION("GOOGLETRANSLATE(C138, ""en"", ""ar"")"),"خنزير غينيا")</f>
        <v>خنزير غينيا</v>
      </c>
      <c r="J138" s="8"/>
      <c r="K138" s="7" t="str">
        <f>IFERROR(__xludf.DUMMYFUNCTION("CONCAT(REGEXREPLACE(C138,""[ ,]+"",""_""),"".mp3"")"),"guinea_pig.mp3")</f>
        <v>guinea_pig.mp3</v>
      </c>
      <c r="M138" s="4" t="s">
        <v>10</v>
      </c>
    </row>
    <row r="139" ht="15.75" customHeight="1">
      <c r="A139" s="1">
        <v>1507.0</v>
      </c>
      <c r="B139" s="3">
        <v>142.0</v>
      </c>
      <c r="C139" s="7" t="s">
        <v>205</v>
      </c>
      <c r="D139" s="8" t="str">
        <f>IFERROR(__xludf.DUMMYFUNCTION("GOOGLETRANSLATE(C139, ""en"", ""pt"")"),"rato")</f>
        <v>rato</v>
      </c>
      <c r="E139" s="8" t="str">
        <f>IFERROR(__xludf.DUMMYFUNCTION("GOOGLETRANSLATE(C139, ""en"", ""es"")"),"ratón")</f>
        <v>ratón</v>
      </c>
      <c r="F139" s="8" t="str">
        <f>IFERROR(__xludf.DUMMYFUNCTION("GOOGLETRANSLATE(C139, ""en"", ""fr"")"),"souris")</f>
        <v>souris</v>
      </c>
      <c r="G139" s="8" t="str">
        <f>IFERROR(__xludf.DUMMYFUNCTION("GOOGLETRANSLATE(C139, ""en"", ""de"")"),"Maus")</f>
        <v>Maus</v>
      </c>
      <c r="H139" s="8" t="str">
        <f>IFERROR(__xludf.DUMMYFUNCTION("GOOGLETRANSLATE(C139, ""en"", ""ru"")"),"мышь")</f>
        <v>мышь</v>
      </c>
      <c r="I139" s="8" t="str">
        <f>IFERROR(__xludf.DUMMYFUNCTION("GOOGLETRANSLATE(C139, ""en"", ""ar"")"),"فأرة الماوس")</f>
        <v>فأرة الماوس</v>
      </c>
      <c r="J139" s="8"/>
      <c r="K139" s="7" t="str">
        <f>IFERROR(__xludf.DUMMYFUNCTION("CONCAT(REGEXREPLACE(C139,""[ ,]+"",""_""),"".mp3"")"),"mouse.mp3")</f>
        <v>mouse.mp3</v>
      </c>
      <c r="M139" s="4" t="s">
        <v>10</v>
      </c>
    </row>
    <row r="140" ht="15.75" customHeight="1">
      <c r="A140" s="1">
        <v>1508.0</v>
      </c>
      <c r="B140" s="3">
        <v>142.0</v>
      </c>
      <c r="C140" s="7" t="s">
        <v>206</v>
      </c>
      <c r="D140" s="8" t="str">
        <f>IFERROR(__xludf.DUMMYFUNCTION("GOOGLETRANSLATE(C140, ""en"", ""pt"")"),"rato")</f>
        <v>rato</v>
      </c>
      <c r="E140" s="8" t="str">
        <f>IFERROR(__xludf.DUMMYFUNCTION("GOOGLETRANSLATE(C140, ""en"", ""es"")"),"rata")</f>
        <v>rata</v>
      </c>
      <c r="F140" s="8" t="str">
        <f>IFERROR(__xludf.DUMMYFUNCTION("GOOGLETRANSLATE(C140, ""en"", ""fr"")"),"rat")</f>
        <v>rat</v>
      </c>
      <c r="G140" s="8" t="str">
        <f>IFERROR(__xludf.DUMMYFUNCTION("GOOGLETRANSLATE(C140, ""en"", ""de"")"),"Ratte")</f>
        <v>Ratte</v>
      </c>
      <c r="H140" s="8" t="str">
        <f>IFERROR(__xludf.DUMMYFUNCTION("GOOGLETRANSLATE(C140, ""en"", ""ru"")"),"крыса")</f>
        <v>крыса</v>
      </c>
      <c r="I140" s="8" t="str">
        <f>IFERROR(__xludf.DUMMYFUNCTION("GOOGLETRANSLATE(C140, ""en"", ""ar"")"),"فأر")</f>
        <v>فأر</v>
      </c>
      <c r="J140" s="8"/>
      <c r="K140" s="7" t="str">
        <f>IFERROR(__xludf.DUMMYFUNCTION("CONCAT(REGEXREPLACE(C140,""[ ,]+"",""_""),"".mp3"")"),"rat.mp3")</f>
        <v>rat.mp3</v>
      </c>
      <c r="M140" s="4" t="s">
        <v>10</v>
      </c>
    </row>
    <row r="141" ht="15.75" customHeight="1">
      <c r="A141" s="1">
        <v>1509.0</v>
      </c>
      <c r="B141" s="3">
        <v>142.0</v>
      </c>
      <c r="C141" s="7" t="s">
        <v>207</v>
      </c>
      <c r="D141" s="8" t="str">
        <f>IFERROR(__xludf.DUMMYFUNCTION("GOOGLETRANSLATE(C141, ""en"", ""pt"")"),"peixinho dourado")</f>
        <v>peixinho dourado</v>
      </c>
      <c r="E141" s="8" t="str">
        <f>IFERROR(__xludf.DUMMYFUNCTION("GOOGLETRANSLATE(C141, ""en"", ""es"")"),"pez de colores")</f>
        <v>pez de colores</v>
      </c>
      <c r="F141" s="8" t="str">
        <f>IFERROR(__xludf.DUMMYFUNCTION("GOOGLETRANSLATE(C141, ""en"", ""fr"")"),"poisson rouge")</f>
        <v>poisson rouge</v>
      </c>
      <c r="G141" s="8" t="str">
        <f>IFERROR(__xludf.DUMMYFUNCTION("GOOGLETRANSLATE(C141, ""en"", ""de"")"),"Goldfisch")</f>
        <v>Goldfisch</v>
      </c>
      <c r="H141" s="8" t="str">
        <f>IFERROR(__xludf.DUMMYFUNCTION("GOOGLETRANSLATE(C141, ""en"", ""ru"")"),"золотая рыбка")</f>
        <v>золотая рыбка</v>
      </c>
      <c r="I141" s="8" t="str">
        <f>IFERROR(__xludf.DUMMYFUNCTION("GOOGLETRANSLATE(C141, ""en"", ""ar"")"),"سمك الجولدفيش الذهبي")</f>
        <v>سمك الجولدفيش الذهبي</v>
      </c>
      <c r="J141" s="8"/>
      <c r="K141" s="7" t="str">
        <f>IFERROR(__xludf.DUMMYFUNCTION("CONCAT(REGEXREPLACE(C141,""[ ,]+"",""_""),"".mp3"")"),"goldfish.mp3")</f>
        <v>goldfish.mp3</v>
      </c>
      <c r="M141" s="4" t="s">
        <v>10</v>
      </c>
    </row>
    <row r="142" ht="15.75" customHeight="1">
      <c r="A142" s="1">
        <v>1510.0</v>
      </c>
      <c r="B142" s="3">
        <v>142.0</v>
      </c>
      <c r="C142" s="7" t="s">
        <v>208</v>
      </c>
      <c r="D142" s="8" t="str">
        <f>IFERROR(__xludf.DUMMYFUNCTION("GOOGLETRANSLATE(C142, ""en"", ""pt"")"),"papagaio")</f>
        <v>papagaio</v>
      </c>
      <c r="E142" s="8" t="str">
        <f>IFERROR(__xludf.DUMMYFUNCTION("GOOGLETRANSLATE(C142, ""en"", ""es"")"),"loro")</f>
        <v>loro</v>
      </c>
      <c r="F142" s="8" t="str">
        <f>IFERROR(__xludf.DUMMYFUNCTION("GOOGLETRANSLATE(C142, ""en"", ""fr"")"),"perroquet")</f>
        <v>perroquet</v>
      </c>
      <c r="G142" s="8" t="str">
        <f>IFERROR(__xludf.DUMMYFUNCTION("GOOGLETRANSLATE(C142, ""en"", ""de"")"),"Papagei")</f>
        <v>Papagei</v>
      </c>
      <c r="H142" s="8" t="str">
        <f>IFERROR(__xludf.DUMMYFUNCTION("GOOGLETRANSLATE(C142, ""en"", ""ru"")"),"попугай")</f>
        <v>попугай</v>
      </c>
      <c r="I142" s="8" t="str">
        <f>IFERROR(__xludf.DUMMYFUNCTION("GOOGLETRANSLATE(C142, ""en"", ""ar"")"),"ببغاء")</f>
        <v>ببغاء</v>
      </c>
      <c r="J142" s="8"/>
      <c r="K142" s="7" t="str">
        <f>IFERROR(__xludf.DUMMYFUNCTION("CONCAT(REGEXREPLACE(C142,""[ ,]+"",""_""),"".mp3"")"),"parrot.mp3")</f>
        <v>parrot.mp3</v>
      </c>
      <c r="M142" s="4" t="s">
        <v>10</v>
      </c>
    </row>
    <row r="143" ht="15.75" customHeight="1">
      <c r="A143" s="1">
        <v>1511.0</v>
      </c>
      <c r="B143" s="3">
        <v>142.0</v>
      </c>
      <c r="C143" s="7" t="s">
        <v>209</v>
      </c>
      <c r="D143" s="8" t="str">
        <f>IFERROR(__xludf.DUMMYFUNCTION("GOOGLETRANSLATE(C143, ""en"", ""pt"")"),"canário")</f>
        <v>canário</v>
      </c>
      <c r="E143" s="8" t="str">
        <f>IFERROR(__xludf.DUMMYFUNCTION("GOOGLETRANSLATE(C143, ""en"", ""es"")"),"canario")</f>
        <v>canario</v>
      </c>
      <c r="F143" s="8" t="str">
        <f>IFERROR(__xludf.DUMMYFUNCTION("GOOGLETRANSLATE(C143, ""en"", ""fr"")"),"canari")</f>
        <v>canari</v>
      </c>
      <c r="G143" s="8" t="str">
        <f>IFERROR(__xludf.DUMMYFUNCTION("GOOGLETRANSLATE(C143, ""en"", ""de"")"),"Kanarienvogel")</f>
        <v>Kanarienvogel</v>
      </c>
      <c r="H143" s="8" t="str">
        <f>IFERROR(__xludf.DUMMYFUNCTION("GOOGLETRANSLATE(C143, ""en"", ""ru"")"),"канарейка")</f>
        <v>канарейка</v>
      </c>
      <c r="I143" s="8" t="str">
        <f>IFERROR(__xludf.DUMMYFUNCTION("GOOGLETRANSLATE(C143, ""en"", ""ar"")"),"كناري")</f>
        <v>كناري</v>
      </c>
      <c r="J143" s="8"/>
      <c r="K143" s="7" t="str">
        <f>IFERROR(__xludf.DUMMYFUNCTION("CONCAT(REGEXREPLACE(C143,""[ ,]+"",""_""),"".mp3"")"),"canary.mp3")</f>
        <v>canary.mp3</v>
      </c>
      <c r="M143" s="4" t="s">
        <v>10</v>
      </c>
    </row>
    <row r="144" ht="15.75" customHeight="1">
      <c r="A144" s="1">
        <v>1512.0</v>
      </c>
      <c r="B144" s="3">
        <v>142.0</v>
      </c>
      <c r="C144" s="7" t="s">
        <v>210</v>
      </c>
      <c r="D144" s="8" t="str">
        <f>IFERROR(__xludf.DUMMYFUNCTION("GOOGLETRANSLATE(C144, ""en"", ""pt"")"),"periquito")</f>
        <v>periquito</v>
      </c>
      <c r="E144" s="8" t="str">
        <f>IFERROR(__xludf.DUMMYFUNCTION("GOOGLETRANSLATE(C144, ""en"", ""es"")"),"periquito")</f>
        <v>periquito</v>
      </c>
      <c r="F144" s="8" t="str">
        <f>IFERROR(__xludf.DUMMYFUNCTION("GOOGLETRANSLATE(C144, ""en"", ""fr"")"),"perruche")</f>
        <v>perruche</v>
      </c>
      <c r="G144" s="8" t="str">
        <f>IFERROR(__xludf.DUMMYFUNCTION("GOOGLETRANSLATE(C144, ""en"", ""de"")"),"Wellensittich")</f>
        <v>Wellensittich</v>
      </c>
      <c r="H144" s="8" t="str">
        <f>IFERROR(__xludf.DUMMYFUNCTION("GOOGLETRANSLATE(C144, ""en"", ""ru"")"),"волнистый попугайчик")</f>
        <v>волнистый попугайчик</v>
      </c>
      <c r="I144" s="8" t="str">
        <f>IFERROR(__xludf.DUMMYFUNCTION("GOOGLETRANSLATE(C144, ""en"", ""ar"")"),"ببغاء البادجي")</f>
        <v>ببغاء البادجي</v>
      </c>
      <c r="J144" s="8"/>
      <c r="K144" s="7" t="str">
        <f>IFERROR(__xludf.DUMMYFUNCTION("CONCAT(REGEXREPLACE(C144,""[ ,]+"",""_""),"".mp3"")"),"budgie.mp3")</f>
        <v>budgie.mp3</v>
      </c>
      <c r="M144" s="4" t="s">
        <v>10</v>
      </c>
    </row>
    <row r="145" ht="15.75" customHeight="1">
      <c r="A145" s="1">
        <v>1513.0</v>
      </c>
      <c r="B145" s="3">
        <v>142.0</v>
      </c>
      <c r="C145" s="7" t="s">
        <v>211</v>
      </c>
      <c r="D145" s="8" t="str">
        <f>IFERROR(__xludf.DUMMYFUNCTION("GOOGLETRANSLATE(C145, ""en"", ""pt"")"),"tartaruga")</f>
        <v>tartaruga</v>
      </c>
      <c r="E145" s="8" t="str">
        <f>IFERROR(__xludf.DUMMYFUNCTION("GOOGLETRANSLATE(C145, ""en"", ""es"")"),"tortuga")</f>
        <v>tortuga</v>
      </c>
      <c r="F145" s="8" t="str">
        <f>IFERROR(__xludf.DUMMYFUNCTION("GOOGLETRANSLATE(C145, ""en"", ""fr"")"),"tortue")</f>
        <v>tortue</v>
      </c>
      <c r="G145" s="8" t="str">
        <f>IFERROR(__xludf.DUMMYFUNCTION("GOOGLETRANSLATE(C145, ""en"", ""de"")"),"Schildkröte")</f>
        <v>Schildkröte</v>
      </c>
      <c r="H145" s="8" t="str">
        <f>IFERROR(__xludf.DUMMYFUNCTION("GOOGLETRANSLATE(C145, ""en"", ""ru"")"),"черепаха")</f>
        <v>черепаха</v>
      </c>
      <c r="I145" s="8" t="str">
        <f>IFERROR(__xludf.DUMMYFUNCTION("GOOGLETRANSLATE(C145, ""en"", ""ar"")"),"سلحفاة")</f>
        <v>سلحفاة</v>
      </c>
      <c r="J145" s="8"/>
      <c r="K145" s="7" t="str">
        <f>IFERROR(__xludf.DUMMYFUNCTION("CONCAT(REGEXREPLACE(C145,""[ ,]+"",""_""),"".mp3"")"),"turtle.mp3")</f>
        <v>turtle.mp3</v>
      </c>
      <c r="M145" s="4" t="s">
        <v>10</v>
      </c>
    </row>
    <row r="146" ht="15.75" customHeight="1">
      <c r="A146" s="1">
        <v>1514.0</v>
      </c>
      <c r="B146" s="3">
        <v>142.0</v>
      </c>
      <c r="C146" s="7" t="s">
        <v>212</v>
      </c>
      <c r="D146" s="8" t="str">
        <f>IFERROR(__xludf.DUMMYFUNCTION("GOOGLETRANSLATE(C146, ""en"", ""pt"")"),"cobra")</f>
        <v>cobra</v>
      </c>
      <c r="E146" s="8" t="str">
        <f>IFERROR(__xludf.DUMMYFUNCTION("GOOGLETRANSLATE(C146, ""en"", ""es"")"),"serpiente")</f>
        <v>serpiente</v>
      </c>
      <c r="F146" s="8" t="str">
        <f>IFERROR(__xludf.DUMMYFUNCTION("GOOGLETRANSLATE(C146, ""en"", ""fr"")"),"serpent")</f>
        <v>serpent</v>
      </c>
      <c r="G146" s="8" t="str">
        <f>IFERROR(__xludf.DUMMYFUNCTION("GOOGLETRANSLATE(C146, ""en"", ""de"")"),"Schlange")</f>
        <v>Schlange</v>
      </c>
      <c r="H146" s="8" t="str">
        <f>IFERROR(__xludf.DUMMYFUNCTION("GOOGLETRANSLATE(C146, ""en"", ""ru"")"),"змея")</f>
        <v>змея</v>
      </c>
      <c r="I146" s="8" t="str">
        <f>IFERROR(__xludf.DUMMYFUNCTION("GOOGLETRANSLATE(C146, ""en"", ""ar"")"),"ثعبان")</f>
        <v>ثعبان</v>
      </c>
      <c r="J146" s="8"/>
      <c r="K146" s="7" t="str">
        <f>IFERROR(__xludf.DUMMYFUNCTION("CONCAT(REGEXREPLACE(C146,""[ ,]+"",""_""),"".mp3"")"),"snake.mp3")</f>
        <v>snake.mp3</v>
      </c>
      <c r="M146" s="4" t="s">
        <v>10</v>
      </c>
    </row>
    <row r="147" ht="15.75" customHeight="1">
      <c r="A147" s="1">
        <v>1515.0</v>
      </c>
      <c r="B147" s="3">
        <v>142.0</v>
      </c>
      <c r="C147" s="7" t="s">
        <v>213</v>
      </c>
      <c r="D147" s="8" t="str">
        <f>IFERROR(__xludf.DUMMYFUNCTION("GOOGLETRANSLATE(C147, ""en"", ""pt"")"),"vaca")</f>
        <v>vaca</v>
      </c>
      <c r="E147" s="8" t="str">
        <f>IFERROR(__xludf.DUMMYFUNCTION("GOOGLETRANSLATE(C147, ""en"", ""es"")"),"vaca")</f>
        <v>vaca</v>
      </c>
      <c r="F147" s="8" t="str">
        <f>IFERROR(__xludf.DUMMYFUNCTION("GOOGLETRANSLATE(C147, ""en"", ""fr"")"),"vache")</f>
        <v>vache</v>
      </c>
      <c r="G147" s="8" t="str">
        <f>IFERROR(__xludf.DUMMYFUNCTION("GOOGLETRANSLATE(C147, ""en"", ""de"")"),"Kuh")</f>
        <v>Kuh</v>
      </c>
      <c r="H147" s="8" t="str">
        <f>IFERROR(__xludf.DUMMYFUNCTION("GOOGLETRANSLATE(C147, ""en"", ""ru"")"),"корова")</f>
        <v>корова</v>
      </c>
      <c r="I147" s="8" t="str">
        <f>IFERROR(__xludf.DUMMYFUNCTION("GOOGLETRANSLATE(C147, ""en"", ""ar"")"),"بقرة")</f>
        <v>بقرة</v>
      </c>
      <c r="J147" s="8"/>
      <c r="K147" s="7" t="str">
        <f>IFERROR(__xludf.DUMMYFUNCTION("CONCAT(REGEXREPLACE(C147,""[ ,]+"",""_""),"".mp3"")"),"cow.mp3")</f>
        <v>cow.mp3</v>
      </c>
      <c r="M147" s="4" t="s">
        <v>10</v>
      </c>
    </row>
    <row r="148" ht="15.75" customHeight="1">
      <c r="A148" s="1">
        <v>1516.0</v>
      </c>
      <c r="B148" s="3">
        <v>142.0</v>
      </c>
      <c r="C148" s="7" t="s">
        <v>214</v>
      </c>
      <c r="D148" s="8" t="str">
        <f>IFERROR(__xludf.DUMMYFUNCTION("GOOGLETRANSLATE(C148, ""en"", ""pt"")"),"touro")</f>
        <v>touro</v>
      </c>
      <c r="E148" s="8" t="str">
        <f>IFERROR(__xludf.DUMMYFUNCTION("GOOGLETRANSLATE(C148, ""en"", ""es"")"),"toro")</f>
        <v>toro</v>
      </c>
      <c r="F148" s="8" t="str">
        <f>IFERROR(__xludf.DUMMYFUNCTION("GOOGLETRANSLATE(C148, ""en"", ""fr"")"),"taureau")</f>
        <v>taureau</v>
      </c>
      <c r="G148" s="8" t="str">
        <f>IFERROR(__xludf.DUMMYFUNCTION("GOOGLETRANSLATE(C148, ""en"", ""de"")"),"Stier")</f>
        <v>Stier</v>
      </c>
      <c r="H148" s="8" t="str">
        <f>IFERROR(__xludf.DUMMYFUNCTION("GOOGLETRANSLATE(C148, ""en"", ""ru"")"),"бык")</f>
        <v>бык</v>
      </c>
      <c r="I148" s="8" t="str">
        <f>IFERROR(__xludf.DUMMYFUNCTION("GOOGLETRANSLATE(C148, ""en"", ""ar"")"),"ثور")</f>
        <v>ثور</v>
      </c>
      <c r="J148" s="8"/>
      <c r="K148" s="7" t="str">
        <f>IFERROR(__xludf.DUMMYFUNCTION("CONCAT(REGEXREPLACE(C148,""[ ,]+"",""_""),"".mp3"")"),"bull.mp3")</f>
        <v>bull.mp3</v>
      </c>
      <c r="M148" s="4" t="s">
        <v>10</v>
      </c>
    </row>
    <row r="149" ht="15.75" customHeight="1">
      <c r="A149" s="1">
        <v>1517.0</v>
      </c>
      <c r="B149" s="3">
        <v>142.0</v>
      </c>
      <c r="C149" s="7" t="s">
        <v>215</v>
      </c>
      <c r="D149" s="8" t="str">
        <f>IFERROR(__xludf.DUMMYFUNCTION("GOOGLETRANSLATE(C149, ""en"", ""pt"")"),"panturrilha")</f>
        <v>panturrilha</v>
      </c>
      <c r="E149" s="8" t="str">
        <f>IFERROR(__xludf.DUMMYFUNCTION("GOOGLETRANSLATE(C149, ""en"", ""es"")"),"becerro")</f>
        <v>becerro</v>
      </c>
      <c r="F149" s="8" t="str">
        <f>IFERROR(__xludf.DUMMYFUNCTION("GOOGLETRANSLATE(C149, ""en"", ""fr"")"),"veau")</f>
        <v>veau</v>
      </c>
      <c r="G149" s="8" t="str">
        <f>IFERROR(__xludf.DUMMYFUNCTION("GOOGLETRANSLATE(C149, ""en"", ""de"")"),"Kalb")</f>
        <v>Kalb</v>
      </c>
      <c r="H149" s="8" t="str">
        <f>IFERROR(__xludf.DUMMYFUNCTION("GOOGLETRANSLATE(C149, ""en"", ""ru"")"),"теленок")</f>
        <v>теленок</v>
      </c>
      <c r="I149" s="8" t="str">
        <f>IFERROR(__xludf.DUMMYFUNCTION("GOOGLETRANSLATE(C149, ""en"", ""ar"")"),"عجل")</f>
        <v>عجل</v>
      </c>
      <c r="J149" s="8"/>
      <c r="K149" s="7" t="str">
        <f>IFERROR(__xludf.DUMMYFUNCTION("CONCAT(REGEXREPLACE(C149,""[ ,]+"",""_""),"".mp3"")"),"calf.mp3")</f>
        <v>calf.mp3</v>
      </c>
      <c r="M149" s="4" t="s">
        <v>10</v>
      </c>
    </row>
    <row r="150" ht="15.75" customHeight="1">
      <c r="A150" s="1">
        <v>1518.0</v>
      </c>
      <c r="B150" s="3">
        <v>142.0</v>
      </c>
      <c r="C150" s="7" t="s">
        <v>216</v>
      </c>
      <c r="D150" s="8" t="str">
        <f>IFERROR(__xludf.DUMMYFUNCTION("GOOGLETRANSLATE(C150, ""en"", ""pt"")"),"ovelha")</f>
        <v>ovelha</v>
      </c>
      <c r="E150" s="8" t="str">
        <f>IFERROR(__xludf.DUMMYFUNCTION("GOOGLETRANSLATE(C150, ""en"", ""es"")"),"oveja")</f>
        <v>oveja</v>
      </c>
      <c r="F150" s="8" t="str">
        <f>IFERROR(__xludf.DUMMYFUNCTION("GOOGLETRANSLATE(C150, ""en"", ""fr"")"),"mouton")</f>
        <v>mouton</v>
      </c>
      <c r="G150" s="8" t="str">
        <f>IFERROR(__xludf.DUMMYFUNCTION("GOOGLETRANSLATE(C150, ""en"", ""de"")"),"Schaf")</f>
        <v>Schaf</v>
      </c>
      <c r="H150" s="8" t="str">
        <f>IFERROR(__xludf.DUMMYFUNCTION("GOOGLETRANSLATE(C150, ""en"", ""ru"")"),"овца")</f>
        <v>овца</v>
      </c>
      <c r="I150" s="8" t="str">
        <f>IFERROR(__xludf.DUMMYFUNCTION("GOOGLETRANSLATE(C150, ""en"", ""ar"")"),"غنم")</f>
        <v>غنم</v>
      </c>
      <c r="J150" s="8"/>
      <c r="K150" s="7" t="str">
        <f>IFERROR(__xludf.DUMMYFUNCTION("CONCAT(REGEXREPLACE(C150,""[ ,]+"",""_""),"".mp3"")"),"sheep.mp3")</f>
        <v>sheep.mp3</v>
      </c>
      <c r="M150" s="4" t="s">
        <v>10</v>
      </c>
    </row>
    <row r="151" ht="15.75" customHeight="1">
      <c r="A151" s="1">
        <v>1519.0</v>
      </c>
      <c r="B151" s="3">
        <v>142.0</v>
      </c>
      <c r="C151" s="7" t="s">
        <v>217</v>
      </c>
      <c r="D151" s="8" t="str">
        <f>IFERROR(__xludf.DUMMYFUNCTION("GOOGLETRANSLATE(C151, ""en"", ""pt"")"),"cordeiro")</f>
        <v>cordeiro</v>
      </c>
      <c r="E151" s="8" t="str">
        <f>IFERROR(__xludf.DUMMYFUNCTION("GOOGLETRANSLATE(C151, ""en"", ""es"")"),"cordero")</f>
        <v>cordero</v>
      </c>
      <c r="F151" s="8" t="str">
        <f>IFERROR(__xludf.DUMMYFUNCTION("GOOGLETRANSLATE(C151, ""en"", ""fr"")"),"agneau")</f>
        <v>agneau</v>
      </c>
      <c r="G151" s="8" t="str">
        <f>IFERROR(__xludf.DUMMYFUNCTION("GOOGLETRANSLATE(C151, ""en"", ""de"")"),"Lamm")</f>
        <v>Lamm</v>
      </c>
      <c r="H151" s="8" t="str">
        <f>IFERROR(__xludf.DUMMYFUNCTION("GOOGLETRANSLATE(C151, ""en"", ""ru"")"),"ягненок")</f>
        <v>ягненок</v>
      </c>
      <c r="I151" s="8" t="str">
        <f>IFERROR(__xludf.DUMMYFUNCTION("GOOGLETRANSLATE(C151, ""en"", ""ar"")"),"حمَل")</f>
        <v>حمَل</v>
      </c>
      <c r="J151" s="8"/>
      <c r="K151" s="7" t="str">
        <f>IFERROR(__xludf.DUMMYFUNCTION("CONCAT(REGEXREPLACE(C151,""[ ,]+"",""_""),"".mp3"")"),"lamb.mp3")</f>
        <v>lamb.mp3</v>
      </c>
      <c r="M151" s="4" t="s">
        <v>10</v>
      </c>
    </row>
    <row r="152" ht="15.75" customHeight="1">
      <c r="A152" s="1">
        <v>1520.0</v>
      </c>
      <c r="B152" s="3">
        <v>142.0</v>
      </c>
      <c r="C152" s="7" t="s">
        <v>218</v>
      </c>
      <c r="D152" s="8" t="str">
        <f>IFERROR(__xludf.DUMMYFUNCTION("GOOGLETRANSLATE(C152, ""en"", ""pt"")"),"cabra")</f>
        <v>cabra</v>
      </c>
      <c r="E152" s="8" t="str">
        <f>IFERROR(__xludf.DUMMYFUNCTION("GOOGLETRANSLATE(C152, ""en"", ""es"")"),"cabra")</f>
        <v>cabra</v>
      </c>
      <c r="F152" s="8" t="str">
        <f>IFERROR(__xludf.DUMMYFUNCTION("GOOGLETRANSLATE(C152, ""en"", ""fr"")"),"chèvre")</f>
        <v>chèvre</v>
      </c>
      <c r="G152" s="8" t="str">
        <f>IFERROR(__xludf.DUMMYFUNCTION("GOOGLETRANSLATE(C152, ""en"", ""de"")"),"Ziege")</f>
        <v>Ziege</v>
      </c>
      <c r="H152" s="8" t="str">
        <f>IFERROR(__xludf.DUMMYFUNCTION("GOOGLETRANSLATE(C152, ""en"", ""ru"")"),"козел")</f>
        <v>козел</v>
      </c>
      <c r="I152" s="8" t="str">
        <f>IFERROR(__xludf.DUMMYFUNCTION("GOOGLETRANSLATE(C152, ""en"", ""ar"")"),"معزة")</f>
        <v>معزة</v>
      </c>
      <c r="J152" s="8"/>
      <c r="K152" s="7" t="str">
        <f>IFERROR(__xludf.DUMMYFUNCTION("CONCAT(REGEXREPLACE(C152,""[ ,]+"",""_""),"".mp3"")"),"goat.mp3")</f>
        <v>goat.mp3</v>
      </c>
      <c r="M152" s="4" t="s">
        <v>10</v>
      </c>
    </row>
    <row r="153" ht="15.75" customHeight="1">
      <c r="A153" s="1">
        <v>1521.0</v>
      </c>
      <c r="B153" s="3">
        <v>142.0</v>
      </c>
      <c r="C153" s="3" t="s">
        <v>219</v>
      </c>
      <c r="D153" s="8" t="str">
        <f>IFERROR(__xludf.DUMMYFUNCTION("GOOGLETRANSLATE(C153, ""en"", ""pt"")"),"cabrito, cabrito bebê")</f>
        <v>cabrito, cabrito bebê</v>
      </c>
      <c r="E153" s="8" t="str">
        <f>IFERROR(__xludf.DUMMYFUNCTION("GOOGLETRANSLATE(C153, ""en"", ""es"")"),"cabrito, cabrita")</f>
        <v>cabrito, cabrita</v>
      </c>
      <c r="F153" s="8" t="str">
        <f>IFERROR(__xludf.DUMMYFUNCTION("GOOGLETRANSLATE(C153, ""en"", ""fr"")"),"chevreau, bébé chèvre")</f>
        <v>chevreau, bébé chèvre</v>
      </c>
      <c r="G153" s="8" t="str">
        <f>IFERROR(__xludf.DUMMYFUNCTION("GOOGLETRANSLATE(C153, ""en"", ""de"")"),"Zicklein, Ziegenbaby")</f>
        <v>Zicklein, Ziegenbaby</v>
      </c>
      <c r="H153" s="8" t="str">
        <f>IFERROR(__xludf.DUMMYFUNCTION("GOOGLETRANSLATE(C153, ""en"", ""ru"")"),"козлёнок, маленький козлёнок")</f>
        <v>козлёнок, маленький козлёнок</v>
      </c>
      <c r="I153" s="8" t="str">
        <f>IFERROR(__xludf.DUMMYFUNCTION("GOOGLETRANSLATE(C153, ""en"", ""ar"")"),"جدي، جدي صغير")</f>
        <v>جدي، جدي صغير</v>
      </c>
      <c r="J153" s="8"/>
      <c r="K153" s="7" t="str">
        <f>IFERROR(__xludf.DUMMYFUNCTION("CONCAT(REGEXREPLACE(C153,""[ ,]+"",""_""),"".mp3"")"),"kid_baby_goat.mp3")</f>
        <v>kid_baby_goat.mp3</v>
      </c>
      <c r="M153" s="4" t="s">
        <v>10</v>
      </c>
    </row>
    <row r="154" ht="15.75" customHeight="1">
      <c r="A154" s="1">
        <v>1522.0</v>
      </c>
      <c r="B154" s="3">
        <v>142.0</v>
      </c>
      <c r="C154" s="7" t="s">
        <v>220</v>
      </c>
      <c r="D154" s="8" t="str">
        <f>IFERROR(__xludf.DUMMYFUNCTION("GOOGLETRANSLATE(C154, ""en"", ""pt"")"),"porco")</f>
        <v>porco</v>
      </c>
      <c r="E154" s="8" t="str">
        <f>IFERROR(__xludf.DUMMYFUNCTION("GOOGLETRANSLATE(C154, ""en"", ""es"")"),"cerdo")</f>
        <v>cerdo</v>
      </c>
      <c r="F154" s="8" t="str">
        <f>IFERROR(__xludf.DUMMYFUNCTION("GOOGLETRANSLATE(C154, ""en"", ""fr"")"),"cochon")</f>
        <v>cochon</v>
      </c>
      <c r="G154" s="8" t="str">
        <f>IFERROR(__xludf.DUMMYFUNCTION("GOOGLETRANSLATE(C154, ""en"", ""de"")"),"Schwein")</f>
        <v>Schwein</v>
      </c>
      <c r="H154" s="8" t="str">
        <f>IFERROR(__xludf.DUMMYFUNCTION("GOOGLETRANSLATE(C154, ""en"", ""ru"")"),"свинья")</f>
        <v>свинья</v>
      </c>
      <c r="I154" s="8" t="str">
        <f>IFERROR(__xludf.DUMMYFUNCTION("GOOGLETRANSLATE(C154, ""en"", ""ar"")"),"خنزير")</f>
        <v>خنزير</v>
      </c>
      <c r="J154" s="8"/>
      <c r="K154" s="7" t="str">
        <f>IFERROR(__xludf.DUMMYFUNCTION("CONCAT(REGEXREPLACE(C154,""[ ,]+"",""_""),"".mp3"")"),"pig.mp3")</f>
        <v>pig.mp3</v>
      </c>
      <c r="M154" s="4" t="s">
        <v>10</v>
      </c>
    </row>
    <row r="155" ht="15.75" customHeight="1">
      <c r="A155" s="1">
        <v>1523.0</v>
      </c>
      <c r="B155" s="3">
        <v>142.0</v>
      </c>
      <c r="C155" s="7" t="s">
        <v>221</v>
      </c>
      <c r="D155" s="8" t="str">
        <f>IFERROR(__xludf.DUMMYFUNCTION("GOOGLETRANSLATE(C155, ""en"", ""pt"")"),"leitão")</f>
        <v>leitão</v>
      </c>
      <c r="E155" s="8" t="str">
        <f>IFERROR(__xludf.DUMMYFUNCTION("GOOGLETRANSLATE(C155, ""en"", ""es"")"),"cerdito")</f>
        <v>cerdito</v>
      </c>
      <c r="F155" s="8" t="str">
        <f>IFERROR(__xludf.DUMMYFUNCTION("GOOGLETRANSLATE(C155, ""en"", ""fr"")"),"porcelet")</f>
        <v>porcelet</v>
      </c>
      <c r="G155" s="8" t="str">
        <f>IFERROR(__xludf.DUMMYFUNCTION("GOOGLETRANSLATE(C155, ""en"", ""de"")"),"Ferkel")</f>
        <v>Ferkel</v>
      </c>
      <c r="H155" s="8" t="str">
        <f>IFERROR(__xludf.DUMMYFUNCTION("GOOGLETRANSLATE(C155, ""en"", ""ru"")"),"поросёнок")</f>
        <v>поросёнок</v>
      </c>
      <c r="I155" s="8" t="str">
        <f>IFERROR(__xludf.DUMMYFUNCTION("GOOGLETRANSLATE(C155, ""en"", ""ar"")"),"خنزير صغير")</f>
        <v>خنزير صغير</v>
      </c>
      <c r="J155" s="8"/>
      <c r="K155" s="7" t="str">
        <f>IFERROR(__xludf.DUMMYFUNCTION("CONCAT(REGEXREPLACE(C155,""[ ,]+"",""_""),"".mp3"")"),"piglet.mp3")</f>
        <v>piglet.mp3</v>
      </c>
      <c r="M155" s="4" t="s">
        <v>10</v>
      </c>
    </row>
    <row r="156" ht="15.75" customHeight="1">
      <c r="A156" s="1">
        <v>1524.0</v>
      </c>
      <c r="B156" s="3">
        <v>142.0</v>
      </c>
      <c r="C156" s="7" t="s">
        <v>222</v>
      </c>
      <c r="D156" s="8" t="str">
        <f>IFERROR(__xludf.DUMMYFUNCTION("GOOGLETRANSLATE(C156, ""en"", ""pt"")"),"cavalo")</f>
        <v>cavalo</v>
      </c>
      <c r="E156" s="8" t="str">
        <f>IFERROR(__xludf.DUMMYFUNCTION("GOOGLETRANSLATE(C156, ""en"", ""es"")"),"caballo")</f>
        <v>caballo</v>
      </c>
      <c r="F156" s="8" t="str">
        <f>IFERROR(__xludf.DUMMYFUNCTION("GOOGLETRANSLATE(C156, ""en"", ""fr"")"),"cheval")</f>
        <v>cheval</v>
      </c>
      <c r="G156" s="8" t="str">
        <f>IFERROR(__xludf.DUMMYFUNCTION("GOOGLETRANSLATE(C156, ""en"", ""de"")"),"Pferd")</f>
        <v>Pferd</v>
      </c>
      <c r="H156" s="8" t="str">
        <f>IFERROR(__xludf.DUMMYFUNCTION("GOOGLETRANSLATE(C156, ""en"", ""ru"")"),"лошадь")</f>
        <v>лошадь</v>
      </c>
      <c r="I156" s="8" t="str">
        <f>IFERROR(__xludf.DUMMYFUNCTION("GOOGLETRANSLATE(C156, ""en"", ""ar"")"),"حصان")</f>
        <v>حصان</v>
      </c>
      <c r="J156" s="8"/>
      <c r="K156" s="7" t="str">
        <f>IFERROR(__xludf.DUMMYFUNCTION("CONCAT(REGEXREPLACE(C156,""[ ,]+"",""_""),"".mp3"")"),"horse.mp3")</f>
        <v>horse.mp3</v>
      </c>
      <c r="M156" s="4" t="s">
        <v>10</v>
      </c>
    </row>
    <row r="157" ht="15.75" customHeight="1">
      <c r="A157" s="1">
        <v>1525.0</v>
      </c>
      <c r="B157" s="3">
        <v>142.0</v>
      </c>
      <c r="C157" s="7" t="s">
        <v>223</v>
      </c>
      <c r="D157" s="8" t="str">
        <f>IFERROR(__xludf.DUMMYFUNCTION("GOOGLETRANSLATE(C157, ""en"", ""pt"")"),"potro")</f>
        <v>potro</v>
      </c>
      <c r="E157" s="8" t="str">
        <f>IFERROR(__xludf.DUMMYFUNCTION("GOOGLETRANSLATE(C157, ""en"", ""es"")"),"potro")</f>
        <v>potro</v>
      </c>
      <c r="F157" s="8" t="str">
        <f>IFERROR(__xludf.DUMMYFUNCTION("GOOGLETRANSLATE(C157, ""en"", ""fr"")"),"poulain")</f>
        <v>poulain</v>
      </c>
      <c r="G157" s="8" t="str">
        <f>IFERROR(__xludf.DUMMYFUNCTION("GOOGLETRANSLATE(C157, ""en"", ""de"")"),"Fohlen")</f>
        <v>Fohlen</v>
      </c>
      <c r="H157" s="8" t="str">
        <f>IFERROR(__xludf.DUMMYFUNCTION("GOOGLETRANSLATE(C157, ""en"", ""ru"")"),"жеребенок")</f>
        <v>жеребенок</v>
      </c>
      <c r="I157" s="8" t="str">
        <f>IFERROR(__xludf.DUMMYFUNCTION("GOOGLETRANSLATE(C157, ""en"", ""ar"")"),"المهر")</f>
        <v>المهر</v>
      </c>
      <c r="J157" s="8"/>
      <c r="K157" s="7" t="str">
        <f>IFERROR(__xludf.DUMMYFUNCTION("CONCAT(REGEXREPLACE(C157,""[ ,]+"",""_""),"".mp3"")"),"foal.mp3")</f>
        <v>foal.mp3</v>
      </c>
      <c r="M157" s="4" t="s">
        <v>10</v>
      </c>
    </row>
    <row r="158" ht="15.75" customHeight="1">
      <c r="A158" s="1">
        <v>1526.0</v>
      </c>
      <c r="B158" s="3">
        <v>142.0</v>
      </c>
      <c r="C158" s="7" t="s">
        <v>224</v>
      </c>
      <c r="D158" s="8" t="str">
        <f>IFERROR(__xludf.DUMMYFUNCTION("GOOGLETRANSLATE(C158, ""en"", ""pt"")"),"burro")</f>
        <v>burro</v>
      </c>
      <c r="E158" s="8" t="str">
        <f>IFERROR(__xludf.DUMMYFUNCTION("GOOGLETRANSLATE(C158, ""en"", ""es"")"),"burro")</f>
        <v>burro</v>
      </c>
      <c r="F158" s="8" t="str">
        <f>IFERROR(__xludf.DUMMYFUNCTION("GOOGLETRANSLATE(C158, ""en"", ""fr"")"),"âne")</f>
        <v>âne</v>
      </c>
      <c r="G158" s="8" t="str">
        <f>IFERROR(__xludf.DUMMYFUNCTION("GOOGLETRANSLATE(C158, ""en"", ""de"")"),"Esel")</f>
        <v>Esel</v>
      </c>
      <c r="H158" s="8" t="str">
        <f>IFERROR(__xludf.DUMMYFUNCTION("GOOGLETRANSLATE(C158, ""en"", ""ru"")"),"осел")</f>
        <v>осел</v>
      </c>
      <c r="I158" s="8" t="str">
        <f>IFERROR(__xludf.DUMMYFUNCTION("GOOGLETRANSLATE(C158, ""en"", ""ar"")"),"حمار")</f>
        <v>حمار</v>
      </c>
      <c r="J158" s="8"/>
      <c r="K158" s="7" t="str">
        <f>IFERROR(__xludf.DUMMYFUNCTION("CONCAT(REGEXREPLACE(C158,""[ ,]+"",""_""),"".mp3"")"),"donkey.mp3")</f>
        <v>donkey.mp3</v>
      </c>
      <c r="M158" s="4" t="s">
        <v>10</v>
      </c>
    </row>
    <row r="159" ht="15.75" customHeight="1">
      <c r="A159" s="1">
        <v>1527.0</v>
      </c>
      <c r="B159" s="3">
        <v>142.0</v>
      </c>
      <c r="C159" s="7" t="s">
        <v>225</v>
      </c>
      <c r="D159" s="8" t="str">
        <f>IFERROR(__xludf.DUMMYFUNCTION("GOOGLETRANSLATE(C159, ""en"", ""pt"")"),"mula")</f>
        <v>mula</v>
      </c>
      <c r="E159" s="8" t="str">
        <f>IFERROR(__xludf.DUMMYFUNCTION("GOOGLETRANSLATE(C159, ""en"", ""es"")"),"mula")</f>
        <v>mula</v>
      </c>
      <c r="F159" s="8" t="str">
        <f>IFERROR(__xludf.DUMMYFUNCTION("GOOGLETRANSLATE(C159, ""en"", ""fr"")"),"mule")</f>
        <v>mule</v>
      </c>
      <c r="G159" s="8" t="str">
        <f>IFERROR(__xludf.DUMMYFUNCTION("GOOGLETRANSLATE(C159, ""en"", ""de"")"),"Maultier")</f>
        <v>Maultier</v>
      </c>
      <c r="H159" s="8" t="str">
        <f>IFERROR(__xludf.DUMMYFUNCTION("GOOGLETRANSLATE(C159, ""en"", ""ru"")"),"мул")</f>
        <v>мул</v>
      </c>
      <c r="I159" s="8" t="str">
        <f>IFERROR(__xludf.DUMMYFUNCTION("GOOGLETRANSLATE(C159, ""en"", ""ar"")"),"بغل")</f>
        <v>بغل</v>
      </c>
      <c r="J159" s="8"/>
      <c r="K159" s="7" t="str">
        <f>IFERROR(__xludf.DUMMYFUNCTION("CONCAT(REGEXREPLACE(C159,""[ ,]+"",""_""),"".mp3"")"),"mule.mp3")</f>
        <v>mule.mp3</v>
      </c>
      <c r="M159" s="4" t="s">
        <v>10</v>
      </c>
    </row>
    <row r="160" ht="15.75" customHeight="1">
      <c r="A160" s="1">
        <v>1528.0</v>
      </c>
      <c r="B160" s="3">
        <v>142.0</v>
      </c>
      <c r="C160" s="7" t="s">
        <v>226</v>
      </c>
      <c r="D160" s="8" t="str">
        <f>IFERROR(__xludf.DUMMYFUNCTION("GOOGLETRANSLATE(C160, ""en"", ""pt"")"),"boi")</f>
        <v>boi</v>
      </c>
      <c r="E160" s="8" t="str">
        <f>IFERROR(__xludf.DUMMYFUNCTION("GOOGLETRANSLATE(C160, ""en"", ""es"")"),"buey")</f>
        <v>buey</v>
      </c>
      <c r="F160" s="8" t="str">
        <f>IFERROR(__xludf.DUMMYFUNCTION("GOOGLETRANSLATE(C160, ""en"", ""fr"")"),"bœuf")</f>
        <v>bœuf</v>
      </c>
      <c r="G160" s="8" t="str">
        <f>IFERROR(__xludf.DUMMYFUNCTION("GOOGLETRANSLATE(C160, ""en"", ""de"")"),"Ochse")</f>
        <v>Ochse</v>
      </c>
      <c r="H160" s="8" t="str">
        <f>IFERROR(__xludf.DUMMYFUNCTION("GOOGLETRANSLATE(C160, ""en"", ""ru"")"),"бык")</f>
        <v>бык</v>
      </c>
      <c r="I160" s="8" t="str">
        <f>IFERROR(__xludf.DUMMYFUNCTION("GOOGLETRANSLATE(C160, ""en"", ""ar"")"),"ثور")</f>
        <v>ثور</v>
      </c>
      <c r="J160" s="8"/>
      <c r="K160" s="7" t="str">
        <f>IFERROR(__xludf.DUMMYFUNCTION("CONCAT(REGEXREPLACE(C160,""[ ,]+"",""_""),"".mp3"")"),"ox.mp3")</f>
        <v>ox.mp3</v>
      </c>
      <c r="M160" s="4" t="s">
        <v>10</v>
      </c>
    </row>
    <row r="161" ht="15.75" customHeight="1">
      <c r="A161" s="1">
        <v>1529.0</v>
      </c>
      <c r="B161" s="3">
        <v>142.0</v>
      </c>
      <c r="C161" s="7" t="s">
        <v>227</v>
      </c>
      <c r="D161" s="8" t="str">
        <f>IFERROR(__xludf.DUMMYFUNCTION("GOOGLETRANSLATE(C161, ""en"", ""pt"")"),"frango")</f>
        <v>frango</v>
      </c>
      <c r="E161" s="8" t="str">
        <f>IFERROR(__xludf.DUMMYFUNCTION("GOOGLETRANSLATE(C161, ""en"", ""es"")"),"pollo")</f>
        <v>pollo</v>
      </c>
      <c r="F161" s="8" t="str">
        <f>IFERROR(__xludf.DUMMYFUNCTION("GOOGLETRANSLATE(C161, ""en"", ""fr"")"),"poulet")</f>
        <v>poulet</v>
      </c>
      <c r="G161" s="8" t="str">
        <f>IFERROR(__xludf.DUMMYFUNCTION("GOOGLETRANSLATE(C161, ""en"", ""de"")"),"Huhn")</f>
        <v>Huhn</v>
      </c>
      <c r="H161" s="8" t="str">
        <f>IFERROR(__xludf.DUMMYFUNCTION("GOOGLETRANSLATE(C161, ""en"", ""ru"")"),"курица")</f>
        <v>курица</v>
      </c>
      <c r="I161" s="8" t="str">
        <f>IFERROR(__xludf.DUMMYFUNCTION("GOOGLETRANSLATE(C161, ""en"", ""ar"")"),"فرخة")</f>
        <v>فرخة</v>
      </c>
      <c r="J161" s="8"/>
      <c r="K161" s="7" t="str">
        <f>IFERROR(__xludf.DUMMYFUNCTION("CONCAT(REGEXREPLACE(C161,""[ ,]+"",""_""),"".mp3"")"),"chicken.mp3")</f>
        <v>chicken.mp3</v>
      </c>
      <c r="M161" s="4" t="s">
        <v>10</v>
      </c>
    </row>
    <row r="162" ht="15.75" customHeight="1">
      <c r="A162" s="1">
        <v>1530.0</v>
      </c>
      <c r="B162" s="3">
        <v>142.0</v>
      </c>
      <c r="C162" s="7" t="s">
        <v>228</v>
      </c>
      <c r="D162" s="8" t="str">
        <f>IFERROR(__xludf.DUMMYFUNCTION("GOOGLETRANSLATE(C162, ""en"", ""pt"")"),"galinha")</f>
        <v>galinha</v>
      </c>
      <c r="E162" s="8" t="str">
        <f>IFERROR(__xludf.DUMMYFUNCTION("GOOGLETRANSLATE(C162, ""en"", ""es"")"),"gallina")</f>
        <v>gallina</v>
      </c>
      <c r="F162" s="8" t="str">
        <f>IFERROR(__xludf.DUMMYFUNCTION("GOOGLETRANSLATE(C162, ""en"", ""fr"")"),"poule")</f>
        <v>poule</v>
      </c>
      <c r="G162" s="8" t="str">
        <f>IFERROR(__xludf.DUMMYFUNCTION("GOOGLETRANSLATE(C162, ""en"", ""de"")"),"Henne")</f>
        <v>Henne</v>
      </c>
      <c r="H162" s="8" t="str">
        <f>IFERROR(__xludf.DUMMYFUNCTION("GOOGLETRANSLATE(C162, ""en"", ""ru"")"),"курица")</f>
        <v>курица</v>
      </c>
      <c r="I162" s="8" t="str">
        <f>IFERROR(__xludf.DUMMYFUNCTION("GOOGLETRANSLATE(C162, ""en"", ""ar"")"),"دجاجة")</f>
        <v>دجاجة</v>
      </c>
      <c r="J162" s="8"/>
      <c r="K162" s="7" t="str">
        <f>IFERROR(__xludf.DUMMYFUNCTION("CONCAT(REGEXREPLACE(C162,""[ ,]+"",""_""),"".mp3"")"),"hen.mp3")</f>
        <v>hen.mp3</v>
      </c>
      <c r="M162" s="4" t="s">
        <v>10</v>
      </c>
    </row>
    <row r="163" ht="15.75" customHeight="1">
      <c r="A163" s="1">
        <v>1531.0</v>
      </c>
      <c r="B163" s="3">
        <v>142.0</v>
      </c>
      <c r="C163" s="7" t="s">
        <v>229</v>
      </c>
      <c r="D163" s="8" t="str">
        <f>IFERROR(__xludf.DUMMYFUNCTION("GOOGLETRANSLATE(C163, ""en"", ""pt"")"),"galo")</f>
        <v>galo</v>
      </c>
      <c r="E163" s="8" t="str">
        <f>IFERROR(__xludf.DUMMYFUNCTION("GOOGLETRANSLATE(C163, ""en"", ""es"")"),"gallo")</f>
        <v>gallo</v>
      </c>
      <c r="F163" s="8" t="str">
        <f>IFERROR(__xludf.DUMMYFUNCTION("GOOGLETRANSLATE(C163, ""en"", ""fr"")"),"coq")</f>
        <v>coq</v>
      </c>
      <c r="G163" s="8" t="str">
        <f>IFERROR(__xludf.DUMMYFUNCTION("GOOGLETRANSLATE(C163, ""en"", ""de"")"),"Hahn")</f>
        <v>Hahn</v>
      </c>
      <c r="H163" s="8" t="str">
        <f>IFERROR(__xludf.DUMMYFUNCTION("GOOGLETRANSLATE(C163, ""en"", ""ru"")"),"петух")</f>
        <v>петух</v>
      </c>
      <c r="I163" s="8" t="str">
        <f>IFERROR(__xludf.DUMMYFUNCTION("GOOGLETRANSLATE(C163, ""en"", ""ar"")"),"ديك")</f>
        <v>ديك</v>
      </c>
      <c r="J163" s="8"/>
      <c r="K163" s="7" t="str">
        <f>IFERROR(__xludf.DUMMYFUNCTION("CONCAT(REGEXREPLACE(C163,""[ ,]+"",""_""),"".mp3"")"),"rooster.mp3")</f>
        <v>rooster.mp3</v>
      </c>
      <c r="M163" s="4" t="s">
        <v>10</v>
      </c>
    </row>
    <row r="164" ht="15.75" customHeight="1">
      <c r="A164" s="1">
        <v>1532.0</v>
      </c>
      <c r="B164" s="3">
        <v>142.0</v>
      </c>
      <c r="C164" s="7" t="s">
        <v>230</v>
      </c>
      <c r="D164" s="8" t="str">
        <f>IFERROR(__xludf.DUMMYFUNCTION("GOOGLETRANSLATE(C164, ""en"", ""pt"")"),"pintinho")</f>
        <v>pintinho</v>
      </c>
      <c r="E164" s="8" t="str">
        <f>IFERROR(__xludf.DUMMYFUNCTION("GOOGLETRANSLATE(C164, ""en"", ""es"")"),"polluelo")</f>
        <v>polluelo</v>
      </c>
      <c r="F164" s="8" t="str">
        <f>IFERROR(__xludf.DUMMYFUNCTION("GOOGLETRANSLATE(C164, ""en"", ""fr"")"),"poussin")</f>
        <v>poussin</v>
      </c>
      <c r="G164" s="8" t="str">
        <f>IFERROR(__xludf.DUMMYFUNCTION("GOOGLETRANSLATE(C164, ""en"", ""de"")"),"Küken")</f>
        <v>Küken</v>
      </c>
      <c r="H164" s="8" t="str">
        <f>IFERROR(__xludf.DUMMYFUNCTION("GOOGLETRANSLATE(C164, ""en"", ""ru"")"),"цыпленок")</f>
        <v>цыпленок</v>
      </c>
      <c r="I164" s="8" t="str">
        <f>IFERROR(__xludf.DUMMYFUNCTION("GOOGLETRANSLATE(C164, ""en"", ""ar"")"),"كتكوت")</f>
        <v>كتكوت</v>
      </c>
      <c r="J164" s="8"/>
      <c r="K164" s="7" t="str">
        <f>IFERROR(__xludf.DUMMYFUNCTION("CONCAT(REGEXREPLACE(C164,""[ ,]+"",""_""),"".mp3"")"),"chick.mp3")</f>
        <v>chick.mp3</v>
      </c>
      <c r="M164" s="4" t="s">
        <v>10</v>
      </c>
    </row>
    <row r="165" ht="15.75" customHeight="1">
      <c r="A165" s="1">
        <v>1533.0</v>
      </c>
      <c r="B165" s="3">
        <v>142.0</v>
      </c>
      <c r="C165" s="7" t="s">
        <v>231</v>
      </c>
      <c r="D165" s="8" t="str">
        <f>IFERROR(__xludf.DUMMYFUNCTION("GOOGLETRANSLATE(C165, ""en"", ""pt"")"),"pato")</f>
        <v>pato</v>
      </c>
      <c r="E165" s="8" t="str">
        <f>IFERROR(__xludf.DUMMYFUNCTION("GOOGLETRANSLATE(C165, ""en"", ""es"")"),"pato")</f>
        <v>pato</v>
      </c>
      <c r="F165" s="8" t="str">
        <f>IFERROR(__xludf.DUMMYFUNCTION("GOOGLETRANSLATE(C165, ""en"", ""fr"")"),"canard")</f>
        <v>canard</v>
      </c>
      <c r="G165" s="8" t="str">
        <f>IFERROR(__xludf.DUMMYFUNCTION("GOOGLETRANSLATE(C165, ""en"", ""de"")"),"Ente")</f>
        <v>Ente</v>
      </c>
      <c r="H165" s="8" t="str">
        <f>IFERROR(__xludf.DUMMYFUNCTION("GOOGLETRANSLATE(C165, ""en"", ""ru"")"),"утка")</f>
        <v>утка</v>
      </c>
      <c r="I165" s="8" t="str">
        <f>IFERROR(__xludf.DUMMYFUNCTION("GOOGLETRANSLATE(C165, ""en"", ""ar"")"),"بطة")</f>
        <v>بطة</v>
      </c>
      <c r="J165" s="8"/>
      <c r="K165" s="7" t="str">
        <f>IFERROR(__xludf.DUMMYFUNCTION("CONCAT(REGEXREPLACE(C165,""[ ,]+"",""_""),"".mp3"")"),"duck.mp3")</f>
        <v>duck.mp3</v>
      </c>
      <c r="M165" s="4" t="s">
        <v>10</v>
      </c>
    </row>
    <row r="166" ht="15.75" customHeight="1">
      <c r="A166" s="1">
        <v>1534.0</v>
      </c>
      <c r="B166" s="3">
        <v>142.0</v>
      </c>
      <c r="C166" s="7" t="s">
        <v>232</v>
      </c>
      <c r="D166" s="8" t="str">
        <f>IFERROR(__xludf.DUMMYFUNCTION("GOOGLETRANSLATE(C166, ""en"", ""pt"")"),"patinho")</f>
        <v>patinho</v>
      </c>
      <c r="E166" s="8" t="str">
        <f>IFERROR(__xludf.DUMMYFUNCTION("GOOGLETRANSLATE(C166, ""en"", ""es"")"),"anadón")</f>
        <v>anadón</v>
      </c>
      <c r="F166" s="8" t="str">
        <f>IFERROR(__xludf.DUMMYFUNCTION("GOOGLETRANSLATE(C166, ""en"", ""fr"")"),"caneton")</f>
        <v>caneton</v>
      </c>
      <c r="G166" s="8" t="str">
        <f>IFERROR(__xludf.DUMMYFUNCTION("GOOGLETRANSLATE(C166, ""en"", ""de"")"),"Entlein")</f>
        <v>Entlein</v>
      </c>
      <c r="H166" s="8" t="str">
        <f>IFERROR(__xludf.DUMMYFUNCTION("GOOGLETRANSLATE(C166, ""en"", ""ru"")"),"утенок")</f>
        <v>утенок</v>
      </c>
      <c r="I166" s="8" t="str">
        <f>IFERROR(__xludf.DUMMYFUNCTION("GOOGLETRANSLATE(C166, ""en"", ""ar"")"),"البطيطة")</f>
        <v>البطيطة</v>
      </c>
      <c r="J166" s="8"/>
      <c r="K166" s="7" t="str">
        <f>IFERROR(__xludf.DUMMYFUNCTION("CONCAT(REGEXREPLACE(C166,""[ ,]+"",""_""),"".mp3"")"),"duckling.mp3")</f>
        <v>duckling.mp3</v>
      </c>
      <c r="M166" s="4" t="s">
        <v>10</v>
      </c>
    </row>
    <row r="167" ht="15.75" customHeight="1">
      <c r="A167" s="1">
        <v>1535.0</v>
      </c>
      <c r="B167" s="3">
        <v>142.0</v>
      </c>
      <c r="C167" s="7" t="s">
        <v>233</v>
      </c>
      <c r="D167" s="8" t="str">
        <f>IFERROR(__xludf.DUMMYFUNCTION("GOOGLETRANSLATE(C167, ""en"", ""pt"")"),"ganso")</f>
        <v>ganso</v>
      </c>
      <c r="E167" s="8" t="str">
        <f>IFERROR(__xludf.DUMMYFUNCTION("GOOGLETRANSLATE(C167, ""en"", ""es"")"),"ganso")</f>
        <v>ganso</v>
      </c>
      <c r="F167" s="8" t="str">
        <f>IFERROR(__xludf.DUMMYFUNCTION("GOOGLETRANSLATE(C167, ""en"", ""fr"")"),"oie")</f>
        <v>oie</v>
      </c>
      <c r="G167" s="8" t="str">
        <f>IFERROR(__xludf.DUMMYFUNCTION("GOOGLETRANSLATE(C167, ""en"", ""de"")"),"Gans")</f>
        <v>Gans</v>
      </c>
      <c r="H167" s="8" t="str">
        <f>IFERROR(__xludf.DUMMYFUNCTION("GOOGLETRANSLATE(C167, ""en"", ""ru"")"),"Гусь")</f>
        <v>Гусь</v>
      </c>
      <c r="I167" s="8" t="str">
        <f>IFERROR(__xludf.DUMMYFUNCTION("GOOGLETRANSLATE(C167, ""en"", ""ar"")"),"أوزة")</f>
        <v>أوزة</v>
      </c>
      <c r="J167" s="8"/>
      <c r="K167" s="7" t="str">
        <f>IFERROR(__xludf.DUMMYFUNCTION("CONCAT(REGEXREPLACE(C167,""[ ,]+"",""_""),"".mp3"")"),"goose.mp3")</f>
        <v>goose.mp3</v>
      </c>
      <c r="M167" s="4" t="s">
        <v>10</v>
      </c>
    </row>
    <row r="168" ht="15.75" customHeight="1">
      <c r="A168" s="1">
        <v>1536.0</v>
      </c>
      <c r="B168" s="3">
        <v>142.0</v>
      </c>
      <c r="C168" s="7" t="s">
        <v>234</v>
      </c>
      <c r="D168" s="8" t="str">
        <f>IFERROR(__xludf.DUMMYFUNCTION("GOOGLETRANSLATE(C168, ""en"", ""pt"")"),"gansinho")</f>
        <v>gansinho</v>
      </c>
      <c r="E168" s="8" t="str">
        <f>IFERROR(__xludf.DUMMYFUNCTION("GOOGLETRANSLATE(C168, ""en"", ""es"")"),"ansarino")</f>
        <v>ansarino</v>
      </c>
      <c r="F168" s="8" t="str">
        <f>IFERROR(__xludf.DUMMYFUNCTION("GOOGLETRANSLATE(C168, ""en"", ""fr"")"),"oison")</f>
        <v>oison</v>
      </c>
      <c r="G168" s="8" t="str">
        <f>IFERROR(__xludf.DUMMYFUNCTION("GOOGLETRANSLATE(C168, ""en"", ""de"")"),"Gänschen")</f>
        <v>Gänschen</v>
      </c>
      <c r="H168" s="8" t="str">
        <f>IFERROR(__xludf.DUMMYFUNCTION("GOOGLETRANSLATE(C168, ""en"", ""ru"")"),"гусенок")</f>
        <v>гусенок</v>
      </c>
      <c r="I168" s="8" t="str">
        <f>IFERROR(__xludf.DUMMYFUNCTION("GOOGLETRANSLATE(C168, ""en"", ""ar"")"),"فرخ الإوز")</f>
        <v>فرخ الإوز</v>
      </c>
      <c r="J168" s="8"/>
      <c r="K168" s="7" t="str">
        <f>IFERROR(__xludf.DUMMYFUNCTION("CONCAT(REGEXREPLACE(C168,""[ ,]+"",""_""),"".mp3"")"),"gosling.mp3")</f>
        <v>gosling.mp3</v>
      </c>
      <c r="M168" s="4" t="s">
        <v>10</v>
      </c>
    </row>
    <row r="169" ht="15.75" customHeight="1">
      <c r="A169" s="1">
        <v>1537.0</v>
      </c>
      <c r="B169" s="3">
        <v>142.0</v>
      </c>
      <c r="C169" s="7" t="s">
        <v>235</v>
      </c>
      <c r="D169" s="8" t="str">
        <f>IFERROR(__xludf.DUMMYFUNCTION("GOOGLETRANSLATE(C169, ""en"", ""pt"")"),"peru")</f>
        <v>peru</v>
      </c>
      <c r="E169" s="8" t="str">
        <f>IFERROR(__xludf.DUMMYFUNCTION("GOOGLETRANSLATE(C169, ""en"", ""es"")"),"pavo")</f>
        <v>pavo</v>
      </c>
      <c r="F169" s="8" t="str">
        <f>IFERROR(__xludf.DUMMYFUNCTION("GOOGLETRANSLATE(C169, ""en"", ""fr"")"),"dinde")</f>
        <v>dinde</v>
      </c>
      <c r="G169" s="8" t="str">
        <f>IFERROR(__xludf.DUMMYFUNCTION("GOOGLETRANSLATE(C169, ""en"", ""de"")"),"Truthahn")</f>
        <v>Truthahn</v>
      </c>
      <c r="H169" s="8" t="str">
        <f>IFERROR(__xludf.DUMMYFUNCTION("GOOGLETRANSLATE(C169, ""en"", ""ru"")"),"Турция")</f>
        <v>Турция</v>
      </c>
      <c r="I169" s="8" t="str">
        <f>IFERROR(__xludf.DUMMYFUNCTION("GOOGLETRANSLATE(C169, ""en"", ""ar"")"),"ديك رومى")</f>
        <v>ديك رومى</v>
      </c>
      <c r="J169" s="8"/>
      <c r="K169" s="7" t="str">
        <f>IFERROR(__xludf.DUMMYFUNCTION("CONCAT(REGEXREPLACE(C169,""[ ,]+"",""_""),"".mp3"")"),"turkey.mp3")</f>
        <v>turkey.mp3</v>
      </c>
      <c r="M169" s="4" t="s">
        <v>10</v>
      </c>
    </row>
    <row r="170" ht="15.75" customHeight="1">
      <c r="A170" s="1">
        <v>1538.0</v>
      </c>
      <c r="B170" s="3">
        <v>142.0</v>
      </c>
      <c r="C170" s="7" t="s">
        <v>236</v>
      </c>
      <c r="D170" s="8" t="str">
        <f>IFERROR(__xludf.DUMMYFUNCTION("GOOGLETRANSLATE(C170, ""en"", ""pt"")"),"búfalo")</f>
        <v>búfalo</v>
      </c>
      <c r="E170" s="8" t="str">
        <f>IFERROR(__xludf.DUMMYFUNCTION("GOOGLETRANSLATE(C170, ""en"", ""es"")"),"búfalo")</f>
        <v>búfalo</v>
      </c>
      <c r="F170" s="8" t="str">
        <f>IFERROR(__xludf.DUMMYFUNCTION("GOOGLETRANSLATE(C170, ""en"", ""fr"")"),"buffle")</f>
        <v>buffle</v>
      </c>
      <c r="G170" s="8" t="str">
        <f>IFERROR(__xludf.DUMMYFUNCTION("GOOGLETRANSLATE(C170, ""en"", ""de"")"),"Büffel")</f>
        <v>Büffel</v>
      </c>
      <c r="H170" s="8" t="str">
        <f>IFERROR(__xludf.DUMMYFUNCTION("GOOGLETRANSLATE(C170, ""en"", ""ru"")"),"буйвол")</f>
        <v>буйвол</v>
      </c>
      <c r="I170" s="8" t="str">
        <f>IFERROR(__xludf.DUMMYFUNCTION("GOOGLETRANSLATE(C170, ""en"", ""ar"")"),"الجاموس")</f>
        <v>الجاموس</v>
      </c>
      <c r="J170" s="8"/>
      <c r="K170" s="7" t="str">
        <f>IFERROR(__xludf.DUMMYFUNCTION("CONCAT(REGEXREPLACE(C170,""[ ,]+"",""_""),"".mp3"")"),"buffalo.mp3")</f>
        <v>buffalo.mp3</v>
      </c>
      <c r="M170" s="4" t="s">
        <v>10</v>
      </c>
    </row>
    <row r="171" ht="15.75" customHeight="1">
      <c r="A171" s="1">
        <v>1539.0</v>
      </c>
      <c r="B171" s="3">
        <v>142.0</v>
      </c>
      <c r="C171" s="7" t="s">
        <v>237</v>
      </c>
      <c r="D171" s="8" t="str">
        <f>IFERROR(__xludf.DUMMYFUNCTION("GOOGLETRANSLATE(C171, ""en"", ""pt"")"),"lhama")</f>
        <v>lhama</v>
      </c>
      <c r="E171" s="8" t="str">
        <f>IFERROR(__xludf.DUMMYFUNCTION("GOOGLETRANSLATE(C171, ""en"", ""es"")"),"llama")</f>
        <v>llama</v>
      </c>
      <c r="F171" s="8" t="str">
        <f>IFERROR(__xludf.DUMMYFUNCTION("GOOGLETRANSLATE(C171, ""en"", ""fr"")"),"lama")</f>
        <v>lama</v>
      </c>
      <c r="G171" s="8" t="str">
        <f>IFERROR(__xludf.DUMMYFUNCTION("GOOGLETRANSLATE(C171, ""en"", ""de"")"),"Lama")</f>
        <v>Lama</v>
      </c>
      <c r="H171" s="8" t="str">
        <f>IFERROR(__xludf.DUMMYFUNCTION("GOOGLETRANSLATE(C171, ""en"", ""ru"")"),"лама")</f>
        <v>лама</v>
      </c>
      <c r="I171" s="8" t="str">
        <f>IFERROR(__xludf.DUMMYFUNCTION("GOOGLETRANSLATE(C171, ""en"", ""ar"")"),"اللاما")</f>
        <v>اللاما</v>
      </c>
      <c r="J171" s="8"/>
      <c r="K171" s="7" t="str">
        <f>IFERROR(__xludf.DUMMYFUNCTION("CONCAT(REGEXREPLACE(C171,""[ ,]+"",""_""),"".mp3"")"),"llama.mp3")</f>
        <v>llama.mp3</v>
      </c>
      <c r="M171" s="4" t="s">
        <v>10</v>
      </c>
    </row>
    <row r="172" ht="15.75" customHeight="1">
      <c r="A172" s="1">
        <v>1540.0</v>
      </c>
      <c r="B172" s="3">
        <v>142.0</v>
      </c>
      <c r="C172" s="7" t="s">
        <v>238</v>
      </c>
      <c r="D172" s="8" t="str">
        <f>IFERROR(__xludf.DUMMYFUNCTION("GOOGLETRANSLATE(C172, ""en"", ""pt"")"),"alpaca")</f>
        <v>alpaca</v>
      </c>
      <c r="E172" s="8" t="str">
        <f>IFERROR(__xludf.DUMMYFUNCTION("GOOGLETRANSLATE(C172, ""en"", ""es"")"),"alpaca")</f>
        <v>alpaca</v>
      </c>
      <c r="F172" s="8" t="str">
        <f>IFERROR(__xludf.DUMMYFUNCTION("GOOGLETRANSLATE(C172, ""en"", ""fr"")"),"alpaga")</f>
        <v>alpaga</v>
      </c>
      <c r="G172" s="8" t="str">
        <f>IFERROR(__xludf.DUMMYFUNCTION("GOOGLETRANSLATE(C172, ""en"", ""de"")"),"Alpaka")</f>
        <v>Alpaka</v>
      </c>
      <c r="H172" s="8" t="str">
        <f>IFERROR(__xludf.DUMMYFUNCTION("GOOGLETRANSLATE(C172, ""en"", ""ru"")"),"альпака")</f>
        <v>альпака</v>
      </c>
      <c r="I172" s="8" t="str">
        <f>IFERROR(__xludf.DUMMYFUNCTION("GOOGLETRANSLATE(C172, ""en"", ""ar"")"),"ألبكة")</f>
        <v>ألبكة</v>
      </c>
      <c r="J172" s="8"/>
      <c r="K172" s="7" t="str">
        <f>IFERROR(__xludf.DUMMYFUNCTION("CONCAT(REGEXREPLACE(C172,""[ ,]+"",""_""),"".mp3"")"),"alpaca.mp3")</f>
        <v>alpaca.mp3</v>
      </c>
      <c r="M172" s="4" t="s">
        <v>10</v>
      </c>
    </row>
    <row r="173" ht="15.75" customHeight="1">
      <c r="A173" s="1">
        <v>1541.0</v>
      </c>
      <c r="B173" s="3">
        <v>142.0</v>
      </c>
      <c r="C173" s="7" t="s">
        <v>239</v>
      </c>
      <c r="D173" s="8" t="str">
        <f>IFERROR(__xludf.DUMMYFUNCTION("GOOGLETRANSLATE(C173, ""en"", ""pt"")"),"abelha")</f>
        <v>abelha</v>
      </c>
      <c r="E173" s="8" t="str">
        <f>IFERROR(__xludf.DUMMYFUNCTION("GOOGLETRANSLATE(C173, ""en"", ""es"")"),"abeja")</f>
        <v>abeja</v>
      </c>
      <c r="F173" s="8" t="str">
        <f>IFERROR(__xludf.DUMMYFUNCTION("GOOGLETRANSLATE(C173, ""en"", ""fr"")"),"abeille")</f>
        <v>abeille</v>
      </c>
      <c r="G173" s="8" t="str">
        <f>IFERROR(__xludf.DUMMYFUNCTION("GOOGLETRANSLATE(C173, ""en"", ""de"")"),"Biene")</f>
        <v>Biene</v>
      </c>
      <c r="H173" s="8" t="str">
        <f>IFERROR(__xludf.DUMMYFUNCTION("GOOGLETRANSLATE(C173, ""en"", ""ru"")"),"пчела")</f>
        <v>пчела</v>
      </c>
      <c r="I173" s="8" t="str">
        <f>IFERROR(__xludf.DUMMYFUNCTION("GOOGLETRANSLATE(C173, ""en"", ""ar"")"),"نحلة")</f>
        <v>نحلة</v>
      </c>
      <c r="J173" s="8"/>
      <c r="K173" s="7" t="str">
        <f>IFERROR(__xludf.DUMMYFUNCTION("CONCAT(REGEXREPLACE(C173,""[ ,]+"",""_""),"".mp3"")"),"bee.mp3")</f>
        <v>bee.mp3</v>
      </c>
      <c r="M173" s="4" t="s">
        <v>10</v>
      </c>
    </row>
    <row r="174" ht="15.75" customHeight="1">
      <c r="A174" s="1">
        <v>1542.0</v>
      </c>
      <c r="B174" s="3">
        <v>142.0</v>
      </c>
      <c r="C174" s="7" t="s">
        <v>240</v>
      </c>
      <c r="D174" s="8" t="str">
        <f>IFERROR(__xludf.DUMMYFUNCTION("GOOGLETRANSLATE(C174, ""en"", ""pt"")"),"leão")</f>
        <v>leão</v>
      </c>
      <c r="E174" s="8" t="str">
        <f>IFERROR(__xludf.DUMMYFUNCTION("GOOGLETRANSLATE(C174, ""en"", ""es"")"),"león")</f>
        <v>león</v>
      </c>
      <c r="F174" s="8" t="str">
        <f>IFERROR(__xludf.DUMMYFUNCTION("GOOGLETRANSLATE(C174, ""en"", ""fr"")"),"lion")</f>
        <v>lion</v>
      </c>
      <c r="G174" s="8" t="str">
        <f>IFERROR(__xludf.DUMMYFUNCTION("GOOGLETRANSLATE(C174, ""en"", ""de"")"),"Löwe")</f>
        <v>Löwe</v>
      </c>
      <c r="H174" s="8" t="str">
        <f>IFERROR(__xludf.DUMMYFUNCTION("GOOGLETRANSLATE(C174, ""en"", ""ru"")"),"лев")</f>
        <v>лев</v>
      </c>
      <c r="I174" s="8" t="str">
        <f>IFERROR(__xludf.DUMMYFUNCTION("GOOGLETRANSLATE(C174, ""en"", ""ar"")"),"الأسد")</f>
        <v>الأسد</v>
      </c>
      <c r="J174" s="8"/>
      <c r="K174" s="7" t="str">
        <f>IFERROR(__xludf.DUMMYFUNCTION("CONCAT(REGEXREPLACE(C174,""[ ,]+"",""_""),"".mp3"")"),"lion.mp3")</f>
        <v>lion.mp3</v>
      </c>
      <c r="M174" s="4" t="s">
        <v>10</v>
      </c>
    </row>
    <row r="175" ht="15.75" customHeight="1">
      <c r="A175" s="1">
        <v>1543.0</v>
      </c>
      <c r="B175" s="3">
        <v>142.0</v>
      </c>
      <c r="C175" s="7" t="s">
        <v>241</v>
      </c>
      <c r="D175" s="8" t="str">
        <f>IFERROR(__xludf.DUMMYFUNCTION("GOOGLETRANSLATE(C175, ""en"", ""pt"")"),"tigre")</f>
        <v>tigre</v>
      </c>
      <c r="E175" s="8" t="str">
        <f>IFERROR(__xludf.DUMMYFUNCTION("GOOGLETRANSLATE(C175, ""en"", ""es"")"),"tigre")</f>
        <v>tigre</v>
      </c>
      <c r="F175" s="8" t="str">
        <f>IFERROR(__xludf.DUMMYFUNCTION("GOOGLETRANSLATE(C175, ""en"", ""fr"")"),"tigre")</f>
        <v>tigre</v>
      </c>
      <c r="G175" s="8" t="str">
        <f>IFERROR(__xludf.DUMMYFUNCTION("GOOGLETRANSLATE(C175, ""en"", ""de"")"),"Tiger")</f>
        <v>Tiger</v>
      </c>
      <c r="H175" s="8" t="str">
        <f>IFERROR(__xludf.DUMMYFUNCTION("GOOGLETRANSLATE(C175, ""en"", ""ru"")"),"тигр")</f>
        <v>тигр</v>
      </c>
      <c r="I175" s="8" t="str">
        <f>IFERROR(__xludf.DUMMYFUNCTION("GOOGLETRANSLATE(C175, ""en"", ""ar"")"),"نمر")</f>
        <v>نمر</v>
      </c>
      <c r="J175" s="8"/>
      <c r="K175" s="7" t="str">
        <f>IFERROR(__xludf.DUMMYFUNCTION("CONCAT(REGEXREPLACE(C175,""[ ,]+"",""_""),"".mp3"")"),"tiger.mp3")</f>
        <v>tiger.mp3</v>
      </c>
      <c r="M175" s="4" t="s">
        <v>10</v>
      </c>
    </row>
    <row r="176" ht="15.75" customHeight="1">
      <c r="A176" s="1">
        <v>1544.0</v>
      </c>
      <c r="B176" s="3">
        <v>142.0</v>
      </c>
      <c r="C176" s="7" t="s">
        <v>242</v>
      </c>
      <c r="D176" s="8" t="str">
        <f>IFERROR(__xludf.DUMMYFUNCTION("GOOGLETRANSLATE(C176, ""en"", ""pt"")"),"leopardo")</f>
        <v>leopardo</v>
      </c>
      <c r="E176" s="8" t="str">
        <f>IFERROR(__xludf.DUMMYFUNCTION("GOOGLETRANSLATE(C176, ""en"", ""es"")"),"leopardo")</f>
        <v>leopardo</v>
      </c>
      <c r="F176" s="8" t="str">
        <f>IFERROR(__xludf.DUMMYFUNCTION("GOOGLETRANSLATE(C176, ""en"", ""fr"")"),"léopard")</f>
        <v>léopard</v>
      </c>
      <c r="G176" s="8" t="str">
        <f>IFERROR(__xludf.DUMMYFUNCTION("GOOGLETRANSLATE(C176, ""en"", ""de"")"),"Leopard")</f>
        <v>Leopard</v>
      </c>
      <c r="H176" s="8" t="str">
        <f>IFERROR(__xludf.DUMMYFUNCTION("GOOGLETRANSLATE(C176, ""en"", ""ru"")"),"леопард")</f>
        <v>леопард</v>
      </c>
      <c r="I176" s="8" t="str">
        <f>IFERROR(__xludf.DUMMYFUNCTION("GOOGLETRANSLATE(C176, ""en"", ""ar"")"),"النمر")</f>
        <v>النمر</v>
      </c>
      <c r="J176" s="8"/>
      <c r="K176" s="7" t="str">
        <f>IFERROR(__xludf.DUMMYFUNCTION("CONCAT(REGEXREPLACE(C176,""[ ,]+"",""_""),"".mp3"")"),"leopard.mp3")</f>
        <v>leopard.mp3</v>
      </c>
      <c r="M176" s="4" t="s">
        <v>10</v>
      </c>
    </row>
    <row r="177" ht="15.75" customHeight="1">
      <c r="A177" s="1">
        <v>1545.0</v>
      </c>
      <c r="B177" s="3">
        <v>142.0</v>
      </c>
      <c r="C177" s="7" t="s">
        <v>243</v>
      </c>
      <c r="D177" s="8" t="str">
        <f>IFERROR(__xludf.DUMMYFUNCTION("GOOGLETRANSLATE(C177, ""en"", ""pt"")"),"chita")</f>
        <v>chita</v>
      </c>
      <c r="E177" s="8" t="str">
        <f>IFERROR(__xludf.DUMMYFUNCTION("GOOGLETRANSLATE(C177, ""en"", ""es"")"),"guepardo")</f>
        <v>guepardo</v>
      </c>
      <c r="F177" s="8" t="str">
        <f>IFERROR(__xludf.DUMMYFUNCTION("GOOGLETRANSLATE(C177, ""en"", ""fr"")"),"guépard")</f>
        <v>guépard</v>
      </c>
      <c r="G177" s="8" t="str">
        <f>IFERROR(__xludf.DUMMYFUNCTION("GOOGLETRANSLATE(C177, ""en"", ""de"")"),"Gepard")</f>
        <v>Gepard</v>
      </c>
      <c r="H177" s="8" t="str">
        <f>IFERROR(__xludf.DUMMYFUNCTION("GOOGLETRANSLATE(C177, ""en"", ""ru"")"),"гепард")</f>
        <v>гепард</v>
      </c>
      <c r="I177" s="8" t="str">
        <f>IFERROR(__xludf.DUMMYFUNCTION("GOOGLETRANSLATE(C177, ""en"", ""ar"")"),"الفهد")</f>
        <v>الفهد</v>
      </c>
      <c r="J177" s="8"/>
      <c r="K177" s="7" t="str">
        <f>IFERROR(__xludf.DUMMYFUNCTION("CONCAT(REGEXREPLACE(C177,""[ ,]+"",""_""),"".mp3"")"),"cheetah.mp3")</f>
        <v>cheetah.mp3</v>
      </c>
      <c r="M177" s="4" t="s">
        <v>10</v>
      </c>
    </row>
    <row r="178" ht="15.75" customHeight="1">
      <c r="A178" s="1">
        <v>1546.0</v>
      </c>
      <c r="B178" s="3">
        <v>142.0</v>
      </c>
      <c r="C178" s="7" t="s">
        <v>244</v>
      </c>
      <c r="D178" s="8" t="str">
        <f>IFERROR(__xludf.DUMMYFUNCTION("GOOGLETRANSLATE(C178, ""en"", ""pt"")"),"jaguar")</f>
        <v>jaguar</v>
      </c>
      <c r="E178" s="8" t="str">
        <f>IFERROR(__xludf.DUMMYFUNCTION("GOOGLETRANSLATE(C178, ""en"", ""es"")"),"jaguar")</f>
        <v>jaguar</v>
      </c>
      <c r="F178" s="8" t="str">
        <f>IFERROR(__xludf.DUMMYFUNCTION("GOOGLETRANSLATE(C178, ""en"", ""fr"")"),"jaguar")</f>
        <v>jaguar</v>
      </c>
      <c r="G178" s="8" t="str">
        <f>IFERROR(__xludf.DUMMYFUNCTION("GOOGLETRANSLATE(C178, ""en"", ""de"")"),"Jaguar")</f>
        <v>Jaguar</v>
      </c>
      <c r="H178" s="8" t="str">
        <f>IFERROR(__xludf.DUMMYFUNCTION("GOOGLETRANSLATE(C178, ""en"", ""ru"")"),"ягуар")</f>
        <v>ягуар</v>
      </c>
      <c r="I178" s="8" t="str">
        <f>IFERROR(__xludf.DUMMYFUNCTION("GOOGLETRANSLATE(C178, ""en"", ""ar"")"),"جاكوار")</f>
        <v>جاكوار</v>
      </c>
      <c r="J178" s="8"/>
      <c r="K178" s="7" t="str">
        <f>IFERROR(__xludf.DUMMYFUNCTION("CONCAT(REGEXREPLACE(C178,""[ ,]+"",""_""),"".mp3"")"),"jaguar.mp3")</f>
        <v>jaguar.mp3</v>
      </c>
      <c r="M178" s="4" t="s">
        <v>10</v>
      </c>
    </row>
    <row r="179" ht="15.75" customHeight="1">
      <c r="A179" s="1">
        <v>1547.0</v>
      </c>
      <c r="B179" s="3">
        <v>142.0</v>
      </c>
      <c r="C179" s="7" t="s">
        <v>245</v>
      </c>
      <c r="D179" s="8" t="str">
        <f>IFERROR(__xludf.DUMMYFUNCTION("GOOGLETRANSLATE(C179, ""en"", ""pt"")"),"pantera")</f>
        <v>pantera</v>
      </c>
      <c r="E179" s="8" t="str">
        <f>IFERROR(__xludf.DUMMYFUNCTION("GOOGLETRANSLATE(C179, ""en"", ""es"")"),"pantera")</f>
        <v>pantera</v>
      </c>
      <c r="F179" s="8" t="str">
        <f>IFERROR(__xludf.DUMMYFUNCTION("GOOGLETRANSLATE(C179, ""en"", ""fr"")"),"panthère")</f>
        <v>panthère</v>
      </c>
      <c r="G179" s="8" t="str">
        <f>IFERROR(__xludf.DUMMYFUNCTION("GOOGLETRANSLATE(C179, ""en"", ""de"")"),"Panther")</f>
        <v>Panther</v>
      </c>
      <c r="H179" s="8" t="str">
        <f>IFERROR(__xludf.DUMMYFUNCTION("GOOGLETRANSLATE(C179, ""en"", ""ru"")"),"пантера")</f>
        <v>пантера</v>
      </c>
      <c r="I179" s="8" t="str">
        <f>IFERROR(__xludf.DUMMYFUNCTION("GOOGLETRANSLATE(C179, ""en"", ""ar"")"),"النمر")</f>
        <v>النمر</v>
      </c>
      <c r="J179" s="8"/>
      <c r="K179" s="7" t="str">
        <f>IFERROR(__xludf.DUMMYFUNCTION("CONCAT(REGEXREPLACE(C179,""[ ,]+"",""_""),"".mp3"")"),"panther.mp3")</f>
        <v>panther.mp3</v>
      </c>
      <c r="M179" s="4" t="s">
        <v>10</v>
      </c>
    </row>
    <row r="180" ht="15.75" customHeight="1">
      <c r="A180" s="1">
        <v>1548.0</v>
      </c>
      <c r="B180" s="3">
        <v>142.0</v>
      </c>
      <c r="C180" s="7" t="s">
        <v>246</v>
      </c>
      <c r="D180" s="8" t="str">
        <f>IFERROR(__xludf.DUMMYFUNCTION("GOOGLETRANSLATE(C180, ""en"", ""pt"")"),"elefante")</f>
        <v>elefante</v>
      </c>
      <c r="E180" s="8" t="str">
        <f>IFERROR(__xludf.DUMMYFUNCTION("GOOGLETRANSLATE(C180, ""en"", ""es"")"),"elefante")</f>
        <v>elefante</v>
      </c>
      <c r="F180" s="8" t="str">
        <f>IFERROR(__xludf.DUMMYFUNCTION("GOOGLETRANSLATE(C180, ""en"", ""fr"")"),"éléphant")</f>
        <v>éléphant</v>
      </c>
      <c r="G180" s="8" t="str">
        <f>IFERROR(__xludf.DUMMYFUNCTION("GOOGLETRANSLATE(C180, ""en"", ""de"")"),"Elefant")</f>
        <v>Elefant</v>
      </c>
      <c r="H180" s="8" t="str">
        <f>IFERROR(__xludf.DUMMYFUNCTION("GOOGLETRANSLATE(C180, ""en"", ""ru"")"),"слон")</f>
        <v>слон</v>
      </c>
      <c r="I180" s="8" t="str">
        <f>IFERROR(__xludf.DUMMYFUNCTION("GOOGLETRANSLATE(C180, ""en"", ""ar"")"),"فيل")</f>
        <v>فيل</v>
      </c>
      <c r="J180" s="8"/>
      <c r="K180" s="7" t="str">
        <f>IFERROR(__xludf.DUMMYFUNCTION("CONCAT(REGEXREPLACE(C180,""[ ,]+"",""_""),"".mp3"")"),"elephant.mp3")</f>
        <v>elephant.mp3</v>
      </c>
      <c r="M180" s="4" t="s">
        <v>10</v>
      </c>
    </row>
    <row r="181" ht="15.75" customHeight="1">
      <c r="A181" s="1">
        <v>1549.0</v>
      </c>
      <c r="B181" s="3">
        <v>142.0</v>
      </c>
      <c r="C181" s="3" t="s">
        <v>247</v>
      </c>
      <c r="D181" s="8" t="str">
        <f>IFERROR(__xludf.DUMMYFUNCTION("GOOGLETRANSLATE(C181, ""en"", ""pt"")"),"rinoceronte, rinoceronte")</f>
        <v>rinoceronte, rinoceronte</v>
      </c>
      <c r="E181" s="8" t="str">
        <f>IFERROR(__xludf.DUMMYFUNCTION("GOOGLETRANSLATE(C181, ""en"", ""es"")"),"rinoceronte, rinoceronte")</f>
        <v>rinoceronte, rinoceronte</v>
      </c>
      <c r="F181" s="8" t="str">
        <f>IFERROR(__xludf.DUMMYFUNCTION("GOOGLETRANSLATE(C181, ""en"", ""fr"")"),"rhinocéros, rhinocéros")</f>
        <v>rhinocéros, rhinocéros</v>
      </c>
      <c r="G181" s="8" t="str">
        <f>IFERROR(__xludf.DUMMYFUNCTION("GOOGLETRANSLATE(C181, ""en"", ""de"")"),"Nashorn, Rhino")</f>
        <v>Nashorn, Rhino</v>
      </c>
      <c r="H181" s="8" t="str">
        <f>IFERROR(__xludf.DUMMYFUNCTION("GOOGLETRANSLATE(C181, ""en"", ""ru"")"),"носорог, рино")</f>
        <v>носорог, рино</v>
      </c>
      <c r="I181" s="8" t="str">
        <f>IFERROR(__xludf.DUMMYFUNCTION("GOOGLETRANSLATE(C181, ""en"", ""ar"")"),"وحيد القرن، وحيد القرن")</f>
        <v>وحيد القرن، وحيد القرن</v>
      </c>
      <c r="J181" s="8"/>
      <c r="K181" s="7" t="str">
        <f>IFERROR(__xludf.DUMMYFUNCTION("CONCAT(REGEXREPLACE(C181,""[ ,]+"",""_""),"".mp3"")"),"rhinoceros_rhino.mp3")</f>
        <v>rhinoceros_rhino.mp3</v>
      </c>
      <c r="M181" s="4" t="s">
        <v>10</v>
      </c>
    </row>
    <row r="182" ht="15.75" customHeight="1">
      <c r="A182" s="1">
        <v>1550.0</v>
      </c>
      <c r="B182" s="3">
        <v>142.0</v>
      </c>
      <c r="C182" s="3" t="s">
        <v>248</v>
      </c>
      <c r="D182" s="8" t="str">
        <f>IFERROR(__xludf.DUMMYFUNCTION("GOOGLETRANSLATE(C182, ""en"", ""pt"")"),"hipopótamo, hipopótamo")</f>
        <v>hipopótamo, hipopótamo</v>
      </c>
      <c r="E182" s="8" t="str">
        <f>IFERROR(__xludf.DUMMYFUNCTION("GOOGLETRANSLATE(C182, ""en"", ""es"")"),"hipopótamo, hipopótamo")</f>
        <v>hipopótamo, hipopótamo</v>
      </c>
      <c r="F182" s="8" t="str">
        <f>IFERROR(__xludf.DUMMYFUNCTION("GOOGLETRANSLATE(C182, ""en"", ""fr"")"),"hippopotame, hippopotame")</f>
        <v>hippopotame, hippopotame</v>
      </c>
      <c r="G182" s="8" t="str">
        <f>IFERROR(__xludf.DUMMYFUNCTION("GOOGLETRANSLATE(C182, ""en"", ""de"")"),"Nilpferd")</f>
        <v>Nilpferd</v>
      </c>
      <c r="H182" s="8" t="str">
        <f>IFERROR(__xludf.DUMMYFUNCTION("GOOGLETRANSLATE(C182, ""en"", ""ru"")"),"бегемот, бегемот")</f>
        <v>бегемот, бегемот</v>
      </c>
      <c r="I182" s="8" t="str">
        <f>IFERROR(__xludf.DUMMYFUNCTION("GOOGLETRANSLATE(C182, ""en"", ""ar"")"),"فرس النهر، فرس النهر")</f>
        <v>فرس النهر، فرس النهر</v>
      </c>
      <c r="J182" s="8"/>
      <c r="K182" s="7" t="str">
        <f>IFERROR(__xludf.DUMMYFUNCTION("CONCAT(REGEXREPLACE(C182,""[ ,]+"",""_""),"".mp3"")"),"hippopotamus_hippo.mp3")</f>
        <v>hippopotamus_hippo.mp3</v>
      </c>
      <c r="M182" s="4" t="s">
        <v>10</v>
      </c>
    </row>
    <row r="183" ht="15.75" customHeight="1">
      <c r="A183" s="1">
        <v>1551.0</v>
      </c>
      <c r="B183" s="3">
        <v>142.0</v>
      </c>
      <c r="C183" s="7" t="s">
        <v>249</v>
      </c>
      <c r="D183" s="8" t="str">
        <f>IFERROR(__xludf.DUMMYFUNCTION("GOOGLETRANSLATE(C183, ""en"", ""pt"")"),"girafa")</f>
        <v>girafa</v>
      </c>
      <c r="E183" s="8" t="str">
        <f>IFERROR(__xludf.DUMMYFUNCTION("GOOGLETRANSLATE(C183, ""en"", ""es"")"),"jirafa")</f>
        <v>jirafa</v>
      </c>
      <c r="F183" s="8" t="str">
        <f>IFERROR(__xludf.DUMMYFUNCTION("GOOGLETRANSLATE(C183, ""en"", ""fr"")"),"girafe")</f>
        <v>girafe</v>
      </c>
      <c r="G183" s="8" t="str">
        <f>IFERROR(__xludf.DUMMYFUNCTION("GOOGLETRANSLATE(C183, ""en"", ""de"")"),"Giraffe")</f>
        <v>Giraffe</v>
      </c>
      <c r="H183" s="8" t="str">
        <f>IFERROR(__xludf.DUMMYFUNCTION("GOOGLETRANSLATE(C183, ""en"", ""ru"")"),"жирафа")</f>
        <v>жирафа</v>
      </c>
      <c r="I183" s="8" t="str">
        <f>IFERROR(__xludf.DUMMYFUNCTION("GOOGLETRANSLATE(C183, ""en"", ""ar"")"),"زرافة")</f>
        <v>زرافة</v>
      </c>
      <c r="J183" s="8"/>
      <c r="K183" s="7" t="str">
        <f>IFERROR(__xludf.DUMMYFUNCTION("CONCAT(REGEXREPLACE(C183,""[ ,]+"",""_""),"".mp3"")"),"giraffe.mp3")</f>
        <v>giraffe.mp3</v>
      </c>
      <c r="M183" s="4" t="s">
        <v>10</v>
      </c>
    </row>
    <row r="184" ht="15.75" customHeight="1">
      <c r="A184" s="1">
        <v>1552.0</v>
      </c>
      <c r="B184" s="3">
        <v>142.0</v>
      </c>
      <c r="C184" s="7" t="s">
        <v>250</v>
      </c>
      <c r="D184" s="8" t="str">
        <f>IFERROR(__xludf.DUMMYFUNCTION("GOOGLETRANSLATE(C184, ""en"", ""pt"")"),"zebra")</f>
        <v>zebra</v>
      </c>
      <c r="E184" s="8" t="str">
        <f>IFERROR(__xludf.DUMMYFUNCTION("GOOGLETRANSLATE(C184, ""en"", ""es"")"),"cebra")</f>
        <v>cebra</v>
      </c>
      <c r="F184" s="8" t="str">
        <f>IFERROR(__xludf.DUMMYFUNCTION("GOOGLETRANSLATE(C184, ""en"", ""fr"")"),"zèbre")</f>
        <v>zèbre</v>
      </c>
      <c r="G184" s="8" t="str">
        <f>IFERROR(__xludf.DUMMYFUNCTION("GOOGLETRANSLATE(C184, ""en"", ""de"")"),"Zebra")</f>
        <v>Zebra</v>
      </c>
      <c r="H184" s="8" t="str">
        <f>IFERROR(__xludf.DUMMYFUNCTION("GOOGLETRANSLATE(C184, ""en"", ""ru"")"),"зебра")</f>
        <v>зебра</v>
      </c>
      <c r="I184" s="8" t="str">
        <f>IFERROR(__xludf.DUMMYFUNCTION("GOOGLETRANSLATE(C184, ""en"", ""ar"")"),"حمار وحشي")</f>
        <v>حمار وحشي</v>
      </c>
      <c r="J184" s="8"/>
      <c r="K184" s="7" t="str">
        <f>IFERROR(__xludf.DUMMYFUNCTION("CONCAT(REGEXREPLACE(C184,""[ ,]+"",""_""),"".mp3"")"),"zebra.mp3")</f>
        <v>zebra.mp3</v>
      </c>
      <c r="M184" s="4" t="s">
        <v>10</v>
      </c>
    </row>
    <row r="185" ht="15.75" customHeight="1">
      <c r="A185" s="1">
        <v>1553.0</v>
      </c>
      <c r="B185" s="3">
        <v>142.0</v>
      </c>
      <c r="C185" s="7" t="s">
        <v>251</v>
      </c>
      <c r="D185" s="8" t="str">
        <f>IFERROR(__xludf.DUMMYFUNCTION("GOOGLETRANSLATE(C185, ""en"", ""pt"")"),"urso")</f>
        <v>urso</v>
      </c>
      <c r="E185" s="8" t="str">
        <f>IFERROR(__xludf.DUMMYFUNCTION("GOOGLETRANSLATE(C185, ""en"", ""es"")"),"oso")</f>
        <v>oso</v>
      </c>
      <c r="F185" s="8" t="str">
        <f>IFERROR(__xludf.DUMMYFUNCTION("GOOGLETRANSLATE(C185, ""en"", ""fr"")"),"ours")</f>
        <v>ours</v>
      </c>
      <c r="G185" s="8" t="str">
        <f>IFERROR(__xludf.DUMMYFUNCTION("GOOGLETRANSLATE(C185, ""en"", ""de"")"),"tragen")</f>
        <v>tragen</v>
      </c>
      <c r="H185" s="8" t="str">
        <f>IFERROR(__xludf.DUMMYFUNCTION("GOOGLETRANSLATE(C185, ""en"", ""ru"")"),"медведь")</f>
        <v>медведь</v>
      </c>
      <c r="I185" s="8" t="str">
        <f>IFERROR(__xludf.DUMMYFUNCTION("GOOGLETRANSLATE(C185, ""en"", ""ar"")"),"دُبٌّ")</f>
        <v>دُبٌّ</v>
      </c>
      <c r="J185" s="8"/>
      <c r="K185" s="7" t="str">
        <f>IFERROR(__xludf.DUMMYFUNCTION("CONCAT(REGEXREPLACE(C185,""[ ,]+"",""_""),"".mp3"")"),"bear.mp3")</f>
        <v>bear.mp3</v>
      </c>
      <c r="M185" s="4" t="s">
        <v>10</v>
      </c>
    </row>
    <row r="186" ht="15.75" customHeight="1">
      <c r="A186" s="1">
        <v>1554.0</v>
      </c>
      <c r="B186" s="3">
        <v>142.0</v>
      </c>
      <c r="C186" s="7" t="s">
        <v>252</v>
      </c>
      <c r="D186" s="8" t="str">
        <f>IFERROR(__xludf.DUMMYFUNCTION("GOOGLETRANSLATE(C186, ""en"", ""pt"")"),"panda")</f>
        <v>panda</v>
      </c>
      <c r="E186" s="8" t="str">
        <f>IFERROR(__xludf.DUMMYFUNCTION("GOOGLETRANSLATE(C186, ""en"", ""es"")"),"panda")</f>
        <v>panda</v>
      </c>
      <c r="F186" s="8" t="str">
        <f>IFERROR(__xludf.DUMMYFUNCTION("GOOGLETRANSLATE(C186, ""en"", ""fr"")"),"panda")</f>
        <v>panda</v>
      </c>
      <c r="G186" s="8" t="str">
        <f>IFERROR(__xludf.DUMMYFUNCTION("GOOGLETRANSLATE(C186, ""en"", ""de"")"),"Panda")</f>
        <v>Panda</v>
      </c>
      <c r="H186" s="8" t="str">
        <f>IFERROR(__xludf.DUMMYFUNCTION("GOOGLETRANSLATE(C186, ""en"", ""ru"")"),"панда")</f>
        <v>панда</v>
      </c>
      <c r="I186" s="8" t="str">
        <f>IFERROR(__xludf.DUMMYFUNCTION("GOOGLETRANSLATE(C186, ""en"", ""ar"")"),"الباندا")</f>
        <v>الباندا</v>
      </c>
      <c r="J186" s="8"/>
      <c r="K186" s="7" t="str">
        <f>IFERROR(__xludf.DUMMYFUNCTION("CONCAT(REGEXREPLACE(C186,""[ ,]+"",""_""),"".mp3"")"),"panda.mp3")</f>
        <v>panda.mp3</v>
      </c>
      <c r="M186" s="4" t="s">
        <v>10</v>
      </c>
    </row>
    <row r="187" ht="15.75" customHeight="1">
      <c r="A187" s="1">
        <v>1555.0</v>
      </c>
      <c r="B187" s="3">
        <v>142.0</v>
      </c>
      <c r="C187" s="7" t="s">
        <v>253</v>
      </c>
      <c r="D187" s="8" t="str">
        <f>IFERROR(__xludf.DUMMYFUNCTION("GOOGLETRANSLATE(C187, ""en"", ""pt"")"),"lobo")</f>
        <v>lobo</v>
      </c>
      <c r="E187" s="8" t="str">
        <f>IFERROR(__xludf.DUMMYFUNCTION("GOOGLETRANSLATE(C187, ""en"", ""es"")"),"lobo")</f>
        <v>lobo</v>
      </c>
      <c r="F187" s="8" t="str">
        <f>IFERROR(__xludf.DUMMYFUNCTION("GOOGLETRANSLATE(C187, ""en"", ""fr"")"),"loup")</f>
        <v>loup</v>
      </c>
      <c r="G187" s="8" t="str">
        <f>IFERROR(__xludf.DUMMYFUNCTION("GOOGLETRANSLATE(C187, ""en"", ""de"")"),"Wolf")</f>
        <v>Wolf</v>
      </c>
      <c r="H187" s="8" t="str">
        <f>IFERROR(__xludf.DUMMYFUNCTION("GOOGLETRANSLATE(C187, ""en"", ""ru"")"),"волк")</f>
        <v>волк</v>
      </c>
      <c r="I187" s="8" t="str">
        <f>IFERROR(__xludf.DUMMYFUNCTION("GOOGLETRANSLATE(C187, ""en"", ""ar"")"),"ذئب")</f>
        <v>ذئب</v>
      </c>
      <c r="J187" s="8"/>
      <c r="K187" s="7" t="str">
        <f>IFERROR(__xludf.DUMMYFUNCTION("CONCAT(REGEXREPLACE(C187,""[ ,]+"",""_""),"".mp3"")"),"wolf.mp3")</f>
        <v>wolf.mp3</v>
      </c>
      <c r="M187" s="4" t="s">
        <v>10</v>
      </c>
    </row>
    <row r="188" ht="15.75" customHeight="1">
      <c r="A188" s="1">
        <v>1556.0</v>
      </c>
      <c r="B188" s="3">
        <v>142.0</v>
      </c>
      <c r="C188" s="7" t="s">
        <v>254</v>
      </c>
      <c r="D188" s="8" t="str">
        <f>IFERROR(__xludf.DUMMYFUNCTION("GOOGLETRANSLATE(C188, ""en"", ""pt"")"),"raposa")</f>
        <v>raposa</v>
      </c>
      <c r="E188" s="8" t="str">
        <f>IFERROR(__xludf.DUMMYFUNCTION("GOOGLETRANSLATE(C188, ""en"", ""es"")"),"zorro")</f>
        <v>zorro</v>
      </c>
      <c r="F188" s="8" t="str">
        <f>IFERROR(__xludf.DUMMYFUNCTION("GOOGLETRANSLATE(C188, ""en"", ""fr"")"),"renard")</f>
        <v>renard</v>
      </c>
      <c r="G188" s="8" t="str">
        <f>IFERROR(__xludf.DUMMYFUNCTION("GOOGLETRANSLATE(C188, ""en"", ""de"")"),"Fuchs")</f>
        <v>Fuchs</v>
      </c>
      <c r="H188" s="8" t="str">
        <f>IFERROR(__xludf.DUMMYFUNCTION("GOOGLETRANSLATE(C188, ""en"", ""ru"")"),"лиса")</f>
        <v>лиса</v>
      </c>
      <c r="I188" s="8" t="str">
        <f>IFERROR(__xludf.DUMMYFUNCTION("GOOGLETRANSLATE(C188, ""en"", ""ar"")"),"ثعلب")</f>
        <v>ثعلب</v>
      </c>
      <c r="J188" s="8"/>
      <c r="K188" s="7" t="str">
        <f>IFERROR(__xludf.DUMMYFUNCTION("CONCAT(REGEXREPLACE(C188,""[ ,]+"",""_""),"".mp3"")"),"fox.mp3")</f>
        <v>fox.mp3</v>
      </c>
      <c r="M188" s="4" t="s">
        <v>10</v>
      </c>
    </row>
    <row r="189" ht="15.75" customHeight="1">
      <c r="A189" s="1">
        <v>1557.0</v>
      </c>
      <c r="B189" s="3">
        <v>142.0</v>
      </c>
      <c r="C189" s="7" t="s">
        <v>255</v>
      </c>
      <c r="D189" s="8" t="str">
        <f>IFERROR(__xludf.DUMMYFUNCTION("GOOGLETRANSLATE(C189, ""en"", ""pt"")"),"cervo")</f>
        <v>cervo</v>
      </c>
      <c r="E189" s="8" t="str">
        <f>IFERROR(__xludf.DUMMYFUNCTION("GOOGLETRANSLATE(C189, ""en"", ""es"")"),"ciervo")</f>
        <v>ciervo</v>
      </c>
      <c r="F189" s="8" t="str">
        <f>IFERROR(__xludf.DUMMYFUNCTION("GOOGLETRANSLATE(C189, ""en"", ""fr"")"),"cerf")</f>
        <v>cerf</v>
      </c>
      <c r="G189" s="8" t="str">
        <f>IFERROR(__xludf.DUMMYFUNCTION("GOOGLETRANSLATE(C189, ""en"", ""de"")"),"Reh")</f>
        <v>Reh</v>
      </c>
      <c r="H189" s="8" t="str">
        <f>IFERROR(__xludf.DUMMYFUNCTION("GOOGLETRANSLATE(C189, ""en"", ""ru"")"),"олень")</f>
        <v>олень</v>
      </c>
      <c r="I189" s="8" t="str">
        <f>IFERROR(__xludf.DUMMYFUNCTION("GOOGLETRANSLATE(C189, ""en"", ""ar"")"),"عزيزي")</f>
        <v>عزيزي</v>
      </c>
      <c r="J189" s="8"/>
      <c r="K189" s="7" t="str">
        <f>IFERROR(__xludf.DUMMYFUNCTION("CONCAT(REGEXREPLACE(C189,""[ ,]+"",""_""),"".mp3"")"),"deer.mp3")</f>
        <v>deer.mp3</v>
      </c>
      <c r="M189" s="4" t="s">
        <v>10</v>
      </c>
    </row>
    <row r="190" ht="15.75" customHeight="1">
      <c r="A190" s="1">
        <v>1558.0</v>
      </c>
      <c r="B190" s="3">
        <v>142.0</v>
      </c>
      <c r="C190" s="7" t="s">
        <v>256</v>
      </c>
      <c r="D190" s="8" t="str">
        <f>IFERROR(__xludf.DUMMYFUNCTION("GOOGLETRANSLATE(C190, ""en"", ""pt"")"),"alce")</f>
        <v>alce</v>
      </c>
      <c r="E190" s="8" t="str">
        <f>IFERROR(__xludf.DUMMYFUNCTION("GOOGLETRANSLATE(C190, ""en"", ""es"")"),"alce")</f>
        <v>alce</v>
      </c>
      <c r="F190" s="8" t="str">
        <f>IFERROR(__xludf.DUMMYFUNCTION("GOOGLETRANSLATE(C190, ""en"", ""fr"")"),"élan")</f>
        <v>élan</v>
      </c>
      <c r="G190" s="8" t="str">
        <f>IFERROR(__xludf.DUMMYFUNCTION("GOOGLETRANSLATE(C190, ""en"", ""de"")"),"Elch")</f>
        <v>Elch</v>
      </c>
      <c r="H190" s="8" t="str">
        <f>IFERROR(__xludf.DUMMYFUNCTION("GOOGLETRANSLATE(C190, ""en"", ""ru"")"),"лось")</f>
        <v>лось</v>
      </c>
      <c r="I190" s="8" t="str">
        <f>IFERROR(__xludf.DUMMYFUNCTION("GOOGLETRANSLATE(C190, ""en"", ""ar"")"),"موس")</f>
        <v>موس</v>
      </c>
      <c r="J190" s="8"/>
      <c r="K190" s="7" t="str">
        <f>IFERROR(__xludf.DUMMYFUNCTION("CONCAT(REGEXREPLACE(C190,""[ ,]+"",""_""),"".mp3"")"),"moose.mp3")</f>
        <v>moose.mp3</v>
      </c>
      <c r="M190" s="4" t="s">
        <v>10</v>
      </c>
    </row>
    <row r="191" ht="15.75" customHeight="1">
      <c r="A191" s="1">
        <v>1559.0</v>
      </c>
      <c r="B191" s="3">
        <v>142.0</v>
      </c>
      <c r="C191" s="7" t="s">
        <v>257</v>
      </c>
      <c r="D191" s="8" t="str">
        <f>IFERROR(__xludf.DUMMYFUNCTION("GOOGLETRANSLATE(C191, ""en"", ""pt"")"),"alce")</f>
        <v>alce</v>
      </c>
      <c r="E191" s="8" t="str">
        <f>IFERROR(__xludf.DUMMYFUNCTION("GOOGLETRANSLATE(C191, ""en"", ""es"")"),"alce")</f>
        <v>alce</v>
      </c>
      <c r="F191" s="8" t="str">
        <f>IFERROR(__xludf.DUMMYFUNCTION("GOOGLETRANSLATE(C191, ""en"", ""fr"")"),"wapiti")</f>
        <v>wapiti</v>
      </c>
      <c r="G191" s="8" t="str">
        <f>IFERROR(__xludf.DUMMYFUNCTION("GOOGLETRANSLATE(C191, ""en"", ""de"")"),"Elch")</f>
        <v>Elch</v>
      </c>
      <c r="H191" s="8" t="str">
        <f>IFERROR(__xludf.DUMMYFUNCTION("GOOGLETRANSLATE(C191, ""en"", ""ru"")"),"лось")</f>
        <v>лось</v>
      </c>
      <c r="I191" s="8" t="str">
        <f>IFERROR(__xludf.DUMMYFUNCTION("GOOGLETRANSLATE(C191, ""en"", ""ar"")"),"الأيل")</f>
        <v>الأيل</v>
      </c>
      <c r="J191" s="8"/>
      <c r="K191" s="7" t="str">
        <f>IFERROR(__xludf.DUMMYFUNCTION("CONCAT(REGEXREPLACE(C191,""[ ,]+"",""_""),"".mp3"")"),"elk.mp3")</f>
        <v>elk.mp3</v>
      </c>
      <c r="M191" s="4" t="s">
        <v>10</v>
      </c>
    </row>
    <row r="192" ht="15.75" customHeight="1">
      <c r="A192" s="1">
        <v>1560.0</v>
      </c>
      <c r="B192" s="3">
        <v>142.0</v>
      </c>
      <c r="C192" s="7" t="s">
        <v>258</v>
      </c>
      <c r="D192" s="8" t="str">
        <f>IFERROR(__xludf.DUMMYFUNCTION("GOOGLETRANSLATE(C192, ""en"", ""pt"")"),"bisão")</f>
        <v>bisão</v>
      </c>
      <c r="E192" s="8" t="str">
        <f>IFERROR(__xludf.DUMMYFUNCTION("GOOGLETRANSLATE(C192, ""en"", ""es"")"),"bisonte")</f>
        <v>bisonte</v>
      </c>
      <c r="F192" s="8" t="str">
        <f>IFERROR(__xludf.DUMMYFUNCTION("GOOGLETRANSLATE(C192, ""en"", ""fr"")"),"bison")</f>
        <v>bison</v>
      </c>
      <c r="G192" s="8" t="str">
        <f>IFERROR(__xludf.DUMMYFUNCTION("GOOGLETRANSLATE(C192, ""en"", ""de"")"),"Bison")</f>
        <v>Bison</v>
      </c>
      <c r="H192" s="8" t="str">
        <f>IFERROR(__xludf.DUMMYFUNCTION("GOOGLETRANSLATE(C192, ""en"", ""ru"")"),"бизон")</f>
        <v>бизон</v>
      </c>
      <c r="I192" s="8" t="str">
        <f>IFERROR(__xludf.DUMMYFUNCTION("GOOGLETRANSLATE(C192, ""en"", ""ar"")"),"البيسون")</f>
        <v>البيسون</v>
      </c>
      <c r="J192" s="8"/>
      <c r="K192" s="7" t="str">
        <f>IFERROR(__xludf.DUMMYFUNCTION("CONCAT(REGEXREPLACE(C192,""[ ,]+"",""_""),"".mp3"")"),"bison.mp3")</f>
        <v>bison.mp3</v>
      </c>
      <c r="M192" s="4" t="s">
        <v>10</v>
      </c>
    </row>
    <row r="193" ht="15.75" customHeight="1">
      <c r="A193" s="1">
        <v>1561.0</v>
      </c>
      <c r="B193" s="3">
        <v>142.0</v>
      </c>
      <c r="C193" s="7" t="s">
        <v>259</v>
      </c>
      <c r="D193" s="8" t="str">
        <f>IFERROR(__xludf.DUMMYFUNCTION("GOOGLETRANSLATE(C193, ""en"", ""pt"")"),"antílope")</f>
        <v>antílope</v>
      </c>
      <c r="E193" s="8" t="str">
        <f>IFERROR(__xludf.DUMMYFUNCTION("GOOGLETRANSLATE(C193, ""en"", ""es"")"),"antílope")</f>
        <v>antílope</v>
      </c>
      <c r="F193" s="8" t="str">
        <f>IFERROR(__xludf.DUMMYFUNCTION("GOOGLETRANSLATE(C193, ""en"", ""fr"")"),"antilope")</f>
        <v>antilope</v>
      </c>
      <c r="G193" s="8" t="str">
        <f>IFERROR(__xludf.DUMMYFUNCTION("GOOGLETRANSLATE(C193, ""en"", ""de"")"),"Antilope")</f>
        <v>Antilope</v>
      </c>
      <c r="H193" s="8" t="str">
        <f>IFERROR(__xludf.DUMMYFUNCTION("GOOGLETRANSLATE(C193, ""en"", ""ru"")"),"антилопа")</f>
        <v>антилопа</v>
      </c>
      <c r="I193" s="8" t="str">
        <f>IFERROR(__xludf.DUMMYFUNCTION("GOOGLETRANSLATE(C193, ""en"", ""ar"")"),"الظباء")</f>
        <v>الظباء</v>
      </c>
      <c r="J193" s="8"/>
      <c r="K193" s="7" t="str">
        <f>IFERROR(__xludf.DUMMYFUNCTION("CONCAT(REGEXREPLACE(C193,""[ ,]+"",""_""),"".mp3"")"),"antelope.mp3")</f>
        <v>antelope.mp3</v>
      </c>
      <c r="M193" s="4" t="s">
        <v>10</v>
      </c>
    </row>
    <row r="194" ht="15.75" customHeight="1">
      <c r="A194" s="1">
        <v>1562.0</v>
      </c>
      <c r="B194" s="3">
        <v>142.0</v>
      </c>
      <c r="C194" s="7" t="s">
        <v>260</v>
      </c>
      <c r="D194" s="8" t="str">
        <f>IFERROR(__xludf.DUMMYFUNCTION("GOOGLETRANSLATE(C194, ""en"", ""pt"")"),"camelo")</f>
        <v>camelo</v>
      </c>
      <c r="E194" s="8" t="str">
        <f>IFERROR(__xludf.DUMMYFUNCTION("GOOGLETRANSLATE(C194, ""en"", ""es"")"),"camello")</f>
        <v>camello</v>
      </c>
      <c r="F194" s="8" t="str">
        <f>IFERROR(__xludf.DUMMYFUNCTION("GOOGLETRANSLATE(C194, ""en"", ""fr"")"),"chameau")</f>
        <v>chameau</v>
      </c>
      <c r="G194" s="8" t="str">
        <f>IFERROR(__xludf.DUMMYFUNCTION("GOOGLETRANSLATE(C194, ""en"", ""de"")"),"Kamel")</f>
        <v>Kamel</v>
      </c>
      <c r="H194" s="8" t="str">
        <f>IFERROR(__xludf.DUMMYFUNCTION("GOOGLETRANSLATE(C194, ""en"", ""ru"")"),"верблюд")</f>
        <v>верблюд</v>
      </c>
      <c r="I194" s="8" t="str">
        <f>IFERROR(__xludf.DUMMYFUNCTION("GOOGLETRANSLATE(C194, ""en"", ""ar"")"),"جمل")</f>
        <v>جمل</v>
      </c>
      <c r="J194" s="8"/>
      <c r="K194" s="7" t="str">
        <f>IFERROR(__xludf.DUMMYFUNCTION("CONCAT(REGEXREPLACE(C194,""[ ,]+"",""_""),"".mp3"")"),"camel.mp3")</f>
        <v>camel.mp3</v>
      </c>
      <c r="M194" s="4" t="s">
        <v>10</v>
      </c>
    </row>
    <row r="195" ht="15.75" customHeight="1">
      <c r="A195" s="1">
        <v>1563.0</v>
      </c>
      <c r="B195" s="3">
        <v>142.0</v>
      </c>
      <c r="C195" s="7" t="s">
        <v>261</v>
      </c>
      <c r="D195" s="8" t="str">
        <f>IFERROR(__xludf.DUMMYFUNCTION("GOOGLETRANSLATE(C195, ""en"", ""pt"")"),"canguru")</f>
        <v>canguru</v>
      </c>
      <c r="E195" s="8" t="str">
        <f>IFERROR(__xludf.DUMMYFUNCTION("GOOGLETRANSLATE(C195, ""en"", ""es"")"),"canguro")</f>
        <v>canguro</v>
      </c>
      <c r="F195" s="8" t="str">
        <f>IFERROR(__xludf.DUMMYFUNCTION("GOOGLETRANSLATE(C195, ""en"", ""fr"")"),"kangourou")</f>
        <v>kangourou</v>
      </c>
      <c r="G195" s="8" t="str">
        <f>IFERROR(__xludf.DUMMYFUNCTION("GOOGLETRANSLATE(C195, ""en"", ""de"")"),"Känguru")</f>
        <v>Känguru</v>
      </c>
      <c r="H195" s="8" t="str">
        <f>IFERROR(__xludf.DUMMYFUNCTION("GOOGLETRANSLATE(C195, ""en"", ""ru"")"),"кенгуру")</f>
        <v>кенгуру</v>
      </c>
      <c r="I195" s="8" t="str">
        <f>IFERROR(__xludf.DUMMYFUNCTION("GOOGLETRANSLATE(C195, ""en"", ""ar"")"),"كنغر")</f>
        <v>كنغر</v>
      </c>
      <c r="J195" s="8"/>
      <c r="K195" s="7" t="str">
        <f>IFERROR(__xludf.DUMMYFUNCTION("CONCAT(REGEXREPLACE(C195,""[ ,]+"",""_""),"".mp3"")"),"kangaroo.mp3")</f>
        <v>kangaroo.mp3</v>
      </c>
      <c r="M195" s="4" t="s">
        <v>10</v>
      </c>
    </row>
    <row r="196" ht="15.75" customHeight="1">
      <c r="A196" s="1">
        <v>1564.0</v>
      </c>
      <c r="B196" s="3">
        <v>142.0</v>
      </c>
      <c r="C196" s="7" t="s">
        <v>262</v>
      </c>
      <c r="D196" s="8" t="str">
        <f>IFERROR(__xludf.DUMMYFUNCTION("GOOGLETRANSLATE(C196, ""en"", ""pt"")"),"coala")</f>
        <v>coala</v>
      </c>
      <c r="E196" s="8" t="str">
        <f>IFERROR(__xludf.DUMMYFUNCTION("GOOGLETRANSLATE(C196, ""en"", ""es"")"),"coala")</f>
        <v>coala</v>
      </c>
      <c r="F196" s="8" t="str">
        <f>IFERROR(__xludf.DUMMYFUNCTION("GOOGLETRANSLATE(C196, ""en"", ""fr"")"),"koala")</f>
        <v>koala</v>
      </c>
      <c r="G196" s="8" t="str">
        <f>IFERROR(__xludf.DUMMYFUNCTION("GOOGLETRANSLATE(C196, ""en"", ""de"")"),"Koala")</f>
        <v>Koala</v>
      </c>
      <c r="H196" s="8" t="str">
        <f>IFERROR(__xludf.DUMMYFUNCTION("GOOGLETRANSLATE(C196, ""en"", ""ru"")"),"коала")</f>
        <v>коала</v>
      </c>
      <c r="I196" s="8" t="str">
        <f>IFERROR(__xludf.DUMMYFUNCTION("GOOGLETRANSLATE(C196, ""en"", ""ar"")"),"الكوالا")</f>
        <v>الكوالا</v>
      </c>
      <c r="J196" s="8"/>
      <c r="K196" s="7" t="str">
        <f>IFERROR(__xludf.DUMMYFUNCTION("CONCAT(REGEXREPLACE(C196,""[ ,]+"",""_""),"".mp3"")"),"koala.mp3")</f>
        <v>koala.mp3</v>
      </c>
      <c r="M196" s="4" t="s">
        <v>10</v>
      </c>
    </row>
    <row r="197" ht="15.75" customHeight="1">
      <c r="A197" s="1">
        <v>1565.0</v>
      </c>
      <c r="B197" s="3">
        <v>142.0</v>
      </c>
      <c r="C197" s="7" t="s">
        <v>263</v>
      </c>
      <c r="D197" s="8" t="str">
        <f>IFERROR(__xludf.DUMMYFUNCTION("GOOGLETRANSLATE(C197, ""en"", ""pt"")"),"preguiça")</f>
        <v>preguiça</v>
      </c>
      <c r="E197" s="8" t="str">
        <f>IFERROR(__xludf.DUMMYFUNCTION("GOOGLETRANSLATE(C197, ""en"", ""es"")"),"ranura")</f>
        <v>ranura</v>
      </c>
      <c r="F197" s="8" t="str">
        <f>IFERROR(__xludf.DUMMYFUNCTION("GOOGLETRANSLATE(C197, ""en"", ""fr"")"),"paresseux")</f>
        <v>paresseux</v>
      </c>
      <c r="G197" s="8" t="str">
        <f>IFERROR(__xludf.DUMMYFUNCTION("GOOGLETRANSLATE(C197, ""en"", ""de"")"),"Faultier")</f>
        <v>Faultier</v>
      </c>
      <c r="H197" s="8" t="str">
        <f>IFERROR(__xludf.DUMMYFUNCTION("GOOGLETRANSLATE(C197, ""en"", ""ru"")"),"лень")</f>
        <v>лень</v>
      </c>
      <c r="I197" s="8" t="str">
        <f>IFERROR(__xludf.DUMMYFUNCTION("GOOGLETRANSLATE(C197, ""en"", ""ar"")"),"كسل")</f>
        <v>كسل</v>
      </c>
      <c r="J197" s="8"/>
      <c r="K197" s="7" t="str">
        <f>IFERROR(__xludf.DUMMYFUNCTION("CONCAT(REGEXREPLACE(C197,""[ ,]+"",""_""),"".mp3"")"),"sloth.mp3")</f>
        <v>sloth.mp3</v>
      </c>
      <c r="M197" s="4" t="s">
        <v>10</v>
      </c>
    </row>
    <row r="198" ht="15.75" customHeight="1">
      <c r="A198" s="1">
        <v>1566.0</v>
      </c>
      <c r="B198" s="3">
        <v>142.0</v>
      </c>
      <c r="C198" s="7" t="s">
        <v>264</v>
      </c>
      <c r="D198" s="8" t="str">
        <f>IFERROR(__xludf.DUMMYFUNCTION("GOOGLETRANSLATE(C198, ""en"", ""pt"")"),"macaco")</f>
        <v>macaco</v>
      </c>
      <c r="E198" s="8" t="str">
        <f>IFERROR(__xludf.DUMMYFUNCTION("GOOGLETRANSLATE(C198, ""en"", ""es"")"),"mono")</f>
        <v>mono</v>
      </c>
      <c r="F198" s="8" t="str">
        <f>IFERROR(__xludf.DUMMYFUNCTION("GOOGLETRANSLATE(C198, ""en"", ""fr"")"),"singe")</f>
        <v>singe</v>
      </c>
      <c r="G198" s="8" t="str">
        <f>IFERROR(__xludf.DUMMYFUNCTION("GOOGLETRANSLATE(C198, ""en"", ""de"")"),"Affe")</f>
        <v>Affe</v>
      </c>
      <c r="H198" s="8" t="str">
        <f>IFERROR(__xludf.DUMMYFUNCTION("GOOGLETRANSLATE(C198, ""en"", ""ru"")"),"обезьяна")</f>
        <v>обезьяна</v>
      </c>
      <c r="I198" s="8" t="str">
        <f>IFERROR(__xludf.DUMMYFUNCTION("GOOGLETRANSLATE(C198, ""en"", ""ar"")"),"قرد")</f>
        <v>قرد</v>
      </c>
      <c r="J198" s="8"/>
      <c r="K198" s="7" t="str">
        <f>IFERROR(__xludf.DUMMYFUNCTION("CONCAT(REGEXREPLACE(C198,""[ ,]+"",""_""),"".mp3"")"),"monkey.mp3")</f>
        <v>monkey.mp3</v>
      </c>
      <c r="M198" s="4" t="s">
        <v>10</v>
      </c>
    </row>
    <row r="199" ht="15.75" customHeight="1">
      <c r="A199" s="1">
        <v>1567.0</v>
      </c>
      <c r="B199" s="3">
        <v>142.0</v>
      </c>
      <c r="C199" s="7" t="s">
        <v>265</v>
      </c>
      <c r="D199" s="8" t="str">
        <f>IFERROR(__xludf.DUMMYFUNCTION("GOOGLETRANSLATE(C199, ""en"", ""pt"")"),"chimpanzé")</f>
        <v>chimpanzé</v>
      </c>
      <c r="E199" s="8" t="str">
        <f>IFERROR(__xludf.DUMMYFUNCTION("GOOGLETRANSLATE(C199, ""en"", ""es"")"),"chimpancé")</f>
        <v>chimpancé</v>
      </c>
      <c r="F199" s="8" t="str">
        <f>IFERROR(__xludf.DUMMYFUNCTION("GOOGLETRANSLATE(C199, ""en"", ""fr"")"),"chimpanzé")</f>
        <v>chimpanzé</v>
      </c>
      <c r="G199" s="8" t="str">
        <f>IFERROR(__xludf.DUMMYFUNCTION("GOOGLETRANSLATE(C199, ""en"", ""de"")"),"Schimpanse")</f>
        <v>Schimpanse</v>
      </c>
      <c r="H199" s="8" t="str">
        <f>IFERROR(__xludf.DUMMYFUNCTION("GOOGLETRANSLATE(C199, ""en"", ""ru"")"),"шимпанзе")</f>
        <v>шимпанзе</v>
      </c>
      <c r="I199" s="8" t="str">
        <f>IFERROR(__xludf.DUMMYFUNCTION("GOOGLETRANSLATE(C199, ""en"", ""ar"")"),"الشمبانزي")</f>
        <v>الشمبانزي</v>
      </c>
      <c r="J199" s="8"/>
      <c r="K199" s="7" t="str">
        <f>IFERROR(__xludf.DUMMYFUNCTION("CONCAT(REGEXREPLACE(C199,""[ ,]+"",""_""),"".mp3"")"),"chimpanzee.mp3")</f>
        <v>chimpanzee.mp3</v>
      </c>
      <c r="M199" s="4" t="s">
        <v>10</v>
      </c>
    </row>
    <row r="200" ht="15.75" customHeight="1">
      <c r="A200" s="1">
        <v>1568.0</v>
      </c>
      <c r="B200" s="3">
        <v>142.0</v>
      </c>
      <c r="C200" s="7" t="s">
        <v>266</v>
      </c>
      <c r="D200" s="8" t="str">
        <f>IFERROR(__xludf.DUMMYFUNCTION("GOOGLETRANSLATE(C200, ""en"", ""pt"")"),"gorila")</f>
        <v>gorila</v>
      </c>
      <c r="E200" s="8" t="str">
        <f>IFERROR(__xludf.DUMMYFUNCTION("GOOGLETRANSLATE(C200, ""en"", ""es"")"),"gorila")</f>
        <v>gorila</v>
      </c>
      <c r="F200" s="8" t="str">
        <f>IFERROR(__xludf.DUMMYFUNCTION("GOOGLETRANSLATE(C200, ""en"", ""fr"")"),"gorille")</f>
        <v>gorille</v>
      </c>
      <c r="G200" s="8" t="str">
        <f>IFERROR(__xludf.DUMMYFUNCTION("GOOGLETRANSLATE(C200, ""en"", ""de"")"),"Gorilla")</f>
        <v>Gorilla</v>
      </c>
      <c r="H200" s="8" t="str">
        <f>IFERROR(__xludf.DUMMYFUNCTION("GOOGLETRANSLATE(C200, ""en"", ""ru"")"),"горилла")</f>
        <v>горилла</v>
      </c>
      <c r="I200" s="8" t="str">
        <f>IFERROR(__xludf.DUMMYFUNCTION("GOOGLETRANSLATE(C200, ""en"", ""ar"")"),"غوريلا")</f>
        <v>غوريلا</v>
      </c>
      <c r="J200" s="8"/>
      <c r="K200" s="7" t="str">
        <f>IFERROR(__xludf.DUMMYFUNCTION("CONCAT(REGEXREPLACE(C200,""[ ,]+"",""_""),"".mp3"")"),"gorilla.mp3")</f>
        <v>gorilla.mp3</v>
      </c>
      <c r="M200" s="4" t="s">
        <v>10</v>
      </c>
    </row>
    <row r="201" ht="15.75" customHeight="1">
      <c r="A201" s="1">
        <v>1569.0</v>
      </c>
      <c r="B201" s="3">
        <v>142.0</v>
      </c>
      <c r="C201" s="7" t="s">
        <v>267</v>
      </c>
      <c r="D201" s="8" t="str">
        <f>IFERROR(__xludf.DUMMYFUNCTION("GOOGLETRANSLATE(C201, ""en"", ""pt"")"),"orangotango")</f>
        <v>orangotango</v>
      </c>
      <c r="E201" s="8" t="str">
        <f>IFERROR(__xludf.DUMMYFUNCTION("GOOGLETRANSLATE(C201, ""en"", ""es"")"),"orangután")</f>
        <v>orangután</v>
      </c>
      <c r="F201" s="8" t="str">
        <f>IFERROR(__xludf.DUMMYFUNCTION("GOOGLETRANSLATE(C201, ""en"", ""fr"")"),"orang-outan")</f>
        <v>orang-outan</v>
      </c>
      <c r="G201" s="8" t="str">
        <f>IFERROR(__xludf.DUMMYFUNCTION("GOOGLETRANSLATE(C201, ""en"", ""de"")"),"Orang-Utan")</f>
        <v>Orang-Utan</v>
      </c>
      <c r="H201" s="8" t="str">
        <f>IFERROR(__xludf.DUMMYFUNCTION("GOOGLETRANSLATE(C201, ""en"", ""ru"")"),"орангутан")</f>
        <v>орангутан</v>
      </c>
      <c r="I201" s="8" t="str">
        <f>IFERROR(__xludf.DUMMYFUNCTION("GOOGLETRANSLATE(C201, ""en"", ""ar"")"),"إنسان الغاب")</f>
        <v>إنسان الغاب</v>
      </c>
      <c r="J201" s="8"/>
      <c r="K201" s="7" t="str">
        <f>IFERROR(__xludf.DUMMYFUNCTION("CONCAT(REGEXREPLACE(C201,""[ ,]+"",""_""),"".mp3"")"),"orangutan.mp3")</f>
        <v>orangutan.mp3</v>
      </c>
      <c r="M201" s="4" t="s">
        <v>10</v>
      </c>
    </row>
    <row r="202" ht="15.75" customHeight="1">
      <c r="A202" s="1">
        <v>1570.0</v>
      </c>
      <c r="B202" s="3">
        <v>142.0</v>
      </c>
      <c r="C202" s="7" t="s">
        <v>268</v>
      </c>
      <c r="D202" s="8" t="str">
        <f>IFERROR(__xludf.DUMMYFUNCTION("GOOGLETRANSLATE(C202, ""en"", ""pt"")"),"lince")</f>
        <v>lince</v>
      </c>
      <c r="E202" s="8" t="str">
        <f>IFERROR(__xludf.DUMMYFUNCTION("GOOGLETRANSLATE(C202, ""en"", ""es"")"),"lince")</f>
        <v>lince</v>
      </c>
      <c r="F202" s="8" t="str">
        <f>IFERROR(__xludf.DUMMYFUNCTION("GOOGLETRANSLATE(C202, ""en"", ""fr"")"),"lynx")</f>
        <v>lynx</v>
      </c>
      <c r="G202" s="8" t="str">
        <f>IFERROR(__xludf.DUMMYFUNCTION("GOOGLETRANSLATE(C202, ""en"", ""de"")"),"Luchs")</f>
        <v>Luchs</v>
      </c>
      <c r="H202" s="8" t="str">
        <f>IFERROR(__xludf.DUMMYFUNCTION("GOOGLETRANSLATE(C202, ""en"", ""ru"")"),"рысь")</f>
        <v>рысь</v>
      </c>
      <c r="I202" s="8" t="str">
        <f>IFERROR(__xludf.DUMMYFUNCTION("GOOGLETRANSLATE(C202, ""en"", ""ar"")"),"الوشق")</f>
        <v>الوشق</v>
      </c>
      <c r="J202" s="8"/>
      <c r="K202" s="7" t="str">
        <f>IFERROR(__xludf.DUMMYFUNCTION("CONCAT(REGEXREPLACE(C202,""[ ,]+"",""_""),"".mp3"")"),"lynx.mp3")</f>
        <v>lynx.mp3</v>
      </c>
      <c r="M202" s="4" t="s">
        <v>10</v>
      </c>
    </row>
    <row r="203" ht="15.75" customHeight="1">
      <c r="A203" s="1">
        <v>1571.0</v>
      </c>
      <c r="B203" s="3">
        <v>142.0</v>
      </c>
      <c r="C203" s="7" t="s">
        <v>269</v>
      </c>
      <c r="D203" s="8" t="str">
        <f>IFERROR(__xludf.DUMMYFUNCTION("GOOGLETRANSLATE(C203, ""en"", ""pt"")"),"glutão")</f>
        <v>glutão</v>
      </c>
      <c r="E203" s="8" t="str">
        <f>IFERROR(__xludf.DUMMYFUNCTION("GOOGLETRANSLATE(C203, ""en"", ""es"")"),"glotón")</f>
        <v>glotón</v>
      </c>
      <c r="F203" s="8" t="str">
        <f>IFERROR(__xludf.DUMMYFUNCTION("GOOGLETRANSLATE(C203, ""en"", ""fr"")"),"carcajou")</f>
        <v>carcajou</v>
      </c>
      <c r="G203" s="8" t="str">
        <f>IFERROR(__xludf.DUMMYFUNCTION("GOOGLETRANSLATE(C203, ""en"", ""de"")"),"Vielfraß")</f>
        <v>Vielfraß</v>
      </c>
      <c r="H203" s="8" t="str">
        <f>IFERROR(__xludf.DUMMYFUNCTION("GOOGLETRANSLATE(C203, ""en"", ""ru"")"),"росомаха")</f>
        <v>росомаха</v>
      </c>
      <c r="I203" s="8" t="str">
        <f>IFERROR(__xludf.DUMMYFUNCTION("GOOGLETRANSLATE(C203, ""en"", ""ar"")"),"ولفيرين")</f>
        <v>ولفيرين</v>
      </c>
      <c r="J203" s="8"/>
      <c r="K203" s="7" t="str">
        <f>IFERROR(__xludf.DUMMYFUNCTION("CONCAT(REGEXREPLACE(C203,""[ ,]+"",""_""),"".mp3"")"),"wolverine.mp3")</f>
        <v>wolverine.mp3</v>
      </c>
      <c r="M203" s="4" t="s">
        <v>10</v>
      </c>
    </row>
    <row r="204" ht="15.75" customHeight="1">
      <c r="A204" s="1">
        <v>1572.0</v>
      </c>
      <c r="B204" s="3">
        <v>142.0</v>
      </c>
      <c r="C204" s="7" t="s">
        <v>270</v>
      </c>
      <c r="D204" s="8" t="str">
        <f>IFERROR(__xludf.DUMMYFUNCTION("GOOGLETRANSLATE(C204, ""en"", ""pt"")"),"tatu")</f>
        <v>tatu</v>
      </c>
      <c r="E204" s="8" t="str">
        <f>IFERROR(__xludf.DUMMYFUNCTION("GOOGLETRANSLATE(C204, ""en"", ""es"")"),"armadillo")</f>
        <v>armadillo</v>
      </c>
      <c r="F204" s="8" t="str">
        <f>IFERROR(__xludf.DUMMYFUNCTION("GOOGLETRANSLATE(C204, ""en"", ""fr"")"),"tatou")</f>
        <v>tatou</v>
      </c>
      <c r="G204" s="8" t="str">
        <f>IFERROR(__xludf.DUMMYFUNCTION("GOOGLETRANSLATE(C204, ""en"", ""de"")"),"Gürteltier")</f>
        <v>Gürteltier</v>
      </c>
      <c r="H204" s="8" t="str">
        <f>IFERROR(__xludf.DUMMYFUNCTION("GOOGLETRANSLATE(C204, ""en"", ""ru"")"),"броненосец")</f>
        <v>броненосец</v>
      </c>
      <c r="I204" s="8" t="str">
        <f>IFERROR(__xludf.DUMMYFUNCTION("GOOGLETRANSLATE(C204, ""en"", ""ar"")"),"المدرع")</f>
        <v>المدرع</v>
      </c>
      <c r="J204" s="8"/>
      <c r="K204" s="7" t="str">
        <f>IFERROR(__xludf.DUMMYFUNCTION("CONCAT(REGEXREPLACE(C204,""[ ,]+"",""_""),"".mp3"")"),"armadillo.mp3")</f>
        <v>armadillo.mp3</v>
      </c>
      <c r="M204" s="4" t="s">
        <v>10</v>
      </c>
    </row>
    <row r="205" ht="15.75" customHeight="1">
      <c r="A205" s="1">
        <v>1573.0</v>
      </c>
      <c r="B205" s="3">
        <v>142.0</v>
      </c>
      <c r="C205" s="7" t="s">
        <v>271</v>
      </c>
      <c r="D205" s="8" t="str">
        <f>IFERROR(__xludf.DUMMYFUNCTION("GOOGLETRANSLATE(C205, ""en"", ""pt"")"),"ouriço")</f>
        <v>ouriço</v>
      </c>
      <c r="E205" s="8" t="str">
        <f>IFERROR(__xludf.DUMMYFUNCTION("GOOGLETRANSLATE(C205, ""en"", ""es"")"),"erizo")</f>
        <v>erizo</v>
      </c>
      <c r="F205" s="8" t="str">
        <f>IFERROR(__xludf.DUMMYFUNCTION("GOOGLETRANSLATE(C205, ""en"", ""fr"")"),"hérisson")</f>
        <v>hérisson</v>
      </c>
      <c r="G205" s="8" t="str">
        <f>IFERROR(__xludf.DUMMYFUNCTION("GOOGLETRANSLATE(C205, ""en"", ""de"")"),"Igel")</f>
        <v>Igel</v>
      </c>
      <c r="H205" s="8" t="str">
        <f>IFERROR(__xludf.DUMMYFUNCTION("GOOGLETRANSLATE(C205, ""en"", ""ru"")"),"ёжик")</f>
        <v>ёжик</v>
      </c>
      <c r="I205" s="8" t="str">
        <f>IFERROR(__xludf.DUMMYFUNCTION("GOOGLETRANSLATE(C205, ""en"", ""ar"")"),"القنفذ")</f>
        <v>القنفذ</v>
      </c>
      <c r="J205" s="8"/>
      <c r="K205" s="7" t="str">
        <f>IFERROR(__xludf.DUMMYFUNCTION("CONCAT(REGEXREPLACE(C205,""[ ,]+"",""_""),"".mp3"")"),"hedgehog.mp3")</f>
        <v>hedgehog.mp3</v>
      </c>
      <c r="M205" s="4" t="s">
        <v>10</v>
      </c>
    </row>
    <row r="206" ht="15.75" customHeight="1">
      <c r="A206" s="1">
        <v>1574.0</v>
      </c>
      <c r="B206" s="3">
        <v>142.0</v>
      </c>
      <c r="C206" s="7" t="s">
        <v>272</v>
      </c>
      <c r="D206" s="8" t="str">
        <f>IFERROR(__xludf.DUMMYFUNCTION("GOOGLETRANSLATE(C206, ""en"", ""pt"")"),"esquilo")</f>
        <v>esquilo</v>
      </c>
      <c r="E206" s="8" t="str">
        <f>IFERROR(__xludf.DUMMYFUNCTION("GOOGLETRANSLATE(C206, ""en"", ""es"")"),"ardilla")</f>
        <v>ardilla</v>
      </c>
      <c r="F206" s="8" t="str">
        <f>IFERROR(__xludf.DUMMYFUNCTION("GOOGLETRANSLATE(C206, ""en"", ""fr"")"),"écureuil")</f>
        <v>écureuil</v>
      </c>
      <c r="G206" s="8" t="str">
        <f>IFERROR(__xludf.DUMMYFUNCTION("GOOGLETRANSLATE(C206, ""en"", ""de"")"),"Eichhörnchen")</f>
        <v>Eichhörnchen</v>
      </c>
      <c r="H206" s="8" t="str">
        <f>IFERROR(__xludf.DUMMYFUNCTION("GOOGLETRANSLATE(C206, ""en"", ""ru"")"),"белка")</f>
        <v>белка</v>
      </c>
      <c r="I206" s="8" t="str">
        <f>IFERROR(__xludf.DUMMYFUNCTION("GOOGLETRANSLATE(C206, ""en"", ""ar"")"),"سنجاب")</f>
        <v>سنجاب</v>
      </c>
      <c r="J206" s="8"/>
      <c r="K206" s="7" t="str">
        <f>IFERROR(__xludf.DUMMYFUNCTION("CONCAT(REGEXREPLACE(C206,""[ ,]+"",""_""),"".mp3"")"),"squirrel.mp3")</f>
        <v>squirrel.mp3</v>
      </c>
      <c r="M206" s="4" t="s">
        <v>10</v>
      </c>
    </row>
    <row r="207" ht="15.75" customHeight="1">
      <c r="A207" s="1">
        <v>1575.0</v>
      </c>
      <c r="B207" s="3">
        <v>142.0</v>
      </c>
      <c r="C207" s="7" t="s">
        <v>273</v>
      </c>
      <c r="D207" s="8" t="str">
        <f>IFERROR(__xludf.DUMMYFUNCTION("GOOGLETRANSLATE(C207, ""en"", ""pt"")"),"verruga")</f>
        <v>verruga</v>
      </c>
      <c r="E207" s="8" t="str">
        <f>IFERROR(__xludf.DUMMYFUNCTION("GOOGLETRANSLATE(C207, ""en"", ""es"")"),"lunar")</f>
        <v>lunar</v>
      </c>
      <c r="F207" s="8" t="str">
        <f>IFERROR(__xludf.DUMMYFUNCTION("GOOGLETRANSLATE(C207, ""en"", ""fr"")"),"taupe")</f>
        <v>taupe</v>
      </c>
      <c r="G207" s="8" t="str">
        <f>IFERROR(__xludf.DUMMYFUNCTION("GOOGLETRANSLATE(C207, ""en"", ""de"")"),"Mol")</f>
        <v>Mol</v>
      </c>
      <c r="H207" s="8" t="str">
        <f>IFERROR(__xludf.DUMMYFUNCTION("GOOGLETRANSLATE(C207, ""en"", ""ru"")"),"крот")</f>
        <v>крот</v>
      </c>
      <c r="I207" s="8" t="str">
        <f>IFERROR(__xludf.DUMMYFUNCTION("GOOGLETRANSLATE(C207, ""en"", ""ar"")"),"الخلد")</f>
        <v>الخلد</v>
      </c>
      <c r="J207" s="8"/>
      <c r="K207" s="7" t="str">
        <f>IFERROR(__xludf.DUMMYFUNCTION("CONCAT(REGEXREPLACE(C207,""[ ,]+"",""_""),"".mp3"")"),"mole.mp3")</f>
        <v>mole.mp3</v>
      </c>
      <c r="M207" s="4" t="s">
        <v>10</v>
      </c>
    </row>
    <row r="208" ht="15.75" customHeight="1">
      <c r="A208" s="1">
        <v>1576.0</v>
      </c>
      <c r="B208" s="3">
        <v>142.0</v>
      </c>
      <c r="C208" s="7" t="s">
        <v>274</v>
      </c>
      <c r="D208" s="8" t="str">
        <f>IFERROR(__xludf.DUMMYFUNCTION("GOOGLETRANSLATE(C208, ""en"", ""pt"")"),"bastão")</f>
        <v>bastão</v>
      </c>
      <c r="E208" s="8" t="str">
        <f>IFERROR(__xludf.DUMMYFUNCTION("GOOGLETRANSLATE(C208, ""en"", ""es"")"),"murciélago")</f>
        <v>murciélago</v>
      </c>
      <c r="F208" s="8" t="str">
        <f>IFERROR(__xludf.DUMMYFUNCTION("GOOGLETRANSLATE(C208, ""en"", ""fr"")"),"batte")</f>
        <v>batte</v>
      </c>
      <c r="G208" s="8" t="str">
        <f>IFERROR(__xludf.DUMMYFUNCTION("GOOGLETRANSLATE(C208, ""en"", ""de"")"),"Schläger")</f>
        <v>Schläger</v>
      </c>
      <c r="H208" s="8" t="str">
        <f>IFERROR(__xludf.DUMMYFUNCTION("GOOGLETRANSLATE(C208, ""en"", ""ru"")"),"летучая мышь")</f>
        <v>летучая мышь</v>
      </c>
      <c r="I208" s="8" t="str">
        <f>IFERROR(__xludf.DUMMYFUNCTION("GOOGLETRANSLATE(C208, ""en"", ""ar"")"),"الخفاش")</f>
        <v>الخفاش</v>
      </c>
      <c r="J208" s="8"/>
      <c r="K208" s="7" t="str">
        <f>IFERROR(__xludf.DUMMYFUNCTION("CONCAT(REGEXREPLACE(C208,""[ ,]+"",""_""),"".mp3"")"),"bat.mp3")</f>
        <v>bat.mp3</v>
      </c>
      <c r="M208" s="4" t="s">
        <v>10</v>
      </c>
    </row>
    <row r="209" ht="15.75" customHeight="1">
      <c r="A209" s="1">
        <v>1577.0</v>
      </c>
      <c r="B209" s="3">
        <v>142.0</v>
      </c>
      <c r="C209" s="7" t="s">
        <v>275</v>
      </c>
      <c r="D209" s="8" t="str">
        <f>IFERROR(__xludf.DUMMYFUNCTION("GOOGLETRANSLATE(C209, ""en"", ""pt"")"),"águia")</f>
        <v>águia</v>
      </c>
      <c r="E209" s="8" t="str">
        <f>IFERROR(__xludf.DUMMYFUNCTION("GOOGLETRANSLATE(C209, ""en"", ""es"")"),"águila")</f>
        <v>águila</v>
      </c>
      <c r="F209" s="8" t="str">
        <f>IFERROR(__xludf.DUMMYFUNCTION("GOOGLETRANSLATE(C209, ""en"", ""fr"")"),"aigle")</f>
        <v>aigle</v>
      </c>
      <c r="G209" s="8" t="str">
        <f>IFERROR(__xludf.DUMMYFUNCTION("GOOGLETRANSLATE(C209, ""en"", ""de"")"),"Adler")</f>
        <v>Adler</v>
      </c>
      <c r="H209" s="8" t="str">
        <f>IFERROR(__xludf.DUMMYFUNCTION("GOOGLETRANSLATE(C209, ""en"", ""ru"")"),"орёл")</f>
        <v>орёл</v>
      </c>
      <c r="I209" s="8" t="str">
        <f>IFERROR(__xludf.DUMMYFUNCTION("GOOGLETRANSLATE(C209, ""en"", ""ar"")"),"نسر")</f>
        <v>نسر</v>
      </c>
      <c r="J209" s="8"/>
      <c r="K209" s="7" t="str">
        <f>IFERROR(__xludf.DUMMYFUNCTION("CONCAT(REGEXREPLACE(C209,""[ ,]+"",""_""),"".mp3"")"),"eagle.mp3")</f>
        <v>eagle.mp3</v>
      </c>
      <c r="M209" s="4" t="s">
        <v>10</v>
      </c>
    </row>
    <row r="210" ht="15.75" customHeight="1">
      <c r="A210" s="1">
        <v>1578.0</v>
      </c>
      <c r="B210" s="3">
        <v>142.0</v>
      </c>
      <c r="C210" s="7" t="s">
        <v>276</v>
      </c>
      <c r="D210" s="8" t="str">
        <f>IFERROR(__xludf.DUMMYFUNCTION("GOOGLETRANSLATE(C210, ""en"", ""pt"")"),"falcão")</f>
        <v>falcão</v>
      </c>
      <c r="E210" s="8" t="str">
        <f>IFERROR(__xludf.DUMMYFUNCTION("GOOGLETRANSLATE(C210, ""en"", ""es"")"),"halcón")</f>
        <v>halcón</v>
      </c>
      <c r="F210" s="8" t="str">
        <f>IFERROR(__xludf.DUMMYFUNCTION("GOOGLETRANSLATE(C210, ""en"", ""fr"")"),"faucon")</f>
        <v>faucon</v>
      </c>
      <c r="G210" s="8" t="str">
        <f>IFERROR(__xludf.DUMMYFUNCTION("GOOGLETRANSLATE(C210, ""en"", ""de"")"),"Falke")</f>
        <v>Falke</v>
      </c>
      <c r="H210" s="8" t="str">
        <f>IFERROR(__xludf.DUMMYFUNCTION("GOOGLETRANSLATE(C210, ""en"", ""ru"")"),"ястреб")</f>
        <v>ястреб</v>
      </c>
      <c r="I210" s="8" t="str">
        <f>IFERROR(__xludf.DUMMYFUNCTION("GOOGLETRANSLATE(C210, ""en"", ""ar"")"),"صقر")</f>
        <v>صقر</v>
      </c>
      <c r="J210" s="8"/>
      <c r="K210" s="7" t="str">
        <f>IFERROR(__xludf.DUMMYFUNCTION("CONCAT(REGEXREPLACE(C210,""[ ,]+"",""_""),"".mp3"")"),"hawk.mp3")</f>
        <v>hawk.mp3</v>
      </c>
      <c r="M210" s="4" t="s">
        <v>10</v>
      </c>
    </row>
    <row r="211" ht="15.75" customHeight="1">
      <c r="A211" s="1">
        <v>1579.0</v>
      </c>
      <c r="B211" s="3">
        <v>142.0</v>
      </c>
      <c r="C211" s="7" t="s">
        <v>277</v>
      </c>
      <c r="D211" s="8" t="str">
        <f>IFERROR(__xludf.DUMMYFUNCTION("GOOGLETRANSLATE(C211, ""en"", ""pt"")"),"falcão")</f>
        <v>falcão</v>
      </c>
      <c r="E211" s="8" t="str">
        <f>IFERROR(__xludf.DUMMYFUNCTION("GOOGLETRANSLATE(C211, ""en"", ""es"")"),"halcón")</f>
        <v>halcón</v>
      </c>
      <c r="F211" s="8" t="str">
        <f>IFERROR(__xludf.DUMMYFUNCTION("GOOGLETRANSLATE(C211, ""en"", ""fr"")"),"faucon")</f>
        <v>faucon</v>
      </c>
      <c r="G211" s="8" t="str">
        <f>IFERROR(__xludf.DUMMYFUNCTION("GOOGLETRANSLATE(C211, ""en"", ""de"")"),"Falke")</f>
        <v>Falke</v>
      </c>
      <c r="H211" s="8" t="str">
        <f>IFERROR(__xludf.DUMMYFUNCTION("GOOGLETRANSLATE(C211, ""en"", ""ru"")"),"сокол")</f>
        <v>сокол</v>
      </c>
      <c r="I211" s="8" t="str">
        <f>IFERROR(__xludf.DUMMYFUNCTION("GOOGLETRANSLATE(C211, ""en"", ""ar"")"),"صقر")</f>
        <v>صقر</v>
      </c>
      <c r="J211" s="8"/>
      <c r="K211" s="7" t="str">
        <f>IFERROR(__xludf.DUMMYFUNCTION("CONCAT(REGEXREPLACE(C211,""[ ,]+"",""_""),"".mp3"")"),"falcon.mp3")</f>
        <v>falcon.mp3</v>
      </c>
      <c r="M211" s="4" t="s">
        <v>10</v>
      </c>
    </row>
    <row r="212" ht="15.75" customHeight="1">
      <c r="A212" s="1">
        <v>1580.0</v>
      </c>
      <c r="B212" s="3">
        <v>142.0</v>
      </c>
      <c r="C212" s="7" t="s">
        <v>278</v>
      </c>
      <c r="D212" s="8" t="str">
        <f>IFERROR(__xludf.DUMMYFUNCTION("GOOGLETRANSLATE(C212, ""en"", ""pt"")"),"coruja")</f>
        <v>coruja</v>
      </c>
      <c r="E212" s="8" t="str">
        <f>IFERROR(__xludf.DUMMYFUNCTION("GOOGLETRANSLATE(C212, ""en"", ""es"")"),"búho")</f>
        <v>búho</v>
      </c>
      <c r="F212" s="8" t="str">
        <f>IFERROR(__xludf.DUMMYFUNCTION("GOOGLETRANSLATE(C212, ""en"", ""fr"")"),"hibou")</f>
        <v>hibou</v>
      </c>
      <c r="G212" s="8" t="str">
        <f>IFERROR(__xludf.DUMMYFUNCTION("GOOGLETRANSLATE(C212, ""en"", ""de"")"),"Eule")</f>
        <v>Eule</v>
      </c>
      <c r="H212" s="8" t="str">
        <f>IFERROR(__xludf.DUMMYFUNCTION("GOOGLETRANSLATE(C212, ""en"", ""ru"")"),"сова")</f>
        <v>сова</v>
      </c>
      <c r="I212" s="8" t="str">
        <f>IFERROR(__xludf.DUMMYFUNCTION("GOOGLETRANSLATE(C212, ""en"", ""ar"")"),"بُومَة")</f>
        <v>بُومَة</v>
      </c>
      <c r="J212" s="8"/>
      <c r="K212" s="7" t="str">
        <f>IFERROR(__xludf.DUMMYFUNCTION("CONCAT(REGEXREPLACE(C212,""[ ,]+"",""_""),"".mp3"")"),"owl.mp3")</f>
        <v>owl.mp3</v>
      </c>
      <c r="M212" s="4" t="s">
        <v>10</v>
      </c>
    </row>
    <row r="213" ht="15.75" customHeight="1">
      <c r="A213" s="1">
        <v>1581.0</v>
      </c>
      <c r="B213" s="3">
        <v>142.0</v>
      </c>
      <c r="C213" s="7" t="s">
        <v>208</v>
      </c>
      <c r="D213" s="8" t="str">
        <f>IFERROR(__xludf.DUMMYFUNCTION("GOOGLETRANSLATE(C213, ""en"", ""pt"")"),"papagaio")</f>
        <v>papagaio</v>
      </c>
      <c r="E213" s="8" t="str">
        <f>IFERROR(__xludf.DUMMYFUNCTION("GOOGLETRANSLATE(C213, ""en"", ""es"")"),"loro")</f>
        <v>loro</v>
      </c>
      <c r="F213" s="8" t="str">
        <f>IFERROR(__xludf.DUMMYFUNCTION("GOOGLETRANSLATE(C213, ""en"", ""fr"")"),"perroquet")</f>
        <v>perroquet</v>
      </c>
      <c r="G213" s="8" t="str">
        <f>IFERROR(__xludf.DUMMYFUNCTION("GOOGLETRANSLATE(C213, ""en"", ""de"")"),"Papagei")</f>
        <v>Papagei</v>
      </c>
      <c r="H213" s="8" t="str">
        <f>IFERROR(__xludf.DUMMYFUNCTION("GOOGLETRANSLATE(C213, ""en"", ""ru"")"),"попугай")</f>
        <v>попугай</v>
      </c>
      <c r="I213" s="8" t="str">
        <f>IFERROR(__xludf.DUMMYFUNCTION("GOOGLETRANSLATE(C213, ""en"", ""ar"")"),"ببغاء")</f>
        <v>ببغاء</v>
      </c>
      <c r="J213" s="8"/>
      <c r="K213" s="7" t="str">
        <f>IFERROR(__xludf.DUMMYFUNCTION("CONCAT(REGEXREPLACE(C213,""[ ,]+"",""_""),"".mp3"")"),"parrot.mp3")</f>
        <v>parrot.mp3</v>
      </c>
      <c r="M213" s="4" t="s">
        <v>10</v>
      </c>
    </row>
    <row r="214" ht="15.75" customHeight="1">
      <c r="A214" s="1">
        <v>1582.0</v>
      </c>
      <c r="B214" s="3">
        <v>142.0</v>
      </c>
      <c r="C214" s="7" t="s">
        <v>279</v>
      </c>
      <c r="D214" s="8" t="str">
        <f>IFERROR(__xludf.DUMMYFUNCTION("GOOGLETRANSLATE(C214, ""en"", ""pt"")"),"Pombo")</f>
        <v>Pombo</v>
      </c>
      <c r="E214" s="8" t="str">
        <f>IFERROR(__xludf.DUMMYFUNCTION("GOOGLETRANSLATE(C214, ""en"", ""es"")"),"paloma")</f>
        <v>paloma</v>
      </c>
      <c r="F214" s="8" t="str">
        <f>IFERROR(__xludf.DUMMYFUNCTION("GOOGLETRANSLATE(C214, ""en"", ""fr"")"),"pigeon")</f>
        <v>pigeon</v>
      </c>
      <c r="G214" s="8" t="str">
        <f>IFERROR(__xludf.DUMMYFUNCTION("GOOGLETRANSLATE(C214, ""en"", ""de"")"),"Taube")</f>
        <v>Taube</v>
      </c>
      <c r="H214" s="8" t="str">
        <f>IFERROR(__xludf.DUMMYFUNCTION("GOOGLETRANSLATE(C214, ""en"", ""ru"")"),"голубь")</f>
        <v>голубь</v>
      </c>
      <c r="I214" s="8" t="str">
        <f>IFERROR(__xludf.DUMMYFUNCTION("GOOGLETRANSLATE(C214, ""en"", ""ar"")"),"حمامة")</f>
        <v>حمامة</v>
      </c>
      <c r="J214" s="8"/>
      <c r="K214" s="7" t="str">
        <f>IFERROR(__xludf.DUMMYFUNCTION("CONCAT(REGEXREPLACE(C214,""[ ,]+"",""_""),"".mp3"")"),"pigeon.mp3")</f>
        <v>pigeon.mp3</v>
      </c>
      <c r="M214" s="4" t="s">
        <v>10</v>
      </c>
    </row>
    <row r="215" ht="15.75" customHeight="1">
      <c r="A215" s="1">
        <v>1583.0</v>
      </c>
      <c r="B215" s="3">
        <v>142.0</v>
      </c>
      <c r="C215" s="7" t="s">
        <v>280</v>
      </c>
      <c r="D215" s="8" t="str">
        <f>IFERROR(__xludf.DUMMYFUNCTION("GOOGLETRANSLATE(C215, ""en"", ""pt"")"),"pomba")</f>
        <v>pomba</v>
      </c>
      <c r="E215" s="8" t="str">
        <f>IFERROR(__xludf.DUMMYFUNCTION("GOOGLETRANSLATE(C215, ""en"", ""es"")"),"paloma")</f>
        <v>paloma</v>
      </c>
      <c r="F215" s="8" t="str">
        <f>IFERROR(__xludf.DUMMYFUNCTION("GOOGLETRANSLATE(C215, ""en"", ""fr"")"),"colombe")</f>
        <v>colombe</v>
      </c>
      <c r="G215" s="8" t="str">
        <f>IFERROR(__xludf.DUMMYFUNCTION("GOOGLETRANSLATE(C215, ""en"", ""de"")"),"Taube")</f>
        <v>Taube</v>
      </c>
      <c r="H215" s="8" t="str">
        <f>IFERROR(__xludf.DUMMYFUNCTION("GOOGLETRANSLATE(C215, ""en"", ""ru"")"),"голубь")</f>
        <v>голубь</v>
      </c>
      <c r="I215" s="8" t="str">
        <f>IFERROR(__xludf.DUMMYFUNCTION("GOOGLETRANSLATE(C215, ""en"", ""ar"")"),"حمامة")</f>
        <v>حمامة</v>
      </c>
      <c r="J215" s="8"/>
      <c r="K215" s="7" t="str">
        <f>IFERROR(__xludf.DUMMYFUNCTION("CONCAT(REGEXREPLACE(C215,""[ ,]+"",""_""),"".mp3"")"),"dove.mp3")</f>
        <v>dove.mp3</v>
      </c>
      <c r="M215" s="4" t="s">
        <v>10</v>
      </c>
    </row>
    <row r="216" ht="15.75" customHeight="1">
      <c r="A216" s="1">
        <v>1584.0</v>
      </c>
      <c r="B216" s="3">
        <v>142.0</v>
      </c>
      <c r="C216" s="7" t="s">
        <v>281</v>
      </c>
      <c r="D216" s="8" t="str">
        <f>IFERROR(__xludf.DUMMYFUNCTION("GOOGLETRANSLATE(C216, ""en"", ""pt"")"),"pardal")</f>
        <v>pardal</v>
      </c>
      <c r="E216" s="8" t="str">
        <f>IFERROR(__xludf.DUMMYFUNCTION("GOOGLETRANSLATE(C216, ""en"", ""es"")"),"gorrión")</f>
        <v>gorrión</v>
      </c>
      <c r="F216" s="8" t="str">
        <f>IFERROR(__xludf.DUMMYFUNCTION("GOOGLETRANSLATE(C216, ""en"", ""fr"")"),"moineau")</f>
        <v>moineau</v>
      </c>
      <c r="G216" s="8" t="str">
        <f>IFERROR(__xludf.DUMMYFUNCTION("GOOGLETRANSLATE(C216, ""en"", ""de"")"),"Spatz")</f>
        <v>Spatz</v>
      </c>
      <c r="H216" s="8" t="str">
        <f>IFERROR(__xludf.DUMMYFUNCTION("GOOGLETRANSLATE(C216, ""en"", ""ru"")"),"воробей")</f>
        <v>воробей</v>
      </c>
      <c r="I216" s="8" t="str">
        <f>IFERROR(__xludf.DUMMYFUNCTION("GOOGLETRANSLATE(C216, ""en"", ""ar"")"),"عصفور")</f>
        <v>عصفور</v>
      </c>
      <c r="J216" s="8"/>
      <c r="K216" s="7" t="str">
        <f>IFERROR(__xludf.DUMMYFUNCTION("CONCAT(REGEXREPLACE(C216,""[ ,]+"",""_""),"".mp3"")"),"sparrow.mp3")</f>
        <v>sparrow.mp3</v>
      </c>
      <c r="M216" s="4" t="s">
        <v>10</v>
      </c>
    </row>
    <row r="217" ht="15.75" customHeight="1">
      <c r="A217" s="1">
        <v>1585.0</v>
      </c>
      <c r="B217" s="3">
        <v>142.0</v>
      </c>
      <c r="C217" s="7" t="s">
        <v>282</v>
      </c>
      <c r="D217" s="8" t="str">
        <f>IFERROR(__xludf.DUMMYFUNCTION("GOOGLETRANSLATE(C217, ""en"", ""pt"")"),"corvo")</f>
        <v>corvo</v>
      </c>
      <c r="E217" s="8" t="str">
        <f>IFERROR(__xludf.DUMMYFUNCTION("GOOGLETRANSLATE(C217, ""en"", ""es"")"),"cuervo")</f>
        <v>cuervo</v>
      </c>
      <c r="F217" s="8" t="str">
        <f>IFERROR(__xludf.DUMMYFUNCTION("GOOGLETRANSLATE(C217, ""en"", ""fr"")"),"corbeau")</f>
        <v>corbeau</v>
      </c>
      <c r="G217" s="8" t="str">
        <f>IFERROR(__xludf.DUMMYFUNCTION("GOOGLETRANSLATE(C217, ""en"", ""de"")"),"Krähe")</f>
        <v>Krähe</v>
      </c>
      <c r="H217" s="8" t="str">
        <f>IFERROR(__xludf.DUMMYFUNCTION("GOOGLETRANSLATE(C217, ""en"", ""ru"")"),"ворона")</f>
        <v>ворона</v>
      </c>
      <c r="I217" s="8" t="str">
        <f>IFERROR(__xludf.DUMMYFUNCTION("GOOGLETRANSLATE(C217, ""en"", ""ar"")"),"غراب")</f>
        <v>غراب</v>
      </c>
      <c r="J217" s="8"/>
      <c r="K217" s="7" t="str">
        <f>IFERROR(__xludf.DUMMYFUNCTION("CONCAT(REGEXREPLACE(C217,""[ ,]+"",""_""),"".mp3"")"),"crow.mp3")</f>
        <v>crow.mp3</v>
      </c>
      <c r="M217" s="4" t="s">
        <v>10</v>
      </c>
    </row>
    <row r="218" ht="15.75" customHeight="1">
      <c r="A218" s="1">
        <v>1586.0</v>
      </c>
      <c r="B218" s="3">
        <v>142.0</v>
      </c>
      <c r="C218" s="7" t="s">
        <v>283</v>
      </c>
      <c r="D218" s="8" t="str">
        <f>IFERROR(__xludf.DUMMYFUNCTION("GOOGLETRANSLATE(C218, ""en"", ""pt"")"),"corvo")</f>
        <v>corvo</v>
      </c>
      <c r="E218" s="8" t="str">
        <f>IFERROR(__xludf.DUMMYFUNCTION("GOOGLETRANSLATE(C218, ""en"", ""es"")"),"cuervo")</f>
        <v>cuervo</v>
      </c>
      <c r="F218" s="8" t="str">
        <f>IFERROR(__xludf.DUMMYFUNCTION("GOOGLETRANSLATE(C218, ""en"", ""fr"")"),"corbeau")</f>
        <v>corbeau</v>
      </c>
      <c r="G218" s="8" t="str">
        <f>IFERROR(__xludf.DUMMYFUNCTION("GOOGLETRANSLATE(C218, ""en"", ""de"")"),"Rabe")</f>
        <v>Rabe</v>
      </c>
      <c r="H218" s="8" t="str">
        <f>IFERROR(__xludf.DUMMYFUNCTION("GOOGLETRANSLATE(C218, ""en"", ""ru"")"),"ворон")</f>
        <v>ворон</v>
      </c>
      <c r="I218" s="8" t="str">
        <f>IFERROR(__xludf.DUMMYFUNCTION("GOOGLETRANSLATE(C218, ""en"", ""ar"")"),"غراب")</f>
        <v>غراب</v>
      </c>
      <c r="J218" s="8"/>
      <c r="K218" s="7" t="str">
        <f>IFERROR(__xludf.DUMMYFUNCTION("CONCAT(REGEXREPLACE(C218,""[ ,]+"",""_""),"".mp3"")"),"raven.mp3")</f>
        <v>raven.mp3</v>
      </c>
      <c r="M218" s="4" t="s">
        <v>10</v>
      </c>
    </row>
    <row r="219" ht="15.75" customHeight="1">
      <c r="A219" s="1">
        <v>1587.0</v>
      </c>
      <c r="B219" s="3">
        <v>142.0</v>
      </c>
      <c r="C219" s="7" t="s">
        <v>284</v>
      </c>
      <c r="D219" s="8" t="str">
        <f>IFERROR(__xludf.DUMMYFUNCTION("GOOGLETRANSLATE(C219, ""en"", ""pt"")"),"pavão")</f>
        <v>pavão</v>
      </c>
      <c r="E219" s="8" t="str">
        <f>IFERROR(__xludf.DUMMYFUNCTION("GOOGLETRANSLATE(C219, ""en"", ""es"")"),"pavo real")</f>
        <v>pavo real</v>
      </c>
      <c r="F219" s="8" t="str">
        <f>IFERROR(__xludf.DUMMYFUNCTION("GOOGLETRANSLATE(C219, ""en"", ""fr"")"),"paon")</f>
        <v>paon</v>
      </c>
      <c r="G219" s="8" t="str">
        <f>IFERROR(__xludf.DUMMYFUNCTION("GOOGLETRANSLATE(C219, ""en"", ""de"")"),"Pfau")</f>
        <v>Pfau</v>
      </c>
      <c r="H219" s="8" t="str">
        <f>IFERROR(__xludf.DUMMYFUNCTION("GOOGLETRANSLATE(C219, ""en"", ""ru"")"),"павлин")</f>
        <v>павлин</v>
      </c>
      <c r="I219" s="8" t="str">
        <f>IFERROR(__xludf.DUMMYFUNCTION("GOOGLETRANSLATE(C219, ""en"", ""ar"")"),"الطاووس")</f>
        <v>الطاووس</v>
      </c>
      <c r="J219" s="8"/>
      <c r="K219" s="7" t="str">
        <f>IFERROR(__xludf.DUMMYFUNCTION("CONCAT(REGEXREPLACE(C219,""[ ,]+"",""_""),"".mp3"")"),"peacock.mp3")</f>
        <v>peacock.mp3</v>
      </c>
      <c r="M219" s="4" t="s">
        <v>10</v>
      </c>
    </row>
    <row r="220" ht="15.75" customHeight="1">
      <c r="A220" s="1">
        <v>1588.0</v>
      </c>
      <c r="B220" s="3">
        <v>142.0</v>
      </c>
      <c r="C220" s="7" t="s">
        <v>285</v>
      </c>
      <c r="D220" s="8" t="str">
        <f>IFERROR(__xludf.DUMMYFUNCTION("GOOGLETRANSLATE(C220, ""en"", ""pt"")"),"flamingo")</f>
        <v>flamingo</v>
      </c>
      <c r="E220" s="8" t="str">
        <f>IFERROR(__xludf.DUMMYFUNCTION("GOOGLETRANSLATE(C220, ""en"", ""es"")"),"flamenco")</f>
        <v>flamenco</v>
      </c>
      <c r="F220" s="8" t="str">
        <f>IFERROR(__xludf.DUMMYFUNCTION("GOOGLETRANSLATE(C220, ""en"", ""fr"")"),"flamant")</f>
        <v>flamant</v>
      </c>
      <c r="G220" s="8" t="str">
        <f>IFERROR(__xludf.DUMMYFUNCTION("GOOGLETRANSLATE(C220, ""en"", ""de"")"),"Flamingo")</f>
        <v>Flamingo</v>
      </c>
      <c r="H220" s="8" t="str">
        <f>IFERROR(__xludf.DUMMYFUNCTION("GOOGLETRANSLATE(C220, ""en"", ""ru"")"),"фламинго")</f>
        <v>фламинго</v>
      </c>
      <c r="I220" s="8" t="str">
        <f>IFERROR(__xludf.DUMMYFUNCTION("GOOGLETRANSLATE(C220, ""en"", ""ar"")"),"فلامنجو")</f>
        <v>فلامنجو</v>
      </c>
      <c r="J220" s="8"/>
      <c r="K220" s="7" t="str">
        <f>IFERROR(__xludf.DUMMYFUNCTION("CONCAT(REGEXREPLACE(C220,""[ ,]+"",""_""),"".mp3"")"),"flamingo.mp3")</f>
        <v>flamingo.mp3</v>
      </c>
      <c r="M220" s="4" t="s">
        <v>10</v>
      </c>
    </row>
    <row r="221" ht="15.75" customHeight="1">
      <c r="A221" s="1">
        <v>1589.0</v>
      </c>
      <c r="B221" s="3">
        <v>142.0</v>
      </c>
      <c r="C221" s="7" t="s">
        <v>286</v>
      </c>
      <c r="D221" s="8" t="str">
        <f>IFERROR(__xludf.DUMMYFUNCTION("GOOGLETRANSLATE(C221, ""en"", ""pt"")"),"cisne")</f>
        <v>cisne</v>
      </c>
      <c r="E221" s="8" t="str">
        <f>IFERROR(__xludf.DUMMYFUNCTION("GOOGLETRANSLATE(C221, ""en"", ""es"")"),"cisne")</f>
        <v>cisne</v>
      </c>
      <c r="F221" s="8" t="str">
        <f>IFERROR(__xludf.DUMMYFUNCTION("GOOGLETRANSLATE(C221, ""en"", ""fr"")"),"cygne")</f>
        <v>cygne</v>
      </c>
      <c r="G221" s="8" t="str">
        <f>IFERROR(__xludf.DUMMYFUNCTION("GOOGLETRANSLATE(C221, ""en"", ""de"")"),"Schwan")</f>
        <v>Schwan</v>
      </c>
      <c r="H221" s="8" t="str">
        <f>IFERROR(__xludf.DUMMYFUNCTION("GOOGLETRANSLATE(C221, ""en"", ""ru"")"),"лебедь")</f>
        <v>лебедь</v>
      </c>
      <c r="I221" s="8" t="str">
        <f>IFERROR(__xludf.DUMMYFUNCTION("GOOGLETRANSLATE(C221, ""en"", ""ar"")"),"بجعة")</f>
        <v>بجعة</v>
      </c>
      <c r="J221" s="8"/>
      <c r="K221" s="7" t="str">
        <f>IFERROR(__xludf.DUMMYFUNCTION("CONCAT(REGEXREPLACE(C221,""[ ,]+"",""_""),"".mp3"")"),"swan.mp3")</f>
        <v>swan.mp3</v>
      </c>
      <c r="M221" s="4" t="s">
        <v>10</v>
      </c>
    </row>
    <row r="222" ht="15.75" customHeight="1">
      <c r="A222" s="1">
        <v>1590.0</v>
      </c>
      <c r="B222" s="3">
        <v>142.0</v>
      </c>
      <c r="C222" s="7" t="s">
        <v>233</v>
      </c>
      <c r="D222" s="8" t="str">
        <f>IFERROR(__xludf.DUMMYFUNCTION("GOOGLETRANSLATE(C222, ""en"", ""pt"")"),"ganso")</f>
        <v>ganso</v>
      </c>
      <c r="E222" s="8" t="str">
        <f>IFERROR(__xludf.DUMMYFUNCTION("GOOGLETRANSLATE(C222, ""en"", ""es"")"),"ganso")</f>
        <v>ganso</v>
      </c>
      <c r="F222" s="8" t="str">
        <f>IFERROR(__xludf.DUMMYFUNCTION("GOOGLETRANSLATE(C222, ""en"", ""fr"")"),"oie")</f>
        <v>oie</v>
      </c>
      <c r="G222" s="8" t="str">
        <f>IFERROR(__xludf.DUMMYFUNCTION("GOOGLETRANSLATE(C222, ""en"", ""de"")"),"Gans")</f>
        <v>Gans</v>
      </c>
      <c r="H222" s="8" t="str">
        <f>IFERROR(__xludf.DUMMYFUNCTION("GOOGLETRANSLATE(C222, ""en"", ""ru"")"),"Гусь")</f>
        <v>Гусь</v>
      </c>
      <c r="I222" s="8" t="str">
        <f>IFERROR(__xludf.DUMMYFUNCTION("GOOGLETRANSLATE(C222, ""en"", ""ar"")"),"أوزة")</f>
        <v>أوزة</v>
      </c>
      <c r="J222" s="8"/>
      <c r="K222" s="7" t="str">
        <f>IFERROR(__xludf.DUMMYFUNCTION("CONCAT(REGEXREPLACE(C222,""[ ,]+"",""_""),"".mp3"")"),"goose.mp3")</f>
        <v>goose.mp3</v>
      </c>
      <c r="M222" s="4" t="s">
        <v>10</v>
      </c>
    </row>
    <row r="223" ht="15.75" customHeight="1">
      <c r="A223" s="1">
        <v>1591.0</v>
      </c>
      <c r="B223" s="3">
        <v>142.0</v>
      </c>
      <c r="C223" s="7" t="s">
        <v>231</v>
      </c>
      <c r="D223" s="8" t="str">
        <f>IFERROR(__xludf.DUMMYFUNCTION("GOOGLETRANSLATE(C223, ""en"", ""pt"")"),"pato")</f>
        <v>pato</v>
      </c>
      <c r="E223" s="8" t="str">
        <f>IFERROR(__xludf.DUMMYFUNCTION("GOOGLETRANSLATE(C223, ""en"", ""es"")"),"pato")</f>
        <v>pato</v>
      </c>
      <c r="F223" s="8" t="str">
        <f>IFERROR(__xludf.DUMMYFUNCTION("GOOGLETRANSLATE(C223, ""en"", ""fr"")"),"canard")</f>
        <v>canard</v>
      </c>
      <c r="G223" s="8" t="str">
        <f>IFERROR(__xludf.DUMMYFUNCTION("GOOGLETRANSLATE(C223, ""en"", ""de"")"),"Ente")</f>
        <v>Ente</v>
      </c>
      <c r="H223" s="8" t="str">
        <f>IFERROR(__xludf.DUMMYFUNCTION("GOOGLETRANSLATE(C223, ""en"", ""ru"")"),"утка")</f>
        <v>утка</v>
      </c>
      <c r="I223" s="8" t="str">
        <f>IFERROR(__xludf.DUMMYFUNCTION("GOOGLETRANSLATE(C223, ""en"", ""ar"")"),"بطة")</f>
        <v>بطة</v>
      </c>
      <c r="J223" s="8"/>
      <c r="K223" s="7" t="str">
        <f>IFERROR(__xludf.DUMMYFUNCTION("CONCAT(REGEXREPLACE(C223,""[ ,]+"",""_""),"".mp3"")"),"duck.mp3")</f>
        <v>duck.mp3</v>
      </c>
      <c r="M223" s="4" t="s">
        <v>10</v>
      </c>
    </row>
    <row r="224" ht="15.75" customHeight="1">
      <c r="A224" s="1">
        <v>1592.0</v>
      </c>
      <c r="B224" s="3">
        <v>142.0</v>
      </c>
      <c r="C224" s="7" t="s">
        <v>235</v>
      </c>
      <c r="D224" s="8" t="str">
        <f>IFERROR(__xludf.DUMMYFUNCTION("GOOGLETRANSLATE(C224, ""en"", ""pt"")"),"peru")</f>
        <v>peru</v>
      </c>
      <c r="E224" s="8" t="str">
        <f>IFERROR(__xludf.DUMMYFUNCTION("GOOGLETRANSLATE(C224, ""en"", ""es"")"),"pavo")</f>
        <v>pavo</v>
      </c>
      <c r="F224" s="8" t="str">
        <f>IFERROR(__xludf.DUMMYFUNCTION("GOOGLETRANSLATE(C224, ""en"", ""fr"")"),"dinde")</f>
        <v>dinde</v>
      </c>
      <c r="G224" s="8" t="str">
        <f>IFERROR(__xludf.DUMMYFUNCTION("GOOGLETRANSLATE(C224, ""en"", ""de"")"),"Truthahn")</f>
        <v>Truthahn</v>
      </c>
      <c r="H224" s="8" t="str">
        <f>IFERROR(__xludf.DUMMYFUNCTION("GOOGLETRANSLATE(C224, ""en"", ""ru"")"),"Турция")</f>
        <v>Турция</v>
      </c>
      <c r="I224" s="8" t="str">
        <f>IFERROR(__xludf.DUMMYFUNCTION("GOOGLETRANSLATE(C224, ""en"", ""ar"")"),"ديك رومى")</f>
        <v>ديك رومى</v>
      </c>
      <c r="J224" s="8"/>
      <c r="K224" s="7" t="str">
        <f>IFERROR(__xludf.DUMMYFUNCTION("CONCAT(REGEXREPLACE(C224,""[ ,]+"",""_""),"".mp3"")"),"turkey.mp3")</f>
        <v>turkey.mp3</v>
      </c>
      <c r="M224" s="4" t="s">
        <v>10</v>
      </c>
    </row>
    <row r="225" ht="15.75" customHeight="1">
      <c r="A225" s="1">
        <v>1593.0</v>
      </c>
      <c r="B225" s="3">
        <v>142.0</v>
      </c>
      <c r="C225" s="7" t="s">
        <v>227</v>
      </c>
      <c r="D225" s="8" t="str">
        <f>IFERROR(__xludf.DUMMYFUNCTION("GOOGLETRANSLATE(C225, ""en"", ""pt"")"),"frango")</f>
        <v>frango</v>
      </c>
      <c r="E225" s="8" t="str">
        <f>IFERROR(__xludf.DUMMYFUNCTION("GOOGLETRANSLATE(C225, ""en"", ""es"")"),"pollo")</f>
        <v>pollo</v>
      </c>
      <c r="F225" s="8" t="str">
        <f>IFERROR(__xludf.DUMMYFUNCTION("GOOGLETRANSLATE(C225, ""en"", ""fr"")"),"poulet")</f>
        <v>poulet</v>
      </c>
      <c r="G225" s="8" t="str">
        <f>IFERROR(__xludf.DUMMYFUNCTION("GOOGLETRANSLATE(C225, ""en"", ""de"")"),"Huhn")</f>
        <v>Huhn</v>
      </c>
      <c r="H225" s="8" t="str">
        <f>IFERROR(__xludf.DUMMYFUNCTION("GOOGLETRANSLATE(C225, ""en"", ""ru"")"),"курица")</f>
        <v>курица</v>
      </c>
      <c r="I225" s="8" t="str">
        <f>IFERROR(__xludf.DUMMYFUNCTION("GOOGLETRANSLATE(C225, ""en"", ""ar"")"),"فرخة")</f>
        <v>فرخة</v>
      </c>
      <c r="J225" s="8"/>
      <c r="K225" s="7" t="str">
        <f>IFERROR(__xludf.DUMMYFUNCTION("CONCAT(REGEXREPLACE(C225,""[ ,]+"",""_""),"".mp3"")"),"chicken.mp3")</f>
        <v>chicken.mp3</v>
      </c>
      <c r="M225" s="4" t="s">
        <v>10</v>
      </c>
    </row>
    <row r="226" ht="15.75" customHeight="1">
      <c r="A226" s="1">
        <v>1594.0</v>
      </c>
      <c r="B226" s="3">
        <v>142.0</v>
      </c>
      <c r="C226" s="7" t="s">
        <v>229</v>
      </c>
      <c r="D226" s="8" t="str">
        <f>IFERROR(__xludf.DUMMYFUNCTION("GOOGLETRANSLATE(C226, ""en"", ""pt"")"),"galo")</f>
        <v>galo</v>
      </c>
      <c r="E226" s="8" t="str">
        <f>IFERROR(__xludf.DUMMYFUNCTION("GOOGLETRANSLATE(C226, ""en"", ""es"")"),"gallo")</f>
        <v>gallo</v>
      </c>
      <c r="F226" s="8" t="str">
        <f>IFERROR(__xludf.DUMMYFUNCTION("GOOGLETRANSLATE(C226, ""en"", ""fr"")"),"coq")</f>
        <v>coq</v>
      </c>
      <c r="G226" s="8" t="str">
        <f>IFERROR(__xludf.DUMMYFUNCTION("GOOGLETRANSLATE(C226, ""en"", ""de"")"),"Hahn")</f>
        <v>Hahn</v>
      </c>
      <c r="H226" s="8" t="str">
        <f>IFERROR(__xludf.DUMMYFUNCTION("GOOGLETRANSLATE(C226, ""en"", ""ru"")"),"петух")</f>
        <v>петух</v>
      </c>
      <c r="I226" s="8" t="str">
        <f>IFERROR(__xludf.DUMMYFUNCTION("GOOGLETRANSLATE(C226, ""en"", ""ar"")"),"ديك")</f>
        <v>ديك</v>
      </c>
      <c r="J226" s="8"/>
      <c r="K226" s="7" t="str">
        <f>IFERROR(__xludf.DUMMYFUNCTION("CONCAT(REGEXREPLACE(C226,""[ ,]+"",""_""),"".mp3"")"),"rooster.mp3")</f>
        <v>rooster.mp3</v>
      </c>
      <c r="M226" s="4" t="s">
        <v>10</v>
      </c>
    </row>
    <row r="227" ht="15.75" customHeight="1">
      <c r="A227" s="1">
        <v>1595.0</v>
      </c>
      <c r="B227" s="3">
        <v>142.0</v>
      </c>
      <c r="C227" s="7" t="s">
        <v>228</v>
      </c>
      <c r="D227" s="8" t="str">
        <f>IFERROR(__xludf.DUMMYFUNCTION("GOOGLETRANSLATE(C227, ""en"", ""pt"")"),"galinha")</f>
        <v>galinha</v>
      </c>
      <c r="E227" s="8" t="str">
        <f>IFERROR(__xludf.DUMMYFUNCTION("GOOGLETRANSLATE(C227, ""en"", ""es"")"),"gallina")</f>
        <v>gallina</v>
      </c>
      <c r="F227" s="8" t="str">
        <f>IFERROR(__xludf.DUMMYFUNCTION("GOOGLETRANSLATE(C227, ""en"", ""fr"")"),"poule")</f>
        <v>poule</v>
      </c>
      <c r="G227" s="8" t="str">
        <f>IFERROR(__xludf.DUMMYFUNCTION("GOOGLETRANSLATE(C227, ""en"", ""de"")"),"Henne")</f>
        <v>Henne</v>
      </c>
      <c r="H227" s="8" t="str">
        <f>IFERROR(__xludf.DUMMYFUNCTION("GOOGLETRANSLATE(C227, ""en"", ""ru"")"),"курица")</f>
        <v>курица</v>
      </c>
      <c r="I227" s="8" t="str">
        <f>IFERROR(__xludf.DUMMYFUNCTION("GOOGLETRANSLATE(C227, ""en"", ""ar"")"),"دجاجة")</f>
        <v>دجاجة</v>
      </c>
      <c r="J227" s="8"/>
      <c r="K227" s="7" t="str">
        <f>IFERROR(__xludf.DUMMYFUNCTION("CONCAT(REGEXREPLACE(C227,""[ ,]+"",""_""),"".mp3"")"),"hen.mp3")</f>
        <v>hen.mp3</v>
      </c>
      <c r="M227" s="4" t="s">
        <v>10</v>
      </c>
    </row>
    <row r="228" ht="15.75" customHeight="1">
      <c r="A228" s="1">
        <v>1596.0</v>
      </c>
      <c r="B228" s="3">
        <v>142.0</v>
      </c>
      <c r="C228" s="7" t="s">
        <v>287</v>
      </c>
      <c r="D228" s="8" t="str">
        <f>IFERROR(__xludf.DUMMYFUNCTION("GOOGLETRANSLATE(C228, ""en"", ""pt"")"),"pinguim")</f>
        <v>pinguim</v>
      </c>
      <c r="E228" s="8" t="str">
        <f>IFERROR(__xludf.DUMMYFUNCTION("GOOGLETRANSLATE(C228, ""en"", ""es"")"),"pingüino")</f>
        <v>pingüino</v>
      </c>
      <c r="F228" s="8" t="str">
        <f>IFERROR(__xludf.DUMMYFUNCTION("GOOGLETRANSLATE(C228, ""en"", ""fr"")"),"manchot")</f>
        <v>manchot</v>
      </c>
      <c r="G228" s="8" t="str">
        <f>IFERROR(__xludf.DUMMYFUNCTION("GOOGLETRANSLATE(C228, ""en"", ""de"")"),"Pinguin")</f>
        <v>Pinguin</v>
      </c>
      <c r="H228" s="8" t="str">
        <f>IFERROR(__xludf.DUMMYFUNCTION("GOOGLETRANSLATE(C228, ""en"", ""ru"")"),"пингвин")</f>
        <v>пингвин</v>
      </c>
      <c r="I228" s="8" t="str">
        <f>IFERROR(__xludf.DUMMYFUNCTION("GOOGLETRANSLATE(C228, ""en"", ""ar"")"),"بطريق")</f>
        <v>بطريق</v>
      </c>
      <c r="J228" s="8"/>
      <c r="K228" s="7" t="str">
        <f>IFERROR(__xludf.DUMMYFUNCTION("CONCAT(REGEXREPLACE(C228,""[ ,]+"",""_""),"".mp3"")"),"penguin.mp3")</f>
        <v>penguin.mp3</v>
      </c>
      <c r="M228" s="4" t="s">
        <v>10</v>
      </c>
    </row>
    <row r="229" ht="15.75" customHeight="1">
      <c r="A229" s="1">
        <v>1597.0</v>
      </c>
      <c r="B229" s="3">
        <v>142.0</v>
      </c>
      <c r="C229" s="7" t="s">
        <v>288</v>
      </c>
      <c r="D229" s="8" t="str">
        <f>IFERROR(__xludf.DUMMYFUNCTION("GOOGLETRANSLATE(C229, ""en"", ""pt"")"),"avestruz")</f>
        <v>avestruz</v>
      </c>
      <c r="E229" s="8" t="str">
        <f>IFERROR(__xludf.DUMMYFUNCTION("GOOGLETRANSLATE(C229, ""en"", ""es"")"),"avestruz")</f>
        <v>avestruz</v>
      </c>
      <c r="F229" s="8" t="str">
        <f>IFERROR(__xludf.DUMMYFUNCTION("GOOGLETRANSLATE(C229, ""en"", ""fr"")"),"autruche")</f>
        <v>autruche</v>
      </c>
      <c r="G229" s="8" t="str">
        <f>IFERROR(__xludf.DUMMYFUNCTION("GOOGLETRANSLATE(C229, ""en"", ""de"")"),"Strauß")</f>
        <v>Strauß</v>
      </c>
      <c r="H229" s="8" t="str">
        <f>IFERROR(__xludf.DUMMYFUNCTION("GOOGLETRANSLATE(C229, ""en"", ""ru"")"),"страус")</f>
        <v>страус</v>
      </c>
      <c r="I229" s="8" t="str">
        <f>IFERROR(__xludf.DUMMYFUNCTION("GOOGLETRANSLATE(C229, ""en"", ""ar"")"),"النعامة")</f>
        <v>النعامة</v>
      </c>
      <c r="J229" s="8"/>
      <c r="K229" s="7" t="str">
        <f>IFERROR(__xludf.DUMMYFUNCTION("CONCAT(REGEXREPLACE(C229,""[ ,]+"",""_""),"".mp3"")"),"ostrich.mp3")</f>
        <v>ostrich.mp3</v>
      </c>
      <c r="M229" s="4" t="s">
        <v>10</v>
      </c>
    </row>
    <row r="230" ht="15.75" customHeight="1">
      <c r="A230" s="1">
        <v>1598.0</v>
      </c>
      <c r="B230" s="3">
        <v>142.0</v>
      </c>
      <c r="C230" s="7" t="s">
        <v>289</v>
      </c>
      <c r="D230" s="8" t="str">
        <f>IFERROR(__xludf.DUMMYFUNCTION("GOOGLETRANSLATE(C230, ""en"", ""pt"")"),"ema")</f>
        <v>ema</v>
      </c>
      <c r="E230" s="8" t="str">
        <f>IFERROR(__xludf.DUMMYFUNCTION("GOOGLETRANSLATE(C230, ""en"", ""es"")"),"emú")</f>
        <v>emú</v>
      </c>
      <c r="F230" s="8" t="str">
        <f>IFERROR(__xludf.DUMMYFUNCTION("GOOGLETRANSLATE(C230, ""en"", ""fr"")"),"émeu")</f>
        <v>émeu</v>
      </c>
      <c r="G230" s="8" t="str">
        <f>IFERROR(__xludf.DUMMYFUNCTION("GOOGLETRANSLATE(C230, ""en"", ""de"")"),"Emu")</f>
        <v>Emu</v>
      </c>
      <c r="H230" s="8" t="str">
        <f>IFERROR(__xludf.DUMMYFUNCTION("GOOGLETRANSLATE(C230, ""en"", ""ru"")"),"эму")</f>
        <v>эму</v>
      </c>
      <c r="I230" s="8" t="str">
        <f>IFERROR(__xludf.DUMMYFUNCTION("GOOGLETRANSLATE(C230, ""en"", ""ar"")"),"طائر الإيمو")</f>
        <v>طائر الإيمو</v>
      </c>
      <c r="J230" s="8"/>
      <c r="K230" s="7" t="str">
        <f>IFERROR(__xludf.DUMMYFUNCTION("CONCAT(REGEXREPLACE(C230,""[ ,]+"",""_""),"".mp3"")"),"emu.mp3")</f>
        <v>emu.mp3</v>
      </c>
      <c r="M230" s="4" t="s">
        <v>10</v>
      </c>
    </row>
    <row r="231" ht="15.75" customHeight="1">
      <c r="A231" s="1">
        <v>1599.0</v>
      </c>
      <c r="B231" s="3">
        <v>142.0</v>
      </c>
      <c r="C231" s="7" t="s">
        <v>290</v>
      </c>
      <c r="D231" s="8" t="str">
        <f>IFERROR(__xludf.DUMMYFUNCTION("GOOGLETRANSLATE(C231, ""en"", ""pt"")"),"pica-pau")</f>
        <v>pica-pau</v>
      </c>
      <c r="E231" s="8" t="str">
        <f>IFERROR(__xludf.DUMMYFUNCTION("GOOGLETRANSLATE(C231, ""en"", ""es"")"),"pájaro carpintero")</f>
        <v>pájaro carpintero</v>
      </c>
      <c r="F231" s="8" t="str">
        <f>IFERROR(__xludf.DUMMYFUNCTION("GOOGLETRANSLATE(C231, ""en"", ""fr"")"),"pic")</f>
        <v>pic</v>
      </c>
      <c r="G231" s="8" t="str">
        <f>IFERROR(__xludf.DUMMYFUNCTION("GOOGLETRANSLATE(C231, ""en"", ""de"")"),"Specht")</f>
        <v>Specht</v>
      </c>
      <c r="H231" s="8" t="str">
        <f>IFERROR(__xludf.DUMMYFUNCTION("GOOGLETRANSLATE(C231, ""en"", ""ru"")"),"дятел")</f>
        <v>дятел</v>
      </c>
      <c r="I231" s="8" t="str">
        <f>IFERROR(__xludf.DUMMYFUNCTION("GOOGLETRANSLATE(C231, ""en"", ""ar"")"),"نقار الخشب")</f>
        <v>نقار الخشب</v>
      </c>
      <c r="J231" s="8"/>
      <c r="K231" s="7" t="str">
        <f>IFERROR(__xludf.DUMMYFUNCTION("CONCAT(REGEXREPLACE(C231,""[ ,]+"",""_""),"".mp3"")"),"woodpecker.mp3")</f>
        <v>woodpecker.mp3</v>
      </c>
      <c r="M231" s="4" t="s">
        <v>10</v>
      </c>
    </row>
    <row r="232" ht="15.75" customHeight="1">
      <c r="A232" s="1">
        <v>1600.0</v>
      </c>
      <c r="B232" s="3">
        <v>142.0</v>
      </c>
      <c r="C232" s="7" t="s">
        <v>291</v>
      </c>
      <c r="D232" s="8" t="str">
        <f>IFERROR(__xludf.DUMMYFUNCTION("GOOGLETRANSLATE(C232, ""en"", ""pt"")"),"colibri")</f>
        <v>colibri</v>
      </c>
      <c r="E232" s="8" t="str">
        <f>IFERROR(__xludf.DUMMYFUNCTION("GOOGLETRANSLATE(C232, ""en"", ""es"")"),"colibrí")</f>
        <v>colibrí</v>
      </c>
      <c r="F232" s="8" t="str">
        <f>IFERROR(__xludf.DUMMYFUNCTION("GOOGLETRANSLATE(C232, ""en"", ""fr"")"),"colibri")</f>
        <v>colibri</v>
      </c>
      <c r="G232" s="8" t="str">
        <f>IFERROR(__xludf.DUMMYFUNCTION("GOOGLETRANSLATE(C232, ""en"", ""de"")"),"Kolibri")</f>
        <v>Kolibri</v>
      </c>
      <c r="H232" s="8" t="str">
        <f>IFERROR(__xludf.DUMMYFUNCTION("GOOGLETRANSLATE(C232, ""en"", ""ru"")"),"колибри")</f>
        <v>колибри</v>
      </c>
      <c r="I232" s="8" t="str">
        <f>IFERROR(__xludf.DUMMYFUNCTION("GOOGLETRANSLATE(C232, ""en"", ""ar"")"),"طائر الطنان")</f>
        <v>طائر الطنان</v>
      </c>
      <c r="J232" s="8"/>
      <c r="K232" s="7" t="str">
        <f>IFERROR(__xludf.DUMMYFUNCTION("CONCAT(REGEXREPLACE(C232,""[ ,]+"",""_""),"".mp3"")"),"hummingbird.mp3")</f>
        <v>hummingbird.mp3</v>
      </c>
      <c r="M232" s="4" t="s">
        <v>10</v>
      </c>
    </row>
    <row r="233" ht="15.75" customHeight="1">
      <c r="A233" s="1">
        <v>1601.0</v>
      </c>
      <c r="B233" s="3">
        <v>142.0</v>
      </c>
      <c r="C233" s="7" t="s">
        <v>212</v>
      </c>
      <c r="D233" s="8" t="str">
        <f>IFERROR(__xludf.DUMMYFUNCTION("GOOGLETRANSLATE(C233, ""en"", ""pt"")"),"cobra")</f>
        <v>cobra</v>
      </c>
      <c r="E233" s="8" t="str">
        <f>IFERROR(__xludf.DUMMYFUNCTION("GOOGLETRANSLATE(C233, ""en"", ""es"")"),"serpiente")</f>
        <v>serpiente</v>
      </c>
      <c r="F233" s="8" t="str">
        <f>IFERROR(__xludf.DUMMYFUNCTION("GOOGLETRANSLATE(C233, ""en"", ""fr"")"),"serpent")</f>
        <v>serpent</v>
      </c>
      <c r="G233" s="8" t="str">
        <f>IFERROR(__xludf.DUMMYFUNCTION("GOOGLETRANSLATE(C233, ""en"", ""de"")"),"Schlange")</f>
        <v>Schlange</v>
      </c>
      <c r="H233" s="8" t="str">
        <f>IFERROR(__xludf.DUMMYFUNCTION("GOOGLETRANSLATE(C233, ""en"", ""ru"")"),"змея")</f>
        <v>змея</v>
      </c>
      <c r="I233" s="8" t="str">
        <f>IFERROR(__xludf.DUMMYFUNCTION("GOOGLETRANSLATE(C233, ""en"", ""ar"")"),"ثعبان")</f>
        <v>ثعبان</v>
      </c>
      <c r="J233" s="8"/>
      <c r="K233" s="7" t="str">
        <f>IFERROR(__xludf.DUMMYFUNCTION("CONCAT(REGEXREPLACE(C233,""[ ,]+"",""_""),"".mp3"")"),"snake.mp3")</f>
        <v>snake.mp3</v>
      </c>
      <c r="M233" s="4" t="s">
        <v>10</v>
      </c>
    </row>
    <row r="234" ht="15.75" customHeight="1">
      <c r="A234" s="1">
        <v>1602.0</v>
      </c>
      <c r="B234" s="3">
        <v>142.0</v>
      </c>
      <c r="C234" s="7" t="s">
        <v>292</v>
      </c>
      <c r="D234" s="8" t="str">
        <f>IFERROR(__xludf.DUMMYFUNCTION("GOOGLETRANSLATE(C234, ""en"", ""pt"")"),"lagarto")</f>
        <v>lagarto</v>
      </c>
      <c r="E234" s="8" t="str">
        <f>IFERROR(__xludf.DUMMYFUNCTION("GOOGLETRANSLATE(C234, ""en"", ""es"")"),"lagarto")</f>
        <v>lagarto</v>
      </c>
      <c r="F234" s="8" t="str">
        <f>IFERROR(__xludf.DUMMYFUNCTION("GOOGLETRANSLATE(C234, ""en"", ""fr"")"),"lézard")</f>
        <v>lézard</v>
      </c>
      <c r="G234" s="8" t="str">
        <f>IFERROR(__xludf.DUMMYFUNCTION("GOOGLETRANSLATE(C234, ""en"", ""de"")"),"Eidechse")</f>
        <v>Eidechse</v>
      </c>
      <c r="H234" s="8" t="str">
        <f>IFERROR(__xludf.DUMMYFUNCTION("GOOGLETRANSLATE(C234, ""en"", ""ru"")"),"ящерица")</f>
        <v>ящерица</v>
      </c>
      <c r="I234" s="8" t="str">
        <f>IFERROR(__xludf.DUMMYFUNCTION("GOOGLETRANSLATE(C234, ""en"", ""ar"")"),"سحلية")</f>
        <v>سحلية</v>
      </c>
      <c r="J234" s="8"/>
      <c r="K234" s="7" t="str">
        <f>IFERROR(__xludf.DUMMYFUNCTION("CONCAT(REGEXREPLACE(C234,""[ ,]+"",""_""),"".mp3"")"),"lizard.mp3")</f>
        <v>lizard.mp3</v>
      </c>
      <c r="M234" s="4" t="s">
        <v>10</v>
      </c>
    </row>
    <row r="235" ht="15.75" customHeight="1">
      <c r="A235" s="1">
        <v>1603.0</v>
      </c>
      <c r="B235" s="3">
        <v>142.0</v>
      </c>
      <c r="C235" s="7" t="s">
        <v>293</v>
      </c>
      <c r="D235" s="8" t="str">
        <f>IFERROR(__xludf.DUMMYFUNCTION("GOOGLETRANSLATE(C235, ""en"", ""pt"")"),"lagartixa")</f>
        <v>lagartixa</v>
      </c>
      <c r="E235" s="8" t="str">
        <f>IFERROR(__xludf.DUMMYFUNCTION("GOOGLETRANSLATE(C235, ""en"", ""es"")"),"geco")</f>
        <v>geco</v>
      </c>
      <c r="F235" s="8" t="str">
        <f>IFERROR(__xludf.DUMMYFUNCTION("GOOGLETRANSLATE(C235, ""en"", ""fr"")"),"gecko")</f>
        <v>gecko</v>
      </c>
      <c r="G235" s="8" t="str">
        <f>IFERROR(__xludf.DUMMYFUNCTION("GOOGLETRANSLATE(C235, ""en"", ""de"")"),"Gecko")</f>
        <v>Gecko</v>
      </c>
      <c r="H235" s="8" t="str">
        <f>IFERROR(__xludf.DUMMYFUNCTION("GOOGLETRANSLATE(C235, ""en"", ""ru"")"),"геккон")</f>
        <v>геккон</v>
      </c>
      <c r="I235" s="8" t="str">
        <f>IFERROR(__xludf.DUMMYFUNCTION("GOOGLETRANSLATE(C235, ""en"", ""ar"")"),"أبو بريص")</f>
        <v>أبو بريص</v>
      </c>
      <c r="J235" s="8"/>
      <c r="K235" s="7" t="str">
        <f>IFERROR(__xludf.DUMMYFUNCTION("CONCAT(REGEXREPLACE(C235,""[ ,]+"",""_""),"".mp3"")"),"gecko.mp3")</f>
        <v>gecko.mp3</v>
      </c>
      <c r="M235" s="4" t="s">
        <v>10</v>
      </c>
    </row>
    <row r="236" ht="15.75" customHeight="1">
      <c r="A236" s="1">
        <v>1604.0</v>
      </c>
      <c r="B236" s="3">
        <v>142.0</v>
      </c>
      <c r="C236" s="7" t="s">
        <v>294</v>
      </c>
      <c r="D236" s="8" t="str">
        <f>IFERROR(__xludf.DUMMYFUNCTION("GOOGLETRANSLATE(C236, ""en"", ""pt"")"),"iguana")</f>
        <v>iguana</v>
      </c>
      <c r="E236" s="8" t="str">
        <f>IFERROR(__xludf.DUMMYFUNCTION("GOOGLETRANSLATE(C236, ""en"", ""es"")"),"iguana")</f>
        <v>iguana</v>
      </c>
      <c r="F236" s="8" t="str">
        <f>IFERROR(__xludf.DUMMYFUNCTION("GOOGLETRANSLATE(C236, ""en"", ""fr"")"),"iguane")</f>
        <v>iguane</v>
      </c>
      <c r="G236" s="8" t="str">
        <f>IFERROR(__xludf.DUMMYFUNCTION("GOOGLETRANSLATE(C236, ""en"", ""de"")"),"Leguan")</f>
        <v>Leguan</v>
      </c>
      <c r="H236" s="8" t="str">
        <f>IFERROR(__xludf.DUMMYFUNCTION("GOOGLETRANSLATE(C236, ""en"", ""ru"")"),"игуана")</f>
        <v>игуана</v>
      </c>
      <c r="I236" s="8" t="str">
        <f>IFERROR(__xludf.DUMMYFUNCTION("GOOGLETRANSLATE(C236, ""en"", ""ar"")"),"إغوانا")</f>
        <v>إغوانا</v>
      </c>
      <c r="J236" s="8"/>
      <c r="K236" s="7" t="str">
        <f>IFERROR(__xludf.DUMMYFUNCTION("CONCAT(REGEXREPLACE(C236,""[ ,]+"",""_""),"".mp3"")"),"iguana.mp3")</f>
        <v>iguana.mp3</v>
      </c>
      <c r="M236" s="4" t="s">
        <v>10</v>
      </c>
    </row>
    <row r="237" ht="15.75" customHeight="1">
      <c r="A237" s="1">
        <v>1605.0</v>
      </c>
      <c r="B237" s="3">
        <v>142.0</v>
      </c>
      <c r="C237" s="7" t="s">
        <v>295</v>
      </c>
      <c r="D237" s="8" t="str">
        <f>IFERROR(__xludf.DUMMYFUNCTION("GOOGLETRANSLATE(C237, ""en"", ""pt"")"),"camaleão")</f>
        <v>camaleão</v>
      </c>
      <c r="E237" s="8" t="str">
        <f>IFERROR(__xludf.DUMMYFUNCTION("GOOGLETRANSLATE(C237, ""en"", ""es"")"),"camaleón")</f>
        <v>camaleón</v>
      </c>
      <c r="F237" s="8" t="str">
        <f>IFERROR(__xludf.DUMMYFUNCTION("GOOGLETRANSLATE(C237, ""en"", ""fr"")"),"caméléon")</f>
        <v>caméléon</v>
      </c>
      <c r="G237" s="8" t="str">
        <f>IFERROR(__xludf.DUMMYFUNCTION("GOOGLETRANSLATE(C237, ""en"", ""de"")"),"Chamäleon")</f>
        <v>Chamäleon</v>
      </c>
      <c r="H237" s="8" t="str">
        <f>IFERROR(__xludf.DUMMYFUNCTION("GOOGLETRANSLATE(C237, ""en"", ""ru"")"),"хамелеон")</f>
        <v>хамелеон</v>
      </c>
      <c r="I237" s="8" t="str">
        <f>IFERROR(__xludf.DUMMYFUNCTION("GOOGLETRANSLATE(C237, ""en"", ""ar"")"),"حرباء")</f>
        <v>حرباء</v>
      </c>
      <c r="J237" s="8"/>
      <c r="K237" s="7" t="str">
        <f>IFERROR(__xludf.DUMMYFUNCTION("CONCAT(REGEXREPLACE(C237,""[ ,]+"",""_""),"".mp3"")"),"chameleon.mp3")</f>
        <v>chameleon.mp3</v>
      </c>
      <c r="M237" s="4" t="s">
        <v>10</v>
      </c>
    </row>
    <row r="238" ht="15.75" customHeight="1">
      <c r="A238" s="1">
        <v>1606.0</v>
      </c>
      <c r="B238" s="3">
        <v>142.0</v>
      </c>
      <c r="C238" s="7" t="s">
        <v>211</v>
      </c>
      <c r="D238" s="8" t="str">
        <f>IFERROR(__xludf.DUMMYFUNCTION("GOOGLETRANSLATE(C238, ""en"", ""pt"")"),"tartaruga")</f>
        <v>tartaruga</v>
      </c>
      <c r="E238" s="8" t="str">
        <f>IFERROR(__xludf.DUMMYFUNCTION("GOOGLETRANSLATE(C238, ""en"", ""es"")"),"tortuga")</f>
        <v>tortuga</v>
      </c>
      <c r="F238" s="8" t="str">
        <f>IFERROR(__xludf.DUMMYFUNCTION("GOOGLETRANSLATE(C238, ""en"", ""fr"")"),"tortue")</f>
        <v>tortue</v>
      </c>
      <c r="G238" s="8" t="str">
        <f>IFERROR(__xludf.DUMMYFUNCTION("GOOGLETRANSLATE(C238, ""en"", ""de"")"),"Schildkröte")</f>
        <v>Schildkröte</v>
      </c>
      <c r="H238" s="8" t="str">
        <f>IFERROR(__xludf.DUMMYFUNCTION("GOOGLETRANSLATE(C238, ""en"", ""ru"")"),"черепаха")</f>
        <v>черепаха</v>
      </c>
      <c r="I238" s="8" t="str">
        <f>IFERROR(__xludf.DUMMYFUNCTION("GOOGLETRANSLATE(C238, ""en"", ""ar"")"),"سلحفاة")</f>
        <v>سلحفاة</v>
      </c>
      <c r="J238" s="8"/>
      <c r="K238" s="7" t="str">
        <f>IFERROR(__xludf.DUMMYFUNCTION("CONCAT(REGEXREPLACE(C238,""[ ,]+"",""_""),"".mp3"")"),"turtle.mp3")</f>
        <v>turtle.mp3</v>
      </c>
      <c r="M238" s="4" t="s">
        <v>10</v>
      </c>
    </row>
    <row r="239" ht="15.75" customHeight="1">
      <c r="A239" s="1">
        <v>1607.0</v>
      </c>
      <c r="B239" s="3">
        <v>142.0</v>
      </c>
      <c r="C239" s="7" t="s">
        <v>296</v>
      </c>
      <c r="D239" s="8" t="str">
        <f>IFERROR(__xludf.DUMMYFUNCTION("GOOGLETRANSLATE(C239, ""en"", ""pt"")"),"tartaruga")</f>
        <v>tartaruga</v>
      </c>
      <c r="E239" s="8" t="str">
        <f>IFERROR(__xludf.DUMMYFUNCTION("GOOGLETRANSLATE(C239, ""en"", ""es"")"),"tortuga")</f>
        <v>tortuga</v>
      </c>
      <c r="F239" s="8" t="str">
        <f>IFERROR(__xludf.DUMMYFUNCTION("GOOGLETRANSLATE(C239, ""en"", ""fr"")"),"tortue")</f>
        <v>tortue</v>
      </c>
      <c r="G239" s="8" t="str">
        <f>IFERROR(__xludf.DUMMYFUNCTION("GOOGLETRANSLATE(C239, ""en"", ""de"")"),"Schildkröte")</f>
        <v>Schildkröte</v>
      </c>
      <c r="H239" s="8" t="str">
        <f>IFERROR(__xludf.DUMMYFUNCTION("GOOGLETRANSLATE(C239, ""en"", ""ru"")"),"черепаха")</f>
        <v>черепаха</v>
      </c>
      <c r="I239" s="8" t="str">
        <f>IFERROR(__xludf.DUMMYFUNCTION("GOOGLETRANSLATE(C239, ""en"", ""ar"")"),"سلحفاء")</f>
        <v>سلحفاء</v>
      </c>
      <c r="J239" s="8"/>
      <c r="K239" s="7" t="str">
        <f>IFERROR(__xludf.DUMMYFUNCTION("CONCAT(REGEXREPLACE(C239,""[ ,]+"",""_""),"".mp3"")"),"tortoise.mp3")</f>
        <v>tortoise.mp3</v>
      </c>
      <c r="M239" s="4" t="s">
        <v>10</v>
      </c>
    </row>
    <row r="240" ht="15.75" customHeight="1">
      <c r="A240" s="1">
        <v>1608.0</v>
      </c>
      <c r="B240" s="3">
        <v>142.0</v>
      </c>
      <c r="C240" s="7" t="s">
        <v>297</v>
      </c>
      <c r="D240" s="8" t="str">
        <f>IFERROR(__xludf.DUMMYFUNCTION("GOOGLETRANSLATE(C240, ""en"", ""pt"")"),"crocodilo")</f>
        <v>crocodilo</v>
      </c>
      <c r="E240" s="8" t="str">
        <f>IFERROR(__xludf.DUMMYFUNCTION("GOOGLETRANSLATE(C240, ""en"", ""es"")"),"cocodrilo")</f>
        <v>cocodrilo</v>
      </c>
      <c r="F240" s="8" t="str">
        <f>IFERROR(__xludf.DUMMYFUNCTION("GOOGLETRANSLATE(C240, ""en"", ""fr"")"),"crocodile")</f>
        <v>crocodile</v>
      </c>
      <c r="G240" s="8" t="str">
        <f>IFERROR(__xludf.DUMMYFUNCTION("GOOGLETRANSLATE(C240, ""en"", ""de"")"),"Krokodil")</f>
        <v>Krokodil</v>
      </c>
      <c r="H240" s="8" t="str">
        <f>IFERROR(__xludf.DUMMYFUNCTION("GOOGLETRANSLATE(C240, ""en"", ""ru"")"),"крокодил")</f>
        <v>крокодил</v>
      </c>
      <c r="I240" s="8" t="str">
        <f>IFERROR(__xludf.DUMMYFUNCTION("GOOGLETRANSLATE(C240, ""en"", ""ar"")"),"تمساح")</f>
        <v>تمساح</v>
      </c>
      <c r="J240" s="8"/>
      <c r="K240" s="7" t="str">
        <f>IFERROR(__xludf.DUMMYFUNCTION("CONCAT(REGEXREPLACE(C240,""[ ,]+"",""_""),"".mp3"")"),"crocodile.mp3")</f>
        <v>crocodile.mp3</v>
      </c>
      <c r="M240" s="4" t="s">
        <v>10</v>
      </c>
    </row>
    <row r="241" ht="15.75" customHeight="1">
      <c r="A241" s="1">
        <v>1609.0</v>
      </c>
      <c r="B241" s="3">
        <v>142.0</v>
      </c>
      <c r="C241" s="7" t="s">
        <v>298</v>
      </c>
      <c r="D241" s="8" t="str">
        <f>IFERROR(__xludf.DUMMYFUNCTION("GOOGLETRANSLATE(C241, ""en"", ""pt"")"),"jacaré")</f>
        <v>jacaré</v>
      </c>
      <c r="E241" s="8" t="str">
        <f>IFERROR(__xludf.DUMMYFUNCTION("GOOGLETRANSLATE(C241, ""en"", ""es"")"),"caimán")</f>
        <v>caimán</v>
      </c>
      <c r="F241" s="8" t="str">
        <f>IFERROR(__xludf.DUMMYFUNCTION("GOOGLETRANSLATE(C241, ""en"", ""fr"")"),"alligator")</f>
        <v>alligator</v>
      </c>
      <c r="G241" s="8" t="str">
        <f>IFERROR(__xludf.DUMMYFUNCTION("GOOGLETRANSLATE(C241, ""en"", ""de"")"),"Alligator")</f>
        <v>Alligator</v>
      </c>
      <c r="H241" s="8" t="str">
        <f>IFERROR(__xludf.DUMMYFUNCTION("GOOGLETRANSLATE(C241, ""en"", ""ru"")"),"аллигатор")</f>
        <v>аллигатор</v>
      </c>
      <c r="I241" s="8" t="str">
        <f>IFERROR(__xludf.DUMMYFUNCTION("GOOGLETRANSLATE(C241, ""en"", ""ar"")"),"تمساح")</f>
        <v>تمساح</v>
      </c>
      <c r="J241" s="8"/>
      <c r="K241" s="7" t="str">
        <f>IFERROR(__xludf.DUMMYFUNCTION("CONCAT(REGEXREPLACE(C241,""[ ,]+"",""_""),"".mp3"")"),"alligator.mp3")</f>
        <v>alligator.mp3</v>
      </c>
      <c r="M241" s="4" t="s">
        <v>10</v>
      </c>
    </row>
    <row r="242" ht="15.75" customHeight="1">
      <c r="A242" s="1">
        <v>1610.0</v>
      </c>
      <c r="B242" s="3">
        <v>142.0</v>
      </c>
      <c r="C242" s="7" t="s">
        <v>299</v>
      </c>
      <c r="D242" s="8" t="str">
        <f>IFERROR(__xludf.DUMMYFUNCTION("GOOGLETRANSLATE(C242, ""en"", ""pt"")"),"dragão de komodo")</f>
        <v>dragão de komodo</v>
      </c>
      <c r="E242" s="8" t="str">
        <f>IFERROR(__xludf.DUMMYFUNCTION("GOOGLETRANSLATE(C242, ""en"", ""es"")"),"dragón de Komodo")</f>
        <v>dragón de Komodo</v>
      </c>
      <c r="F242" s="8" t="str">
        <f>IFERROR(__xludf.DUMMYFUNCTION("GOOGLETRANSLATE(C242, ""en"", ""fr"")"),"dragon de Komodo")</f>
        <v>dragon de Komodo</v>
      </c>
      <c r="G242" s="8" t="str">
        <f>IFERROR(__xludf.DUMMYFUNCTION("GOOGLETRANSLATE(C242, ""en"", ""de"")"),"Komodowaran")</f>
        <v>Komodowaran</v>
      </c>
      <c r="H242" s="8" t="str">
        <f>IFERROR(__xludf.DUMMYFUNCTION("GOOGLETRANSLATE(C242, ""en"", ""ru"")"),"комодский дракон")</f>
        <v>комодский дракон</v>
      </c>
      <c r="I242" s="8" t="str">
        <f>IFERROR(__xludf.DUMMYFUNCTION("GOOGLETRANSLATE(C242, ""en"", ""ar"")"),"تنين كومودو")</f>
        <v>تنين كومودو</v>
      </c>
      <c r="J242" s="8"/>
      <c r="K242" s="7" t="str">
        <f>IFERROR(__xludf.DUMMYFUNCTION("CONCAT(REGEXREPLACE(C242,""[ ,]+"",""_""),"".mp3"")"),"komodo_dragon.mp3")</f>
        <v>komodo_dragon.mp3</v>
      </c>
      <c r="M242" s="4" t="s">
        <v>10</v>
      </c>
    </row>
    <row r="243" ht="15.75" customHeight="1">
      <c r="A243" s="1">
        <v>1611.0</v>
      </c>
      <c r="B243" s="3">
        <v>142.0</v>
      </c>
      <c r="C243" s="7" t="s">
        <v>300</v>
      </c>
      <c r="D243" s="8" t="str">
        <f>IFERROR(__xludf.DUMMYFUNCTION("GOOGLETRANSLATE(C243, ""en"", ""pt"")"),"sapo")</f>
        <v>sapo</v>
      </c>
      <c r="E243" s="8" t="str">
        <f>IFERROR(__xludf.DUMMYFUNCTION("GOOGLETRANSLATE(C243, ""en"", ""es"")"),"rana")</f>
        <v>rana</v>
      </c>
      <c r="F243" s="8" t="str">
        <f>IFERROR(__xludf.DUMMYFUNCTION("GOOGLETRANSLATE(C243, ""en"", ""fr"")"),"grenouille")</f>
        <v>grenouille</v>
      </c>
      <c r="G243" s="8" t="str">
        <f>IFERROR(__xludf.DUMMYFUNCTION("GOOGLETRANSLATE(C243, ""en"", ""de"")"),"Frosch")</f>
        <v>Frosch</v>
      </c>
      <c r="H243" s="8" t="str">
        <f>IFERROR(__xludf.DUMMYFUNCTION("GOOGLETRANSLATE(C243, ""en"", ""ru"")"),"лягушка")</f>
        <v>лягушка</v>
      </c>
      <c r="I243" s="8" t="str">
        <f>IFERROR(__xludf.DUMMYFUNCTION("GOOGLETRANSLATE(C243, ""en"", ""ar"")"),"ضفدع")</f>
        <v>ضفدع</v>
      </c>
      <c r="J243" s="8"/>
      <c r="K243" s="7" t="str">
        <f>IFERROR(__xludf.DUMMYFUNCTION("CONCAT(REGEXREPLACE(C243,""[ ,]+"",""_""),"".mp3"")"),"frog.mp3")</f>
        <v>frog.mp3</v>
      </c>
      <c r="M243" s="4" t="s">
        <v>10</v>
      </c>
    </row>
    <row r="244" ht="15.75" customHeight="1">
      <c r="A244" s="1">
        <v>1612.0</v>
      </c>
      <c r="B244" s="3">
        <v>142.0</v>
      </c>
      <c r="C244" s="7" t="s">
        <v>301</v>
      </c>
      <c r="D244" s="8" t="str">
        <f>IFERROR(__xludf.DUMMYFUNCTION("GOOGLETRANSLATE(C244, ""en"", ""pt"")"),"sapo")</f>
        <v>sapo</v>
      </c>
      <c r="E244" s="8" t="str">
        <f>IFERROR(__xludf.DUMMYFUNCTION("GOOGLETRANSLATE(C244, ""en"", ""es"")"),"sapo")</f>
        <v>sapo</v>
      </c>
      <c r="F244" s="8" t="str">
        <f>IFERROR(__xludf.DUMMYFUNCTION("GOOGLETRANSLATE(C244, ""en"", ""fr"")"),"crapaud")</f>
        <v>crapaud</v>
      </c>
      <c r="G244" s="8" t="str">
        <f>IFERROR(__xludf.DUMMYFUNCTION("GOOGLETRANSLATE(C244, ""en"", ""de"")"),"Kröte")</f>
        <v>Kröte</v>
      </c>
      <c r="H244" s="8" t="str">
        <f>IFERROR(__xludf.DUMMYFUNCTION("GOOGLETRANSLATE(C244, ""en"", ""ru"")"),"жаба")</f>
        <v>жаба</v>
      </c>
      <c r="I244" s="8" t="str">
        <f>IFERROR(__xludf.DUMMYFUNCTION("GOOGLETRANSLATE(C244, ""en"", ""ar"")"),"ضفدع")</f>
        <v>ضفدع</v>
      </c>
      <c r="J244" s="8"/>
      <c r="K244" s="7" t="str">
        <f>IFERROR(__xludf.DUMMYFUNCTION("CONCAT(REGEXREPLACE(C244,""[ ,]+"",""_""),"".mp3"")"),"toad.mp3")</f>
        <v>toad.mp3</v>
      </c>
      <c r="M244" s="4" t="s">
        <v>10</v>
      </c>
    </row>
    <row r="245" ht="15.75" customHeight="1">
      <c r="A245" s="1">
        <v>1613.0</v>
      </c>
      <c r="B245" s="3">
        <v>142.0</v>
      </c>
      <c r="C245" s="7" t="s">
        <v>302</v>
      </c>
      <c r="D245" s="8" t="str">
        <f>IFERROR(__xludf.DUMMYFUNCTION("GOOGLETRANSLATE(C245, ""en"", ""pt"")"),"salamandra")</f>
        <v>salamandra</v>
      </c>
      <c r="E245" s="8" t="str">
        <f>IFERROR(__xludf.DUMMYFUNCTION("GOOGLETRANSLATE(C245, ""en"", ""es"")"),"salamandra")</f>
        <v>salamandra</v>
      </c>
      <c r="F245" s="8" t="str">
        <f>IFERROR(__xludf.DUMMYFUNCTION("GOOGLETRANSLATE(C245, ""en"", ""fr"")"),"salamandre")</f>
        <v>salamandre</v>
      </c>
      <c r="G245" s="8" t="str">
        <f>IFERROR(__xludf.DUMMYFUNCTION("GOOGLETRANSLATE(C245, ""en"", ""de"")"),"Salamander")</f>
        <v>Salamander</v>
      </c>
      <c r="H245" s="8" t="str">
        <f>IFERROR(__xludf.DUMMYFUNCTION("GOOGLETRANSLATE(C245, ""en"", ""ru"")"),"саламандра")</f>
        <v>саламандра</v>
      </c>
      <c r="I245" s="8" t="str">
        <f>IFERROR(__xludf.DUMMYFUNCTION("GOOGLETRANSLATE(C245, ""en"", ""ar"")"),"سمندل")</f>
        <v>سمندل</v>
      </c>
      <c r="J245" s="8"/>
      <c r="K245" s="7" t="str">
        <f>IFERROR(__xludf.DUMMYFUNCTION("CONCAT(REGEXREPLACE(C245,""[ ,]+"",""_""),"".mp3"")"),"salamander.mp3")</f>
        <v>salamander.mp3</v>
      </c>
      <c r="M245" s="4" t="s">
        <v>10</v>
      </c>
    </row>
    <row r="246" ht="15.75" customHeight="1">
      <c r="A246" s="1">
        <v>1614.0</v>
      </c>
      <c r="B246" s="3">
        <v>142.0</v>
      </c>
      <c r="C246" s="7" t="s">
        <v>303</v>
      </c>
      <c r="D246" s="8" t="str">
        <f>IFERROR(__xludf.DUMMYFUNCTION("GOOGLETRANSLATE(C246, ""en"", ""pt"")"),"tritão")</f>
        <v>tritão</v>
      </c>
      <c r="E246" s="8" t="str">
        <f>IFERROR(__xludf.DUMMYFUNCTION("GOOGLETRANSLATE(C246, ""en"", ""es"")"),"tritón")</f>
        <v>tritón</v>
      </c>
      <c r="F246" s="8" t="str">
        <f>IFERROR(__xludf.DUMMYFUNCTION("GOOGLETRANSLATE(C246, ""en"", ""fr"")"),"triton")</f>
        <v>triton</v>
      </c>
      <c r="G246" s="8" t="str">
        <f>IFERROR(__xludf.DUMMYFUNCTION("GOOGLETRANSLATE(C246, ""en"", ""de"")"),"Molch")</f>
        <v>Molch</v>
      </c>
      <c r="H246" s="8" t="str">
        <f>IFERROR(__xludf.DUMMYFUNCTION("GOOGLETRANSLATE(C246, ""en"", ""ru"")"),"тритон")</f>
        <v>тритон</v>
      </c>
      <c r="I246" s="8" t="str">
        <f>IFERROR(__xludf.DUMMYFUNCTION("GOOGLETRANSLATE(C246, ""en"", ""ar"")"),"سمندل الماء")</f>
        <v>سمندل الماء</v>
      </c>
      <c r="J246" s="8"/>
      <c r="K246" s="7" t="str">
        <f>IFERROR(__xludf.DUMMYFUNCTION("CONCAT(REGEXREPLACE(C246,""[ ,]+"",""_""),"".mp3"")"),"newt.mp3")</f>
        <v>newt.mp3</v>
      </c>
      <c r="M246" s="4" t="s">
        <v>10</v>
      </c>
    </row>
    <row r="247" ht="15.75" customHeight="1">
      <c r="A247" s="1">
        <v>1615.0</v>
      </c>
      <c r="B247" s="3">
        <v>142.0</v>
      </c>
      <c r="C247" s="7" t="s">
        <v>304</v>
      </c>
      <c r="D247" s="8" t="str">
        <f>IFERROR(__xludf.DUMMYFUNCTION("GOOGLETRANSLATE(C247, ""en"", ""pt"")"),"axolote")</f>
        <v>axolote</v>
      </c>
      <c r="E247" s="8" t="str">
        <f>IFERROR(__xludf.DUMMYFUNCTION("GOOGLETRANSLATE(C247, ""en"", ""es"")"),"ajolote")</f>
        <v>ajolote</v>
      </c>
      <c r="F247" s="8" t="str">
        <f>IFERROR(__xludf.DUMMYFUNCTION("GOOGLETRANSLATE(C247, ""en"", ""fr"")"),"axolotl")</f>
        <v>axolotl</v>
      </c>
      <c r="G247" s="8" t="str">
        <f>IFERROR(__xludf.DUMMYFUNCTION("GOOGLETRANSLATE(C247, ""en"", ""de"")"),"Axolotl")</f>
        <v>Axolotl</v>
      </c>
      <c r="H247" s="8" t="str">
        <f>IFERROR(__xludf.DUMMYFUNCTION("GOOGLETRANSLATE(C247, ""en"", ""ru"")"),"аксолотль")</f>
        <v>аксолотль</v>
      </c>
      <c r="I247" s="8" t="str">
        <f>IFERROR(__xludf.DUMMYFUNCTION("GOOGLETRANSLATE(C247, ""en"", ""ar"")"),"الأكسولوتل")</f>
        <v>الأكسولوتل</v>
      </c>
      <c r="J247" s="8"/>
      <c r="K247" s="7" t="str">
        <f>IFERROR(__xludf.DUMMYFUNCTION("CONCAT(REGEXREPLACE(C247,""[ ,]+"",""_""),"".mp3"")"),"axolotl.mp3")</f>
        <v>axolotl.mp3</v>
      </c>
      <c r="M247" s="4" t="s">
        <v>10</v>
      </c>
    </row>
    <row r="248" ht="15.75" customHeight="1">
      <c r="A248" s="1">
        <v>1616.0</v>
      </c>
      <c r="B248" s="3">
        <v>142.0</v>
      </c>
      <c r="C248" s="7" t="s">
        <v>305</v>
      </c>
      <c r="D248" s="8" t="str">
        <f>IFERROR(__xludf.DUMMYFUNCTION("GOOGLETRANSLATE(C248, ""en"", ""pt"")"),"peixe")</f>
        <v>peixe</v>
      </c>
      <c r="E248" s="8" t="str">
        <f>IFERROR(__xludf.DUMMYFUNCTION("GOOGLETRANSLATE(C248, ""en"", ""es"")"),"pez")</f>
        <v>pez</v>
      </c>
      <c r="F248" s="8" t="str">
        <f>IFERROR(__xludf.DUMMYFUNCTION("GOOGLETRANSLATE(C248, ""en"", ""fr"")"),"poisson")</f>
        <v>poisson</v>
      </c>
      <c r="G248" s="8" t="str">
        <f>IFERROR(__xludf.DUMMYFUNCTION("GOOGLETRANSLATE(C248, ""en"", ""de"")"),"Fisch")</f>
        <v>Fisch</v>
      </c>
      <c r="H248" s="8" t="str">
        <f>IFERROR(__xludf.DUMMYFUNCTION("GOOGLETRANSLATE(C248, ""en"", ""ru"")"),"рыба")</f>
        <v>рыба</v>
      </c>
      <c r="I248" s="8" t="str">
        <f>IFERROR(__xludf.DUMMYFUNCTION("GOOGLETRANSLATE(C248, ""en"", ""ar"")"),"سمكة")</f>
        <v>سمكة</v>
      </c>
      <c r="J248" s="8"/>
      <c r="K248" s="7" t="str">
        <f>IFERROR(__xludf.DUMMYFUNCTION("CONCAT(REGEXREPLACE(C248,""[ ,]+"",""_""),"".mp3"")"),"fish.mp3")</f>
        <v>fish.mp3</v>
      </c>
      <c r="M248" s="4" t="s">
        <v>10</v>
      </c>
    </row>
    <row r="249" ht="15.75" customHeight="1">
      <c r="A249" s="1">
        <v>1617.0</v>
      </c>
      <c r="B249" s="3">
        <v>142.0</v>
      </c>
      <c r="C249" s="7" t="s">
        <v>306</v>
      </c>
      <c r="D249" s="8" t="str">
        <f>IFERROR(__xludf.DUMMYFUNCTION("GOOGLETRANSLATE(C249, ""en"", ""pt"")"),"tubarão")</f>
        <v>tubarão</v>
      </c>
      <c r="E249" s="8" t="str">
        <f>IFERROR(__xludf.DUMMYFUNCTION("GOOGLETRANSLATE(C249, ""en"", ""es"")"),"tiburón")</f>
        <v>tiburón</v>
      </c>
      <c r="F249" s="8" t="str">
        <f>IFERROR(__xludf.DUMMYFUNCTION("GOOGLETRANSLATE(C249, ""en"", ""fr"")"),"requin")</f>
        <v>requin</v>
      </c>
      <c r="G249" s="8" t="str">
        <f>IFERROR(__xludf.DUMMYFUNCTION("GOOGLETRANSLATE(C249, ""en"", ""de"")"),"Hai")</f>
        <v>Hai</v>
      </c>
      <c r="H249" s="8" t="str">
        <f>IFERROR(__xludf.DUMMYFUNCTION("GOOGLETRANSLATE(C249, ""en"", ""ru"")"),"акула")</f>
        <v>акула</v>
      </c>
      <c r="I249" s="8" t="str">
        <f>IFERROR(__xludf.DUMMYFUNCTION("GOOGLETRANSLATE(C249, ""en"", ""ar"")"),"سمك القرش")</f>
        <v>سمك القرش</v>
      </c>
      <c r="J249" s="8"/>
      <c r="K249" s="7" t="str">
        <f>IFERROR(__xludf.DUMMYFUNCTION("CONCAT(REGEXREPLACE(C249,""[ ,]+"",""_""),"".mp3"")"),"shark.mp3")</f>
        <v>shark.mp3</v>
      </c>
      <c r="M249" s="4" t="s">
        <v>10</v>
      </c>
    </row>
    <row r="250" ht="15.75" customHeight="1">
      <c r="A250" s="1">
        <v>1618.0</v>
      </c>
      <c r="B250" s="3">
        <v>142.0</v>
      </c>
      <c r="C250" s="7" t="s">
        <v>307</v>
      </c>
      <c r="D250" s="8" t="str">
        <f>IFERROR(__xludf.DUMMYFUNCTION("GOOGLETRANSLATE(C250, ""en"", ""pt"")"),"tubarão-baleia")</f>
        <v>tubarão-baleia</v>
      </c>
      <c r="E250" s="8" t="str">
        <f>IFERROR(__xludf.DUMMYFUNCTION("GOOGLETRANSLATE(C250, ""en"", ""es"")"),"tiburón ballena")</f>
        <v>tiburón ballena</v>
      </c>
      <c r="F250" s="8" t="str">
        <f>IFERROR(__xludf.DUMMYFUNCTION("GOOGLETRANSLATE(C250, ""en"", ""fr"")"),"requin-baleine")</f>
        <v>requin-baleine</v>
      </c>
      <c r="G250" s="8" t="str">
        <f>IFERROR(__xludf.DUMMYFUNCTION("GOOGLETRANSLATE(C250, ""en"", ""de"")"),"Walhai")</f>
        <v>Walhai</v>
      </c>
      <c r="H250" s="8" t="str">
        <f>IFERROR(__xludf.DUMMYFUNCTION("GOOGLETRANSLATE(C250, ""en"", ""ru"")"),"китовая акула")</f>
        <v>китовая акула</v>
      </c>
      <c r="I250" s="8" t="str">
        <f>IFERROR(__xludf.DUMMYFUNCTION("GOOGLETRANSLATE(C250, ""en"", ""ar"")"),"قرش الحوت")</f>
        <v>قرش الحوت</v>
      </c>
      <c r="J250" s="8"/>
      <c r="K250" s="7" t="str">
        <f>IFERROR(__xludf.DUMMYFUNCTION("CONCAT(REGEXREPLACE(C250,""[ ,]+"",""_""),"".mp3"")"),"whale_shark.mp3")</f>
        <v>whale_shark.mp3</v>
      </c>
      <c r="M250" s="4" t="s">
        <v>10</v>
      </c>
    </row>
    <row r="251" ht="15.75" customHeight="1">
      <c r="A251" s="1">
        <v>1619.0</v>
      </c>
      <c r="B251" s="3">
        <v>142.0</v>
      </c>
      <c r="C251" s="7" t="s">
        <v>308</v>
      </c>
      <c r="D251" s="8" t="str">
        <f>IFERROR(__xludf.DUMMYFUNCTION("GOOGLETRANSLATE(C251, ""en"", ""pt"")"),"salmão")</f>
        <v>salmão</v>
      </c>
      <c r="E251" s="8" t="str">
        <f>IFERROR(__xludf.DUMMYFUNCTION("GOOGLETRANSLATE(C251, ""en"", ""es"")"),"salmón")</f>
        <v>salmón</v>
      </c>
      <c r="F251" s="8" t="str">
        <f>IFERROR(__xludf.DUMMYFUNCTION("GOOGLETRANSLATE(C251, ""en"", ""fr"")"),"saumon")</f>
        <v>saumon</v>
      </c>
      <c r="G251" s="8" t="str">
        <f>IFERROR(__xludf.DUMMYFUNCTION("GOOGLETRANSLATE(C251, ""en"", ""de"")"),"Lachs")</f>
        <v>Lachs</v>
      </c>
      <c r="H251" s="8" t="str">
        <f>IFERROR(__xludf.DUMMYFUNCTION("GOOGLETRANSLATE(C251, ""en"", ""ru"")"),"лосось")</f>
        <v>лосось</v>
      </c>
      <c r="I251" s="8" t="str">
        <f>IFERROR(__xludf.DUMMYFUNCTION("GOOGLETRANSLATE(C251, ""en"", ""ar"")"),"سمك السلمون")</f>
        <v>سمك السلمون</v>
      </c>
      <c r="J251" s="8"/>
      <c r="K251" s="7" t="str">
        <f>IFERROR(__xludf.DUMMYFUNCTION("CONCAT(REGEXREPLACE(C251,""[ ,]+"",""_""),"".mp3"")"),"salmon.mp3")</f>
        <v>salmon.mp3</v>
      </c>
      <c r="M251" s="4" t="s">
        <v>10</v>
      </c>
    </row>
    <row r="252" ht="15.75" customHeight="1">
      <c r="A252" s="1">
        <v>1620.0</v>
      </c>
      <c r="B252" s="3">
        <v>142.0</v>
      </c>
      <c r="C252" s="7" t="s">
        <v>309</v>
      </c>
      <c r="D252" s="8" t="str">
        <f>IFERROR(__xludf.DUMMYFUNCTION("GOOGLETRANSLATE(C252, ""en"", ""pt"")"),"atum")</f>
        <v>atum</v>
      </c>
      <c r="E252" s="8" t="str">
        <f>IFERROR(__xludf.DUMMYFUNCTION("GOOGLETRANSLATE(C252, ""en"", ""es"")"),"atún")</f>
        <v>atún</v>
      </c>
      <c r="F252" s="8" t="str">
        <f>IFERROR(__xludf.DUMMYFUNCTION("GOOGLETRANSLATE(C252, ""en"", ""fr"")"),"thon")</f>
        <v>thon</v>
      </c>
      <c r="G252" s="8" t="str">
        <f>IFERROR(__xludf.DUMMYFUNCTION("GOOGLETRANSLATE(C252, ""en"", ""de"")"),"Thunfisch")</f>
        <v>Thunfisch</v>
      </c>
      <c r="H252" s="8" t="str">
        <f>IFERROR(__xludf.DUMMYFUNCTION("GOOGLETRANSLATE(C252, ""en"", ""ru"")"),"тунец")</f>
        <v>тунец</v>
      </c>
      <c r="I252" s="8" t="str">
        <f>IFERROR(__xludf.DUMMYFUNCTION("GOOGLETRANSLATE(C252, ""en"", ""ar"")"),"التونة")</f>
        <v>التونة</v>
      </c>
      <c r="J252" s="8"/>
      <c r="K252" s="7" t="str">
        <f>IFERROR(__xludf.DUMMYFUNCTION("CONCAT(REGEXREPLACE(C252,""[ ,]+"",""_""),"".mp3"")"),"tuna.mp3")</f>
        <v>tuna.mp3</v>
      </c>
      <c r="M252" s="4" t="s">
        <v>10</v>
      </c>
    </row>
    <row r="253" ht="15.75" customHeight="1">
      <c r="A253" s="1">
        <v>1621.0</v>
      </c>
      <c r="B253" s="3">
        <v>142.0</v>
      </c>
      <c r="C253" s="7" t="s">
        <v>310</v>
      </c>
      <c r="D253" s="8" t="str">
        <f>IFERROR(__xludf.DUMMYFUNCTION("GOOGLETRANSLATE(C253, ""en"", ""pt"")"),"bacalhau")</f>
        <v>bacalhau</v>
      </c>
      <c r="E253" s="8" t="str">
        <f>IFERROR(__xludf.DUMMYFUNCTION("GOOGLETRANSLATE(C253, ""en"", ""es"")"),"bacalao")</f>
        <v>bacalao</v>
      </c>
      <c r="F253" s="8" t="str">
        <f>IFERROR(__xludf.DUMMYFUNCTION("GOOGLETRANSLATE(C253, ""en"", ""fr"")"),"morue")</f>
        <v>morue</v>
      </c>
      <c r="G253" s="8" t="str">
        <f>IFERROR(__xludf.DUMMYFUNCTION("GOOGLETRANSLATE(C253, ""en"", ""de"")"),"Kabeljau")</f>
        <v>Kabeljau</v>
      </c>
      <c r="H253" s="8" t="str">
        <f>IFERROR(__xludf.DUMMYFUNCTION("GOOGLETRANSLATE(C253, ""en"", ""ru"")"),"треска")</f>
        <v>треска</v>
      </c>
      <c r="I253" s="8" t="str">
        <f>IFERROR(__xludf.DUMMYFUNCTION("GOOGLETRANSLATE(C253, ""en"", ""ar"")"),"سمك القد")</f>
        <v>سمك القد</v>
      </c>
      <c r="J253" s="8"/>
      <c r="K253" s="7" t="str">
        <f>IFERROR(__xludf.DUMMYFUNCTION("CONCAT(REGEXREPLACE(C253,""[ ,]+"",""_""),"".mp3"")"),"cod.mp3")</f>
        <v>cod.mp3</v>
      </c>
      <c r="M253" s="4" t="s">
        <v>10</v>
      </c>
    </row>
    <row r="254" ht="15.75" customHeight="1">
      <c r="A254" s="1">
        <v>1622.0</v>
      </c>
      <c r="B254" s="3">
        <v>142.0</v>
      </c>
      <c r="C254" s="7" t="s">
        <v>311</v>
      </c>
      <c r="D254" s="8" t="str">
        <f>IFERROR(__xludf.DUMMYFUNCTION("GOOGLETRANSLATE(C254, ""en"", ""pt"")"),"truta")</f>
        <v>truta</v>
      </c>
      <c r="E254" s="8" t="str">
        <f>IFERROR(__xludf.DUMMYFUNCTION("GOOGLETRANSLATE(C254, ""en"", ""es"")"),"trucha")</f>
        <v>trucha</v>
      </c>
      <c r="F254" s="8" t="str">
        <f>IFERROR(__xludf.DUMMYFUNCTION("GOOGLETRANSLATE(C254, ""en"", ""fr"")"),"truite")</f>
        <v>truite</v>
      </c>
      <c r="G254" s="8" t="str">
        <f>IFERROR(__xludf.DUMMYFUNCTION("GOOGLETRANSLATE(C254, ""en"", ""de"")"),"Forelle")</f>
        <v>Forelle</v>
      </c>
      <c r="H254" s="8" t="str">
        <f>IFERROR(__xludf.DUMMYFUNCTION("GOOGLETRANSLATE(C254, ""en"", ""ru"")"),"форель")</f>
        <v>форель</v>
      </c>
      <c r="I254" s="8" t="str">
        <f>IFERROR(__xludf.DUMMYFUNCTION("GOOGLETRANSLATE(C254, ""en"", ""ar"")"),"سمك السلمون المرقط")</f>
        <v>سمك السلمون المرقط</v>
      </c>
      <c r="J254" s="8"/>
      <c r="K254" s="7" t="str">
        <f>IFERROR(__xludf.DUMMYFUNCTION("CONCAT(REGEXREPLACE(C254,""[ ,]+"",""_""),"".mp3"")"),"trout.mp3")</f>
        <v>trout.mp3</v>
      </c>
      <c r="M254" s="4" t="s">
        <v>10</v>
      </c>
    </row>
    <row r="255" ht="15.75" customHeight="1">
      <c r="A255" s="1">
        <v>1623.0</v>
      </c>
      <c r="B255" s="3">
        <v>142.0</v>
      </c>
      <c r="C255" s="7" t="s">
        <v>207</v>
      </c>
      <c r="D255" s="8" t="str">
        <f>IFERROR(__xludf.DUMMYFUNCTION("GOOGLETRANSLATE(C255, ""en"", ""pt"")"),"peixinho dourado")</f>
        <v>peixinho dourado</v>
      </c>
      <c r="E255" s="8" t="str">
        <f>IFERROR(__xludf.DUMMYFUNCTION("GOOGLETRANSLATE(C255, ""en"", ""es"")"),"pez de colores")</f>
        <v>pez de colores</v>
      </c>
      <c r="F255" s="8" t="str">
        <f>IFERROR(__xludf.DUMMYFUNCTION("GOOGLETRANSLATE(C255, ""en"", ""fr"")"),"poisson rouge")</f>
        <v>poisson rouge</v>
      </c>
      <c r="G255" s="8" t="str">
        <f>IFERROR(__xludf.DUMMYFUNCTION("GOOGLETRANSLATE(C255, ""en"", ""de"")"),"Goldfisch")</f>
        <v>Goldfisch</v>
      </c>
      <c r="H255" s="8" t="str">
        <f>IFERROR(__xludf.DUMMYFUNCTION("GOOGLETRANSLATE(C255, ""en"", ""ru"")"),"золотая рыбка")</f>
        <v>золотая рыбка</v>
      </c>
      <c r="I255" s="8" t="str">
        <f>IFERROR(__xludf.DUMMYFUNCTION("GOOGLETRANSLATE(C255, ""en"", ""ar"")"),"سمك الجولدفيش الذهبي")</f>
        <v>سمك الجولدفيش الذهبي</v>
      </c>
      <c r="J255" s="8"/>
      <c r="K255" s="7" t="str">
        <f>IFERROR(__xludf.DUMMYFUNCTION("CONCAT(REGEXREPLACE(C255,""[ ,]+"",""_""),"".mp3"")"),"goldfish.mp3")</f>
        <v>goldfish.mp3</v>
      </c>
      <c r="M255" s="4" t="s">
        <v>10</v>
      </c>
    </row>
    <row r="256" ht="15.75" customHeight="1">
      <c r="A256" s="1">
        <v>1624.0</v>
      </c>
      <c r="B256" s="3">
        <v>142.0</v>
      </c>
      <c r="C256" s="7" t="s">
        <v>312</v>
      </c>
      <c r="D256" s="8" t="str">
        <f>IFERROR(__xludf.DUMMYFUNCTION("GOOGLETRANSLATE(C256, ""en"", ""pt"")"),"peixe-palhaço")</f>
        <v>peixe-palhaço</v>
      </c>
      <c r="E256" s="8" t="str">
        <f>IFERROR(__xludf.DUMMYFUNCTION("GOOGLETRANSLATE(C256, ""en"", ""es"")"),"pez payaso")</f>
        <v>pez payaso</v>
      </c>
      <c r="F256" s="8" t="str">
        <f>IFERROR(__xludf.DUMMYFUNCTION("GOOGLETRANSLATE(C256, ""en"", ""fr"")"),"poisson-clown")</f>
        <v>poisson-clown</v>
      </c>
      <c r="G256" s="8" t="str">
        <f>IFERROR(__xludf.DUMMYFUNCTION("GOOGLETRANSLATE(C256, ""en"", ""de"")"),"Clownfisch")</f>
        <v>Clownfisch</v>
      </c>
      <c r="H256" s="8" t="str">
        <f>IFERROR(__xludf.DUMMYFUNCTION("GOOGLETRANSLATE(C256, ""en"", ""ru"")"),"рыба-клоун")</f>
        <v>рыба-клоун</v>
      </c>
      <c r="I256" s="8" t="str">
        <f>IFERROR(__xludf.DUMMYFUNCTION("GOOGLETRANSLATE(C256, ""en"", ""ar"")"),"سمكة المهرج")</f>
        <v>سمكة المهرج</v>
      </c>
      <c r="J256" s="8"/>
      <c r="K256" s="7" t="str">
        <f>IFERROR(__xludf.DUMMYFUNCTION("CONCAT(REGEXREPLACE(C256,""[ ,]+"",""_""),"".mp3"")"),"clownfish.mp3")</f>
        <v>clownfish.mp3</v>
      </c>
      <c r="M256" s="4" t="s">
        <v>10</v>
      </c>
    </row>
    <row r="257" ht="15.75" customHeight="1">
      <c r="A257" s="1">
        <v>1625.0</v>
      </c>
      <c r="B257" s="3">
        <v>142.0</v>
      </c>
      <c r="C257" s="7" t="s">
        <v>313</v>
      </c>
      <c r="D257" s="8" t="str">
        <f>IFERROR(__xludf.DUMMYFUNCTION("GOOGLETRANSLATE(C257, ""en"", ""pt"")"),"peixe-anjo")</f>
        <v>peixe-anjo</v>
      </c>
      <c r="E257" s="8" t="str">
        <f>IFERROR(__xludf.DUMMYFUNCTION("GOOGLETRANSLATE(C257, ""en"", ""es"")"),"angelote")</f>
        <v>angelote</v>
      </c>
      <c r="F257" s="8" t="str">
        <f>IFERROR(__xludf.DUMMYFUNCTION("GOOGLETRANSLATE(C257, ""en"", ""fr"")"),"poisson-ange")</f>
        <v>poisson-ange</v>
      </c>
      <c r="G257" s="8" t="str">
        <f>IFERROR(__xludf.DUMMYFUNCTION("GOOGLETRANSLATE(C257, ""en"", ""de"")"),"Kaiserfisch")</f>
        <v>Kaiserfisch</v>
      </c>
      <c r="H257" s="8" t="str">
        <f>IFERROR(__xludf.DUMMYFUNCTION("GOOGLETRANSLATE(C257, ""en"", ""ru"")"),"рыба-ангел")</f>
        <v>рыба-ангел</v>
      </c>
      <c r="I257" s="8" t="str">
        <f>IFERROR(__xludf.DUMMYFUNCTION("GOOGLETRANSLATE(C257, ""en"", ""ar"")"),"سمكة الملاك")</f>
        <v>سمكة الملاك</v>
      </c>
      <c r="J257" s="8"/>
      <c r="K257" s="7" t="str">
        <f>IFERROR(__xludf.DUMMYFUNCTION("CONCAT(REGEXREPLACE(C257,""[ ,]+"",""_""),"".mp3"")"),"angelfish.mp3")</f>
        <v>angelfish.mp3</v>
      </c>
      <c r="M257" s="4" t="s">
        <v>10</v>
      </c>
    </row>
    <row r="258" ht="15.75" customHeight="1">
      <c r="A258" s="1">
        <v>1626.0</v>
      </c>
      <c r="B258" s="3">
        <v>142.0</v>
      </c>
      <c r="C258" s="7" t="s">
        <v>314</v>
      </c>
      <c r="D258" s="8" t="str">
        <f>IFERROR(__xludf.DUMMYFUNCTION("GOOGLETRANSLATE(C258, ""en"", ""pt"")"),"enguia")</f>
        <v>enguia</v>
      </c>
      <c r="E258" s="8" t="str">
        <f>IFERROR(__xludf.DUMMYFUNCTION("GOOGLETRANSLATE(C258, ""en"", ""es"")"),"Anguila")</f>
        <v>Anguila</v>
      </c>
      <c r="F258" s="8" t="str">
        <f>IFERROR(__xludf.DUMMYFUNCTION("GOOGLETRANSLATE(C258, ""en"", ""fr"")"),"anguille")</f>
        <v>anguille</v>
      </c>
      <c r="G258" s="8" t="str">
        <f>IFERROR(__xludf.DUMMYFUNCTION("GOOGLETRANSLATE(C258, ""en"", ""de"")"),"Aal")</f>
        <v>Aal</v>
      </c>
      <c r="H258" s="8" t="str">
        <f>IFERROR(__xludf.DUMMYFUNCTION("GOOGLETRANSLATE(C258, ""en"", ""ru"")"),"угорь")</f>
        <v>угорь</v>
      </c>
      <c r="I258" s="8" t="str">
        <f>IFERROR(__xludf.DUMMYFUNCTION("GOOGLETRANSLATE(C258, ""en"", ""ar"")"),"الجريث")</f>
        <v>الجريث</v>
      </c>
      <c r="J258" s="8"/>
      <c r="K258" s="7" t="str">
        <f>IFERROR(__xludf.DUMMYFUNCTION("CONCAT(REGEXREPLACE(C258,""[ ,]+"",""_""),"".mp3"")"),"eel.mp3")</f>
        <v>eel.mp3</v>
      </c>
      <c r="M258" s="4" t="s">
        <v>10</v>
      </c>
    </row>
    <row r="259" ht="15.75" customHeight="1">
      <c r="A259" s="1">
        <v>1627.0</v>
      </c>
      <c r="B259" s="3">
        <v>142.0</v>
      </c>
      <c r="C259" s="7" t="s">
        <v>315</v>
      </c>
      <c r="D259" s="8" t="str">
        <f>IFERROR(__xludf.DUMMYFUNCTION("GOOGLETRANSLATE(C259, ""en"", ""pt"")"),"cavalo-marinho")</f>
        <v>cavalo-marinho</v>
      </c>
      <c r="E259" s="8" t="str">
        <f>IFERROR(__xludf.DUMMYFUNCTION("GOOGLETRANSLATE(C259, ""en"", ""es"")"),"caballito de mar")</f>
        <v>caballito de mar</v>
      </c>
      <c r="F259" s="8" t="str">
        <f>IFERROR(__xludf.DUMMYFUNCTION("GOOGLETRANSLATE(C259, ""en"", ""fr"")"),"hippocampe")</f>
        <v>hippocampe</v>
      </c>
      <c r="G259" s="8" t="str">
        <f>IFERROR(__xludf.DUMMYFUNCTION("GOOGLETRANSLATE(C259, ""en"", ""de"")"),"Seepferdchen")</f>
        <v>Seepferdchen</v>
      </c>
      <c r="H259" s="8" t="str">
        <f>IFERROR(__xludf.DUMMYFUNCTION("GOOGLETRANSLATE(C259, ""en"", ""ru"")"),"морской конек")</f>
        <v>морской конек</v>
      </c>
      <c r="I259" s="8" t="str">
        <f>IFERROR(__xludf.DUMMYFUNCTION("GOOGLETRANSLATE(C259, ""en"", ""ar"")"),"فرس البحر")</f>
        <v>فرس البحر</v>
      </c>
      <c r="J259" s="8"/>
      <c r="K259" s="7" t="str">
        <f>IFERROR(__xludf.DUMMYFUNCTION("CONCAT(REGEXREPLACE(C259,""[ ,]+"",""_""),"".mp3"")"),"seahorse.mp3")</f>
        <v>seahorse.mp3</v>
      </c>
      <c r="M259" s="4" t="s">
        <v>10</v>
      </c>
    </row>
    <row r="260" ht="15.75" customHeight="1">
      <c r="A260" s="1">
        <v>1628.0</v>
      </c>
      <c r="B260" s="3">
        <v>142.0</v>
      </c>
      <c r="C260" s="7" t="s">
        <v>316</v>
      </c>
      <c r="D260" s="8" t="str">
        <f>IFERROR(__xludf.DUMMYFUNCTION("GOOGLETRANSLATE(C260, ""en"", ""pt"")"),"arraia")</f>
        <v>arraia</v>
      </c>
      <c r="E260" s="8" t="str">
        <f>IFERROR(__xludf.DUMMYFUNCTION("GOOGLETRANSLATE(C260, ""en"", ""es"")"),"raya")</f>
        <v>raya</v>
      </c>
      <c r="F260" s="8" t="str">
        <f>IFERROR(__xludf.DUMMYFUNCTION("GOOGLETRANSLATE(C260, ""en"", ""fr"")"),"raie")</f>
        <v>raie</v>
      </c>
      <c r="G260" s="8" t="str">
        <f>IFERROR(__xludf.DUMMYFUNCTION("GOOGLETRANSLATE(C260, ""en"", ""de"")"),"Stachelrochen")</f>
        <v>Stachelrochen</v>
      </c>
      <c r="H260" s="8" t="str">
        <f>IFERROR(__xludf.DUMMYFUNCTION("GOOGLETRANSLATE(C260, ""en"", ""ru"")"),"скат")</f>
        <v>скат</v>
      </c>
      <c r="I260" s="8" t="str">
        <f>IFERROR(__xludf.DUMMYFUNCTION("GOOGLETRANSLATE(C260, ""en"", ""ar"")"),"سمكة الراي اللاسعة")</f>
        <v>سمكة الراي اللاسعة</v>
      </c>
      <c r="J260" s="8"/>
      <c r="K260" s="7" t="str">
        <f>IFERROR(__xludf.DUMMYFUNCTION("CONCAT(REGEXREPLACE(C260,""[ ,]+"",""_""),"".mp3"")"),"stingray.mp3")</f>
        <v>stingray.mp3</v>
      </c>
      <c r="M260" s="4" t="s">
        <v>10</v>
      </c>
    </row>
    <row r="261" ht="15.75" customHeight="1">
      <c r="A261" s="1">
        <v>1629.0</v>
      </c>
      <c r="B261" s="3">
        <v>142.0</v>
      </c>
      <c r="C261" s="7" t="s">
        <v>317</v>
      </c>
      <c r="D261" s="8" t="str">
        <f>IFERROR(__xludf.DUMMYFUNCTION("GOOGLETRANSLATE(C261, ""en"", ""pt"")"),"piranha")</f>
        <v>piranha</v>
      </c>
      <c r="E261" s="8" t="str">
        <f>IFERROR(__xludf.DUMMYFUNCTION("GOOGLETRANSLATE(C261, ""en"", ""es"")"),"piraña")</f>
        <v>piraña</v>
      </c>
      <c r="F261" s="8" t="str">
        <f>IFERROR(__xludf.DUMMYFUNCTION("GOOGLETRANSLATE(C261, ""en"", ""fr"")"),"piranha")</f>
        <v>piranha</v>
      </c>
      <c r="G261" s="8" t="str">
        <f>IFERROR(__xludf.DUMMYFUNCTION("GOOGLETRANSLATE(C261, ""en"", ""de"")"),"Piranha")</f>
        <v>Piranha</v>
      </c>
      <c r="H261" s="8" t="str">
        <f>IFERROR(__xludf.DUMMYFUNCTION("GOOGLETRANSLATE(C261, ""en"", ""ru"")"),"пиранья")</f>
        <v>пиранья</v>
      </c>
      <c r="I261" s="8" t="str">
        <f>IFERROR(__xludf.DUMMYFUNCTION("GOOGLETRANSLATE(C261, ""en"", ""ar"")"),"سمكة البيرانا")</f>
        <v>سمكة البيرانا</v>
      </c>
      <c r="J261" s="8"/>
      <c r="K261" s="7" t="str">
        <f>IFERROR(__xludf.DUMMYFUNCTION("CONCAT(REGEXREPLACE(C261,""[ ,]+"",""_""),"".mp3"")"),"piranha.mp3")</f>
        <v>piranha.mp3</v>
      </c>
      <c r="M261" s="4" t="s">
        <v>10</v>
      </c>
    </row>
    <row r="262" ht="15.75" customHeight="1">
      <c r="A262" s="1">
        <v>1630.0</v>
      </c>
      <c r="B262" s="3">
        <v>142.0</v>
      </c>
      <c r="C262" s="7" t="s">
        <v>318</v>
      </c>
      <c r="D262" s="8" t="str">
        <f>IFERROR(__xludf.DUMMYFUNCTION("GOOGLETRANSLATE(C262, ""en"", ""pt"")"),"baleia")</f>
        <v>baleia</v>
      </c>
      <c r="E262" s="8" t="str">
        <f>IFERROR(__xludf.DUMMYFUNCTION("GOOGLETRANSLATE(C262, ""en"", ""es"")"),"ballena")</f>
        <v>ballena</v>
      </c>
      <c r="F262" s="8" t="str">
        <f>IFERROR(__xludf.DUMMYFUNCTION("GOOGLETRANSLATE(C262, ""en"", ""fr"")"),"baleine")</f>
        <v>baleine</v>
      </c>
      <c r="G262" s="8" t="str">
        <f>IFERROR(__xludf.DUMMYFUNCTION("GOOGLETRANSLATE(C262, ""en"", ""de"")"),"Wal")</f>
        <v>Wal</v>
      </c>
      <c r="H262" s="8" t="str">
        <f>IFERROR(__xludf.DUMMYFUNCTION("GOOGLETRANSLATE(C262, ""en"", ""ru"")"),"кит")</f>
        <v>кит</v>
      </c>
      <c r="I262" s="8" t="str">
        <f>IFERROR(__xludf.DUMMYFUNCTION("GOOGLETRANSLATE(C262, ""en"", ""ar"")"),"حوت")</f>
        <v>حوت</v>
      </c>
      <c r="J262" s="8"/>
      <c r="K262" s="7" t="str">
        <f>IFERROR(__xludf.DUMMYFUNCTION("CONCAT(REGEXREPLACE(C262,""[ ,]+"",""_""),"".mp3"")"),"whale.mp3")</f>
        <v>whale.mp3</v>
      </c>
      <c r="M262" s="4" t="s">
        <v>10</v>
      </c>
    </row>
    <row r="263" ht="15.75" customHeight="1">
      <c r="A263" s="1">
        <v>1631.0</v>
      </c>
      <c r="B263" s="3">
        <v>142.0</v>
      </c>
      <c r="C263" s="7" t="s">
        <v>319</v>
      </c>
      <c r="D263" s="8" t="str">
        <f>IFERROR(__xludf.DUMMYFUNCTION("GOOGLETRANSLATE(C263, ""en"", ""pt"")"),"golfinho")</f>
        <v>golfinho</v>
      </c>
      <c r="E263" s="8" t="str">
        <f>IFERROR(__xludf.DUMMYFUNCTION("GOOGLETRANSLATE(C263, ""en"", ""es"")"),"delfín")</f>
        <v>delfín</v>
      </c>
      <c r="F263" s="8" t="str">
        <f>IFERROR(__xludf.DUMMYFUNCTION("GOOGLETRANSLATE(C263, ""en"", ""fr"")"),"dauphin")</f>
        <v>dauphin</v>
      </c>
      <c r="G263" s="8" t="str">
        <f>IFERROR(__xludf.DUMMYFUNCTION("GOOGLETRANSLATE(C263, ""en"", ""de"")"),"Delphin")</f>
        <v>Delphin</v>
      </c>
      <c r="H263" s="8" t="str">
        <f>IFERROR(__xludf.DUMMYFUNCTION("GOOGLETRANSLATE(C263, ""en"", ""ru"")"),"дельфин")</f>
        <v>дельфин</v>
      </c>
      <c r="I263" s="8" t="str">
        <f>IFERROR(__xludf.DUMMYFUNCTION("GOOGLETRANSLATE(C263, ""en"", ""ar"")"),"دولفين")</f>
        <v>دولفين</v>
      </c>
      <c r="J263" s="8"/>
      <c r="K263" s="7" t="str">
        <f>IFERROR(__xludf.DUMMYFUNCTION("CONCAT(REGEXREPLACE(C263,""[ ,]+"",""_""),"".mp3"")"),"dolphin.mp3")</f>
        <v>dolphin.mp3</v>
      </c>
      <c r="M263" s="4" t="s">
        <v>10</v>
      </c>
    </row>
    <row r="264" ht="15.75" customHeight="1">
      <c r="A264" s="1">
        <v>1632.0</v>
      </c>
      <c r="B264" s="3">
        <v>142.0</v>
      </c>
      <c r="C264" s="7" t="s">
        <v>320</v>
      </c>
      <c r="D264" s="8" t="str">
        <f>IFERROR(__xludf.DUMMYFUNCTION("GOOGLETRANSLATE(C264, ""en"", ""pt"")"),"boto")</f>
        <v>boto</v>
      </c>
      <c r="E264" s="8" t="str">
        <f>IFERROR(__xludf.DUMMYFUNCTION("GOOGLETRANSLATE(C264, ""en"", ""es"")"),"marsopa")</f>
        <v>marsopa</v>
      </c>
      <c r="F264" s="8" t="str">
        <f>IFERROR(__xludf.DUMMYFUNCTION("GOOGLETRANSLATE(C264, ""en"", ""fr"")"),"marsouin")</f>
        <v>marsouin</v>
      </c>
      <c r="G264" s="8" t="str">
        <f>IFERROR(__xludf.DUMMYFUNCTION("GOOGLETRANSLATE(C264, ""en"", ""de"")"),"Tümmler")</f>
        <v>Tümmler</v>
      </c>
      <c r="H264" s="8" t="str">
        <f>IFERROR(__xludf.DUMMYFUNCTION("GOOGLETRANSLATE(C264, ""en"", ""ru"")"),"морская свинья")</f>
        <v>морская свинья</v>
      </c>
      <c r="I264" s="8" t="str">
        <f>IFERROR(__xludf.DUMMYFUNCTION("GOOGLETRANSLATE(C264, ""en"", ""ar"")"),"خنزير البحر")</f>
        <v>خنزير البحر</v>
      </c>
      <c r="J264" s="8"/>
      <c r="K264" s="7" t="str">
        <f>IFERROR(__xludf.DUMMYFUNCTION("CONCAT(REGEXREPLACE(C264,""[ ,]+"",""_""),"".mp3"")"),"porpoise.mp3")</f>
        <v>porpoise.mp3</v>
      </c>
      <c r="M264" s="4" t="s">
        <v>10</v>
      </c>
    </row>
    <row r="265" ht="15.75" customHeight="1">
      <c r="A265" s="1">
        <v>1633.0</v>
      </c>
      <c r="B265" s="3">
        <v>142.0</v>
      </c>
      <c r="C265" s="7" t="s">
        <v>321</v>
      </c>
      <c r="D265" s="8" t="str">
        <f>IFERROR(__xludf.DUMMYFUNCTION("GOOGLETRANSLATE(C265, ""en"", ""pt"")"),"selo")</f>
        <v>selo</v>
      </c>
      <c r="E265" s="8" t="str">
        <f>IFERROR(__xludf.DUMMYFUNCTION("GOOGLETRANSLATE(C265, ""en"", ""es"")"),"sello")</f>
        <v>sello</v>
      </c>
      <c r="F265" s="8" t="str">
        <f>IFERROR(__xludf.DUMMYFUNCTION("GOOGLETRANSLATE(C265, ""en"", ""fr"")"),"joint")</f>
        <v>joint</v>
      </c>
      <c r="G265" s="8" t="str">
        <f>IFERROR(__xludf.DUMMYFUNCTION("GOOGLETRANSLATE(C265, ""en"", ""de"")"),"Siegel")</f>
        <v>Siegel</v>
      </c>
      <c r="H265" s="8" t="str">
        <f>IFERROR(__xludf.DUMMYFUNCTION("GOOGLETRANSLATE(C265, ""en"", ""ru"")"),"тюлень")</f>
        <v>тюлень</v>
      </c>
      <c r="I265" s="8" t="str">
        <f>IFERROR(__xludf.DUMMYFUNCTION("GOOGLETRANSLATE(C265, ""en"", ""ar"")"),"ختم")</f>
        <v>ختم</v>
      </c>
      <c r="J265" s="8"/>
      <c r="K265" s="7" t="str">
        <f>IFERROR(__xludf.DUMMYFUNCTION("CONCAT(REGEXREPLACE(C265,""[ ,]+"",""_""),"".mp3"")"),"seal.mp3")</f>
        <v>seal.mp3</v>
      </c>
      <c r="M265" s="4" t="s">
        <v>10</v>
      </c>
    </row>
    <row r="266" ht="15.75" customHeight="1">
      <c r="A266" s="1">
        <v>1634.0</v>
      </c>
      <c r="B266" s="3">
        <v>142.0</v>
      </c>
      <c r="C266" s="7" t="s">
        <v>322</v>
      </c>
      <c r="D266" s="8" t="str">
        <f>IFERROR(__xludf.DUMMYFUNCTION("GOOGLETRANSLATE(C266, ""en"", ""pt"")"),"leão-marinho")</f>
        <v>leão-marinho</v>
      </c>
      <c r="E266" s="8" t="str">
        <f>IFERROR(__xludf.DUMMYFUNCTION("GOOGLETRANSLATE(C266, ""en"", ""es"")"),"león marino")</f>
        <v>león marino</v>
      </c>
      <c r="F266" s="8" t="str">
        <f>IFERROR(__xludf.DUMMYFUNCTION("GOOGLETRANSLATE(C266, ""en"", ""fr"")"),"otarie")</f>
        <v>otarie</v>
      </c>
      <c r="G266" s="8" t="str">
        <f>IFERROR(__xludf.DUMMYFUNCTION("GOOGLETRANSLATE(C266, ""en"", ""de"")"),"Seelöwe")</f>
        <v>Seelöwe</v>
      </c>
      <c r="H266" s="8" t="str">
        <f>IFERROR(__xludf.DUMMYFUNCTION("GOOGLETRANSLATE(C266, ""en"", ""ru"")"),"морской лев")</f>
        <v>морской лев</v>
      </c>
      <c r="I266" s="8" t="str">
        <f>IFERROR(__xludf.DUMMYFUNCTION("GOOGLETRANSLATE(C266, ""en"", ""ar"")"),"أسد البحر")</f>
        <v>أسد البحر</v>
      </c>
      <c r="J266" s="8"/>
      <c r="K266" s="7" t="str">
        <f>IFERROR(__xludf.DUMMYFUNCTION("CONCAT(REGEXREPLACE(C266,""[ ,]+"",""_""),"".mp3"")"),"sea_lion.mp3")</f>
        <v>sea_lion.mp3</v>
      </c>
      <c r="M266" s="4" t="s">
        <v>10</v>
      </c>
    </row>
    <row r="267" ht="15.75" customHeight="1">
      <c r="A267" s="1">
        <v>1635.0</v>
      </c>
      <c r="B267" s="3">
        <v>142.0</v>
      </c>
      <c r="C267" s="7" t="s">
        <v>323</v>
      </c>
      <c r="D267" s="8" t="str">
        <f>IFERROR(__xludf.DUMMYFUNCTION("GOOGLETRANSLATE(C267, ""en"", ""pt"")"),"morsa")</f>
        <v>morsa</v>
      </c>
      <c r="E267" s="8" t="str">
        <f>IFERROR(__xludf.DUMMYFUNCTION("GOOGLETRANSLATE(C267, ""en"", ""es"")"),"morsa")</f>
        <v>morsa</v>
      </c>
      <c r="F267" s="8" t="str">
        <f>IFERROR(__xludf.DUMMYFUNCTION("GOOGLETRANSLATE(C267, ""en"", ""fr"")"),"morse")</f>
        <v>morse</v>
      </c>
      <c r="G267" s="8" t="str">
        <f>IFERROR(__xludf.DUMMYFUNCTION("GOOGLETRANSLATE(C267, ""en"", ""de"")"),"Walross")</f>
        <v>Walross</v>
      </c>
      <c r="H267" s="8" t="str">
        <f>IFERROR(__xludf.DUMMYFUNCTION("GOOGLETRANSLATE(C267, ""en"", ""ru"")"),"морж")</f>
        <v>морж</v>
      </c>
      <c r="I267" s="8" t="str">
        <f>IFERROR(__xludf.DUMMYFUNCTION("GOOGLETRANSLATE(C267, ""en"", ""ar"")"),"فظ البحر")</f>
        <v>فظ البحر</v>
      </c>
      <c r="J267" s="8"/>
      <c r="K267" s="7" t="str">
        <f>IFERROR(__xludf.DUMMYFUNCTION("CONCAT(REGEXREPLACE(C267,""[ ,]+"",""_""),"".mp3"")"),"walrus.mp3")</f>
        <v>walrus.mp3</v>
      </c>
      <c r="M267" s="4" t="s">
        <v>10</v>
      </c>
    </row>
    <row r="268" ht="15.75" customHeight="1">
      <c r="A268" s="1">
        <v>1636.0</v>
      </c>
      <c r="B268" s="3">
        <v>142.0</v>
      </c>
      <c r="C268" s="7" t="s">
        <v>324</v>
      </c>
      <c r="D268" s="8" t="str">
        <f>IFERROR(__xludf.DUMMYFUNCTION("GOOGLETRANSLATE(C268, ""en"", ""pt"")"),"peixe-boi")</f>
        <v>peixe-boi</v>
      </c>
      <c r="E268" s="8" t="str">
        <f>IFERROR(__xludf.DUMMYFUNCTION("GOOGLETRANSLATE(C268, ""en"", ""es"")"),"manatí")</f>
        <v>manatí</v>
      </c>
      <c r="F268" s="8" t="str">
        <f>IFERROR(__xludf.DUMMYFUNCTION("GOOGLETRANSLATE(C268, ""en"", ""fr"")"),"lamantin")</f>
        <v>lamantin</v>
      </c>
      <c r="G268" s="8" t="str">
        <f>IFERROR(__xludf.DUMMYFUNCTION("GOOGLETRANSLATE(C268, ""en"", ""de"")"),"Seekuh")</f>
        <v>Seekuh</v>
      </c>
      <c r="H268" s="8" t="str">
        <f>IFERROR(__xludf.DUMMYFUNCTION("GOOGLETRANSLATE(C268, ""en"", ""ru"")"),"ламантин")</f>
        <v>ламантин</v>
      </c>
      <c r="I268" s="8" t="str">
        <f>IFERROR(__xludf.DUMMYFUNCTION("GOOGLETRANSLATE(C268, ""en"", ""ar"")"),"خروف البحر")</f>
        <v>خروف البحر</v>
      </c>
      <c r="J268" s="8"/>
      <c r="K268" s="7" t="str">
        <f>IFERROR(__xludf.DUMMYFUNCTION("CONCAT(REGEXREPLACE(C268,""[ ,]+"",""_""),"".mp3"")"),"manatee.mp3")</f>
        <v>manatee.mp3</v>
      </c>
      <c r="M268" s="4" t="s">
        <v>10</v>
      </c>
    </row>
    <row r="269" ht="15.75" customHeight="1">
      <c r="A269" s="1">
        <v>1637.0</v>
      </c>
      <c r="B269" s="3">
        <v>142.0</v>
      </c>
      <c r="C269" s="7" t="s">
        <v>325</v>
      </c>
      <c r="D269" s="8" t="str">
        <f>IFERROR(__xludf.DUMMYFUNCTION("GOOGLETRANSLATE(C269, ""en"", ""pt"")"),"dugongo")</f>
        <v>dugongo</v>
      </c>
      <c r="E269" s="8" t="str">
        <f>IFERROR(__xludf.DUMMYFUNCTION("GOOGLETRANSLATE(C269, ""en"", ""es"")"),"dugong")</f>
        <v>dugong</v>
      </c>
      <c r="F269" s="8" t="str">
        <f>IFERROR(__xludf.DUMMYFUNCTION("GOOGLETRANSLATE(C269, ""en"", ""fr"")"),"dugong")</f>
        <v>dugong</v>
      </c>
      <c r="G269" s="8" t="str">
        <f>IFERROR(__xludf.DUMMYFUNCTION("GOOGLETRANSLATE(C269, ""en"", ""de"")"),"Dugong")</f>
        <v>Dugong</v>
      </c>
      <c r="H269" s="8" t="str">
        <f>IFERROR(__xludf.DUMMYFUNCTION("GOOGLETRANSLATE(C269, ""en"", ""ru"")"),"дюгонь")</f>
        <v>дюгонь</v>
      </c>
      <c r="I269" s="8" t="str">
        <f>IFERROR(__xludf.DUMMYFUNCTION("GOOGLETRANSLATE(C269, ""en"", ""ar"")"),"الأطوم")</f>
        <v>الأطوم</v>
      </c>
      <c r="J269" s="8"/>
      <c r="K269" s="7" t="str">
        <f>IFERROR(__xludf.DUMMYFUNCTION("CONCAT(REGEXREPLACE(C269,""[ ,]+"",""_""),"".mp3"")"),"dugong.mp3")</f>
        <v>dugong.mp3</v>
      </c>
      <c r="M269" s="4" t="s">
        <v>10</v>
      </c>
    </row>
    <row r="270" ht="15.75" customHeight="1">
      <c r="A270" s="1">
        <v>1638.0</v>
      </c>
      <c r="B270" s="3">
        <v>142.0</v>
      </c>
      <c r="C270" s="7" t="s">
        <v>326</v>
      </c>
      <c r="D270" s="8" t="str">
        <f>IFERROR(__xludf.DUMMYFUNCTION("GOOGLETRANSLATE(C270, ""en"", ""pt"")"),"caranguejo")</f>
        <v>caranguejo</v>
      </c>
      <c r="E270" s="8" t="str">
        <f>IFERROR(__xludf.DUMMYFUNCTION("GOOGLETRANSLATE(C270, ""en"", ""es"")"),"cangrejo")</f>
        <v>cangrejo</v>
      </c>
      <c r="F270" s="8" t="str">
        <f>IFERROR(__xludf.DUMMYFUNCTION("GOOGLETRANSLATE(C270, ""en"", ""fr"")"),"crabe")</f>
        <v>crabe</v>
      </c>
      <c r="G270" s="8" t="str">
        <f>IFERROR(__xludf.DUMMYFUNCTION("GOOGLETRANSLATE(C270, ""en"", ""de"")"),"Krabbe")</f>
        <v>Krabbe</v>
      </c>
      <c r="H270" s="8" t="str">
        <f>IFERROR(__xludf.DUMMYFUNCTION("GOOGLETRANSLATE(C270, ""en"", ""ru"")"),"краб")</f>
        <v>краб</v>
      </c>
      <c r="I270" s="8" t="str">
        <f>IFERROR(__xludf.DUMMYFUNCTION("GOOGLETRANSLATE(C270, ""en"", ""ar"")"),"سرطان البحر")</f>
        <v>سرطان البحر</v>
      </c>
      <c r="J270" s="8"/>
      <c r="K270" s="7" t="str">
        <f>IFERROR(__xludf.DUMMYFUNCTION("CONCAT(REGEXREPLACE(C270,""[ ,]+"",""_""),"".mp3"")"),"crab.mp3")</f>
        <v>crab.mp3</v>
      </c>
      <c r="M270" s="4" t="s">
        <v>10</v>
      </c>
    </row>
    <row r="271" ht="15.75" customHeight="1">
      <c r="A271" s="1">
        <v>1639.0</v>
      </c>
      <c r="B271" s="3">
        <v>142.0</v>
      </c>
      <c r="C271" s="7" t="s">
        <v>327</v>
      </c>
      <c r="D271" s="8" t="str">
        <f>IFERROR(__xludf.DUMMYFUNCTION("GOOGLETRANSLATE(C271, ""en"", ""pt"")"),"lagosta")</f>
        <v>lagosta</v>
      </c>
      <c r="E271" s="8" t="str">
        <f>IFERROR(__xludf.DUMMYFUNCTION("GOOGLETRANSLATE(C271, ""en"", ""es"")"),"langosta")</f>
        <v>langosta</v>
      </c>
      <c r="F271" s="8" t="str">
        <f>IFERROR(__xludf.DUMMYFUNCTION("GOOGLETRANSLATE(C271, ""en"", ""fr"")"),"homard")</f>
        <v>homard</v>
      </c>
      <c r="G271" s="8" t="str">
        <f>IFERROR(__xludf.DUMMYFUNCTION("GOOGLETRANSLATE(C271, ""en"", ""de"")"),"Hummer")</f>
        <v>Hummer</v>
      </c>
      <c r="H271" s="8" t="str">
        <f>IFERROR(__xludf.DUMMYFUNCTION("GOOGLETRANSLATE(C271, ""en"", ""ru"")"),"Омар")</f>
        <v>Омар</v>
      </c>
      <c r="I271" s="8" t="str">
        <f>IFERROR(__xludf.DUMMYFUNCTION("GOOGLETRANSLATE(C271, ""en"", ""ar"")"),"سرطان البحر")</f>
        <v>سرطان البحر</v>
      </c>
      <c r="J271" s="8"/>
      <c r="K271" s="7" t="str">
        <f>IFERROR(__xludf.DUMMYFUNCTION("CONCAT(REGEXREPLACE(C271,""[ ,]+"",""_""),"".mp3"")"),"lobster.mp3")</f>
        <v>lobster.mp3</v>
      </c>
      <c r="M271" s="4" t="s">
        <v>10</v>
      </c>
    </row>
    <row r="272" ht="15.75" customHeight="1">
      <c r="A272" s="1">
        <v>1640.0</v>
      </c>
      <c r="B272" s="3">
        <v>142.0</v>
      </c>
      <c r="C272" s="7" t="s">
        <v>328</v>
      </c>
      <c r="D272" s="8" t="str">
        <f>IFERROR(__xludf.DUMMYFUNCTION("GOOGLETRANSLATE(C272, ""en"", ""pt"")"),"camarão")</f>
        <v>camarão</v>
      </c>
      <c r="E272" s="8" t="str">
        <f>IFERROR(__xludf.DUMMYFUNCTION("GOOGLETRANSLATE(C272, ""en"", ""es"")"),"camarón")</f>
        <v>camarón</v>
      </c>
      <c r="F272" s="8" t="str">
        <f>IFERROR(__xludf.DUMMYFUNCTION("GOOGLETRANSLATE(C272, ""en"", ""fr"")"),"crevette")</f>
        <v>crevette</v>
      </c>
      <c r="G272" s="8" t="str">
        <f>IFERROR(__xludf.DUMMYFUNCTION("GOOGLETRANSLATE(C272, ""en"", ""de"")"),"Garnele")</f>
        <v>Garnele</v>
      </c>
      <c r="H272" s="8" t="str">
        <f>IFERROR(__xludf.DUMMYFUNCTION("GOOGLETRANSLATE(C272, ""en"", ""ru"")"),"креветка")</f>
        <v>креветка</v>
      </c>
      <c r="I272" s="8" t="str">
        <f>IFERROR(__xludf.DUMMYFUNCTION("GOOGLETRANSLATE(C272, ""en"", ""ar"")"),"الروبيان")</f>
        <v>الروبيان</v>
      </c>
      <c r="J272" s="8"/>
      <c r="K272" s="7" t="str">
        <f>IFERROR(__xludf.DUMMYFUNCTION("CONCAT(REGEXREPLACE(C272,""[ ,]+"",""_""),"".mp3"")"),"shrimp.mp3")</f>
        <v>shrimp.mp3</v>
      </c>
      <c r="M272" s="4" t="s">
        <v>10</v>
      </c>
    </row>
    <row r="273" ht="15.75" customHeight="1">
      <c r="A273" s="1">
        <v>1641.0</v>
      </c>
      <c r="B273" s="3">
        <v>142.0</v>
      </c>
      <c r="C273" s="7" t="s">
        <v>329</v>
      </c>
      <c r="D273" s="8" t="str">
        <f>IFERROR(__xludf.DUMMYFUNCTION("GOOGLETRANSLATE(C273, ""en"", ""pt"")"),"camarão")</f>
        <v>camarão</v>
      </c>
      <c r="E273" s="8" t="str">
        <f>IFERROR(__xludf.DUMMYFUNCTION("GOOGLETRANSLATE(C273, ""en"", ""es"")"),"gamba")</f>
        <v>gamba</v>
      </c>
      <c r="F273" s="8" t="str">
        <f>IFERROR(__xludf.DUMMYFUNCTION("GOOGLETRANSLATE(C273, ""en"", ""fr"")"),"crevette")</f>
        <v>crevette</v>
      </c>
      <c r="G273" s="8" t="str">
        <f>IFERROR(__xludf.DUMMYFUNCTION("GOOGLETRANSLATE(C273, ""en"", ""de"")"),"Garnele")</f>
        <v>Garnele</v>
      </c>
      <c r="H273" s="8" t="str">
        <f>IFERROR(__xludf.DUMMYFUNCTION("GOOGLETRANSLATE(C273, ""en"", ""ru"")"),"креветки")</f>
        <v>креветки</v>
      </c>
      <c r="I273" s="8" t="str">
        <f>IFERROR(__xludf.DUMMYFUNCTION("GOOGLETRANSLATE(C273, ""en"", ""ar"")"),"الجمبري")</f>
        <v>الجمبري</v>
      </c>
      <c r="J273" s="8"/>
      <c r="K273" s="7" t="str">
        <f>IFERROR(__xludf.DUMMYFUNCTION("CONCAT(REGEXREPLACE(C273,""[ ,]+"",""_""),"".mp3"")"),"prawn.mp3")</f>
        <v>prawn.mp3</v>
      </c>
      <c r="M273" s="4" t="s">
        <v>10</v>
      </c>
    </row>
    <row r="274" ht="15.75" customHeight="1">
      <c r="A274" s="1">
        <v>1642.0</v>
      </c>
      <c r="B274" s="3">
        <v>142.0</v>
      </c>
      <c r="C274" s="7" t="s">
        <v>330</v>
      </c>
      <c r="D274" s="8" t="str">
        <f>IFERROR(__xludf.DUMMYFUNCTION("GOOGLETRANSLATE(C274, ""en"", ""pt"")"),"polvo")</f>
        <v>polvo</v>
      </c>
      <c r="E274" s="8" t="str">
        <f>IFERROR(__xludf.DUMMYFUNCTION("GOOGLETRANSLATE(C274, ""en"", ""es"")"),"pulpo")</f>
        <v>pulpo</v>
      </c>
      <c r="F274" s="8" t="str">
        <f>IFERROR(__xludf.DUMMYFUNCTION("GOOGLETRANSLATE(C274, ""en"", ""fr"")"),"pieuvre")</f>
        <v>pieuvre</v>
      </c>
      <c r="G274" s="8" t="str">
        <f>IFERROR(__xludf.DUMMYFUNCTION("GOOGLETRANSLATE(C274, ""en"", ""de"")"),"Oktopus")</f>
        <v>Oktopus</v>
      </c>
      <c r="H274" s="8" t="str">
        <f>IFERROR(__xludf.DUMMYFUNCTION("GOOGLETRANSLATE(C274, ""en"", ""ru"")"),"осьминог")</f>
        <v>осьминог</v>
      </c>
      <c r="I274" s="8" t="str">
        <f>IFERROR(__xludf.DUMMYFUNCTION("GOOGLETRANSLATE(C274, ""en"", ""ar"")"),"الأخطبوط")</f>
        <v>الأخطبوط</v>
      </c>
      <c r="J274" s="8"/>
      <c r="K274" s="7" t="str">
        <f>IFERROR(__xludf.DUMMYFUNCTION("CONCAT(REGEXREPLACE(C274,""[ ,]+"",""_""),"".mp3"")"),"octopus.mp3")</f>
        <v>octopus.mp3</v>
      </c>
      <c r="M274" s="4" t="s">
        <v>10</v>
      </c>
    </row>
    <row r="275" ht="15.75" customHeight="1">
      <c r="A275" s="1">
        <v>1643.0</v>
      </c>
      <c r="B275" s="3">
        <v>142.0</v>
      </c>
      <c r="C275" s="7" t="s">
        <v>331</v>
      </c>
      <c r="D275" s="8" t="str">
        <f>IFERROR(__xludf.DUMMYFUNCTION("GOOGLETRANSLATE(C275, ""en"", ""pt"")"),"lula")</f>
        <v>lula</v>
      </c>
      <c r="E275" s="8" t="str">
        <f>IFERROR(__xludf.DUMMYFUNCTION("GOOGLETRANSLATE(C275, ""en"", ""es"")"),"calamar")</f>
        <v>calamar</v>
      </c>
      <c r="F275" s="8" t="str">
        <f>IFERROR(__xludf.DUMMYFUNCTION("GOOGLETRANSLATE(C275, ""en"", ""fr"")"),"calmar")</f>
        <v>calmar</v>
      </c>
      <c r="G275" s="8" t="str">
        <f>IFERROR(__xludf.DUMMYFUNCTION("GOOGLETRANSLATE(C275, ""en"", ""de"")"),"Tintenfisch")</f>
        <v>Tintenfisch</v>
      </c>
      <c r="H275" s="8" t="str">
        <f>IFERROR(__xludf.DUMMYFUNCTION("GOOGLETRANSLATE(C275, ""en"", ""ru"")"),"кальмар")</f>
        <v>кальмар</v>
      </c>
      <c r="I275" s="8" t="str">
        <f>IFERROR(__xludf.DUMMYFUNCTION("GOOGLETRANSLATE(C275, ""en"", ""ar"")"),"حبار")</f>
        <v>حبار</v>
      </c>
      <c r="J275" s="8"/>
      <c r="K275" s="7" t="str">
        <f>IFERROR(__xludf.DUMMYFUNCTION("CONCAT(REGEXREPLACE(C275,""[ ,]+"",""_""),"".mp3"")"),"squid.mp3")</f>
        <v>squid.mp3</v>
      </c>
      <c r="M275" s="4" t="s">
        <v>10</v>
      </c>
    </row>
    <row r="276" ht="15.75" customHeight="1">
      <c r="A276" s="1">
        <v>1644.0</v>
      </c>
      <c r="B276" s="3">
        <v>142.0</v>
      </c>
      <c r="C276" s="7" t="s">
        <v>332</v>
      </c>
      <c r="D276" s="8" t="str">
        <f>IFERROR(__xludf.DUMMYFUNCTION("GOOGLETRANSLATE(C276, ""en"", ""pt"")"),"choco")</f>
        <v>choco</v>
      </c>
      <c r="E276" s="8" t="str">
        <f>IFERROR(__xludf.DUMMYFUNCTION("GOOGLETRANSLATE(C276, ""en"", ""es"")"),"calamar")</f>
        <v>calamar</v>
      </c>
      <c r="F276" s="8" t="str">
        <f>IFERROR(__xludf.DUMMYFUNCTION("GOOGLETRANSLATE(C276, ""en"", ""fr"")"),"seiche")</f>
        <v>seiche</v>
      </c>
      <c r="G276" s="8" t="str">
        <f>IFERROR(__xludf.DUMMYFUNCTION("GOOGLETRANSLATE(C276, ""en"", ""de"")"),"Tintenfisch")</f>
        <v>Tintenfisch</v>
      </c>
      <c r="H276" s="8" t="str">
        <f>IFERROR(__xludf.DUMMYFUNCTION("GOOGLETRANSLATE(C276, ""en"", ""ru"")"),"каракатица")</f>
        <v>каракатица</v>
      </c>
      <c r="I276" s="8" t="str">
        <f>IFERROR(__xludf.DUMMYFUNCTION("GOOGLETRANSLATE(C276, ""en"", ""ar"")"),"الحبار")</f>
        <v>الحبار</v>
      </c>
      <c r="J276" s="8"/>
      <c r="K276" s="7" t="str">
        <f>IFERROR(__xludf.DUMMYFUNCTION("CONCAT(REGEXREPLACE(C276,""[ ,]+"",""_""),"".mp3"")"),"cuttlefish.mp3")</f>
        <v>cuttlefish.mp3</v>
      </c>
      <c r="M276" s="4" t="s">
        <v>10</v>
      </c>
    </row>
    <row r="277" ht="15.75" customHeight="1">
      <c r="A277" s="1">
        <v>1645.0</v>
      </c>
      <c r="B277" s="3">
        <v>142.0</v>
      </c>
      <c r="C277" s="7" t="s">
        <v>333</v>
      </c>
      <c r="D277" s="8" t="str">
        <f>IFERROR(__xludf.DUMMYFUNCTION("GOOGLETRANSLATE(C277, ""en"", ""pt"")"),"medusa")</f>
        <v>medusa</v>
      </c>
      <c r="E277" s="8" t="str">
        <f>IFERROR(__xludf.DUMMYFUNCTION("GOOGLETRANSLATE(C277, ""en"", ""es"")"),"medusa")</f>
        <v>medusa</v>
      </c>
      <c r="F277" s="8" t="str">
        <f>IFERROR(__xludf.DUMMYFUNCTION("GOOGLETRANSLATE(C277, ""en"", ""fr"")"),"méduse")</f>
        <v>méduse</v>
      </c>
      <c r="G277" s="8" t="str">
        <f>IFERROR(__xludf.DUMMYFUNCTION("GOOGLETRANSLATE(C277, ""en"", ""de"")"),"Qualle")</f>
        <v>Qualle</v>
      </c>
      <c r="H277" s="8" t="str">
        <f>IFERROR(__xludf.DUMMYFUNCTION("GOOGLETRANSLATE(C277, ""en"", ""ru"")"),"медузы")</f>
        <v>медузы</v>
      </c>
      <c r="I277" s="8" t="str">
        <f>IFERROR(__xludf.DUMMYFUNCTION("GOOGLETRANSLATE(C277, ""en"", ""ar"")"),"قنديل البحر")</f>
        <v>قنديل البحر</v>
      </c>
      <c r="J277" s="8"/>
      <c r="K277" s="7" t="str">
        <f>IFERROR(__xludf.DUMMYFUNCTION("CONCAT(REGEXREPLACE(C277,""[ ,]+"",""_""),"".mp3"")"),"jellyfish.mp3")</f>
        <v>jellyfish.mp3</v>
      </c>
      <c r="M277" s="4" t="s">
        <v>10</v>
      </c>
    </row>
    <row r="278" ht="15.75" customHeight="1">
      <c r="A278" s="1">
        <v>1646.0</v>
      </c>
      <c r="B278" s="3">
        <v>142.0</v>
      </c>
      <c r="C278" s="3" t="s">
        <v>334</v>
      </c>
      <c r="D278" s="8" t="str">
        <f>IFERROR(__xludf.DUMMYFUNCTION("GOOGLETRANSLATE(C278, ""en"", ""pt"")"),"estrela-do-mar, estrela marinha")</f>
        <v>estrela-do-mar, estrela marinha</v>
      </c>
      <c r="E278" s="8" t="str">
        <f>IFERROR(__xludf.DUMMYFUNCTION("GOOGLETRANSLATE(C278, ""en"", ""es"")"),"estrella de mar, estrella marina")</f>
        <v>estrella de mar, estrella marina</v>
      </c>
      <c r="F278" s="8" t="str">
        <f>IFERROR(__xludf.DUMMYFUNCTION("GOOGLETRANSLATE(C278, ""en"", ""fr"")"),"étoile de mer, étoile de mer")</f>
        <v>étoile de mer, étoile de mer</v>
      </c>
      <c r="G278" s="8" t="str">
        <f>IFERROR(__xludf.DUMMYFUNCTION("GOOGLETRANSLATE(C278, ""en"", ""de"")"),"Seestern, Seestern")</f>
        <v>Seestern, Seestern</v>
      </c>
      <c r="H278" s="8" t="str">
        <f>IFERROR(__xludf.DUMMYFUNCTION("GOOGLETRANSLATE(C278, ""en"", ""ru"")"),"морская звезда")</f>
        <v>морская звезда</v>
      </c>
      <c r="I278" s="8" t="str">
        <f>IFERROR(__xludf.DUMMYFUNCTION("GOOGLETRANSLATE(C278, ""en"", ""ar"")"),"نجم البحر، نجم البحر")</f>
        <v>نجم البحر، نجم البحر</v>
      </c>
      <c r="J278" s="8"/>
      <c r="K278" s="7" t="str">
        <f>IFERROR(__xludf.DUMMYFUNCTION("CONCAT(REGEXREPLACE(C278,""[ ,]+"",""_""),"".mp3"")"),"starfish_sea_star.mp3")</f>
        <v>starfish_sea_star.mp3</v>
      </c>
      <c r="M278" s="4" t="s">
        <v>10</v>
      </c>
    </row>
    <row r="279" ht="15.75" customHeight="1">
      <c r="A279" s="1">
        <v>1647.0</v>
      </c>
      <c r="B279" s="3">
        <v>142.0</v>
      </c>
      <c r="C279" s="7" t="s">
        <v>335</v>
      </c>
      <c r="D279" s="8" t="str">
        <f>IFERROR(__xludf.DUMMYFUNCTION("GOOGLETRANSLATE(C279, ""en"", ""pt"")"),"ouriço-do-mar")</f>
        <v>ouriço-do-mar</v>
      </c>
      <c r="E279" s="8" t="str">
        <f>IFERROR(__xludf.DUMMYFUNCTION("GOOGLETRANSLATE(C279, ""en"", ""es"")"),"erizo de mar")</f>
        <v>erizo de mar</v>
      </c>
      <c r="F279" s="8" t="str">
        <f>IFERROR(__xludf.DUMMYFUNCTION("GOOGLETRANSLATE(C279, ""en"", ""fr"")"),"oursin")</f>
        <v>oursin</v>
      </c>
      <c r="G279" s="8" t="str">
        <f>IFERROR(__xludf.DUMMYFUNCTION("GOOGLETRANSLATE(C279, ""en"", ""de"")"),"Seeigel")</f>
        <v>Seeigel</v>
      </c>
      <c r="H279" s="8" t="str">
        <f>IFERROR(__xludf.DUMMYFUNCTION("GOOGLETRANSLATE(C279, ""en"", ""ru"")"),"морской еж")</f>
        <v>морской еж</v>
      </c>
      <c r="I279" s="8" t="str">
        <f>IFERROR(__xludf.DUMMYFUNCTION("GOOGLETRANSLATE(C279, ""en"", ""ar"")"),"قنفذ البحر")</f>
        <v>قنفذ البحر</v>
      </c>
      <c r="J279" s="8"/>
      <c r="K279" s="7" t="str">
        <f>IFERROR(__xludf.DUMMYFUNCTION("CONCAT(REGEXREPLACE(C279,""[ ,]+"",""_""),"".mp3"")"),"sea_urchin.mp3")</f>
        <v>sea_urchin.mp3</v>
      </c>
      <c r="M279" s="4" t="s">
        <v>10</v>
      </c>
    </row>
    <row r="280" ht="15.75" customHeight="1">
      <c r="A280" s="1">
        <v>1648.0</v>
      </c>
      <c r="B280" s="3">
        <v>142.0</v>
      </c>
      <c r="C280" s="7" t="s">
        <v>336</v>
      </c>
      <c r="D280" s="8" t="str">
        <f>IFERROR(__xludf.DUMMYFUNCTION("GOOGLETRANSLATE(C280, ""en"", ""pt"")"),"pepino-do-mar")</f>
        <v>pepino-do-mar</v>
      </c>
      <c r="E280" s="8" t="str">
        <f>IFERROR(__xludf.DUMMYFUNCTION("GOOGLETRANSLATE(C280, ""en"", ""es"")"),"pepino de mar")</f>
        <v>pepino de mar</v>
      </c>
      <c r="F280" s="8" t="str">
        <f>IFERROR(__xludf.DUMMYFUNCTION("GOOGLETRANSLATE(C280, ""en"", ""fr"")"),"concombre de mer")</f>
        <v>concombre de mer</v>
      </c>
      <c r="G280" s="8" t="str">
        <f>IFERROR(__xludf.DUMMYFUNCTION("GOOGLETRANSLATE(C280, ""en"", ""de"")"),"Seegurke")</f>
        <v>Seegurke</v>
      </c>
      <c r="H280" s="8" t="str">
        <f>IFERROR(__xludf.DUMMYFUNCTION("GOOGLETRANSLATE(C280, ""en"", ""ru"")"),"морской огурец")</f>
        <v>морской огурец</v>
      </c>
      <c r="I280" s="8" t="str">
        <f>IFERROR(__xludf.DUMMYFUNCTION("GOOGLETRANSLATE(C280, ""en"", ""ar"")"),"خيار البحر")</f>
        <v>خيار البحر</v>
      </c>
      <c r="J280" s="8"/>
      <c r="K280" s="7" t="str">
        <f>IFERROR(__xludf.DUMMYFUNCTION("CONCAT(REGEXREPLACE(C280,""[ ,]+"",""_""),"".mp3"")"),"sea_cucumber.mp3")</f>
        <v>sea_cucumber.mp3</v>
      </c>
      <c r="M280" s="4" t="s">
        <v>10</v>
      </c>
    </row>
    <row r="281" ht="15.75" customHeight="1">
      <c r="A281" s="1">
        <v>1649.0</v>
      </c>
      <c r="B281" s="3">
        <v>142.0</v>
      </c>
      <c r="C281" s="7" t="s">
        <v>337</v>
      </c>
      <c r="D281" s="8" t="str">
        <f>IFERROR(__xludf.DUMMYFUNCTION("GOOGLETRANSLATE(C281, ""en"", ""pt"")"),"coral")</f>
        <v>coral</v>
      </c>
      <c r="E281" s="8" t="str">
        <f>IFERROR(__xludf.DUMMYFUNCTION("GOOGLETRANSLATE(C281, ""en"", ""es"")"),"coral")</f>
        <v>coral</v>
      </c>
      <c r="F281" s="8" t="str">
        <f>IFERROR(__xludf.DUMMYFUNCTION("GOOGLETRANSLATE(C281, ""en"", ""fr"")"),"corail")</f>
        <v>corail</v>
      </c>
      <c r="G281" s="8" t="str">
        <f>IFERROR(__xludf.DUMMYFUNCTION("GOOGLETRANSLATE(C281, ""en"", ""de"")"),"Koralle")</f>
        <v>Koralle</v>
      </c>
      <c r="H281" s="8" t="str">
        <f>IFERROR(__xludf.DUMMYFUNCTION("GOOGLETRANSLATE(C281, ""en"", ""ru"")"),"коралл")</f>
        <v>коралл</v>
      </c>
      <c r="I281" s="8" t="str">
        <f>IFERROR(__xludf.DUMMYFUNCTION("GOOGLETRANSLATE(C281, ""en"", ""ar"")"),"المرجان")</f>
        <v>المرجان</v>
      </c>
      <c r="J281" s="8"/>
      <c r="K281" s="7" t="str">
        <f>IFERROR(__xludf.DUMMYFUNCTION("CONCAT(REGEXREPLACE(C281,""[ ,]+"",""_""),"".mp3"")"),"coral.mp3")</f>
        <v>coral.mp3</v>
      </c>
      <c r="M281" s="4" t="s">
        <v>10</v>
      </c>
    </row>
    <row r="282" ht="15.75" customHeight="1">
      <c r="A282" s="1">
        <v>1650.0</v>
      </c>
      <c r="B282" s="3">
        <v>142.0</v>
      </c>
      <c r="C282" s="7" t="s">
        <v>338</v>
      </c>
      <c r="D282" s="8" t="str">
        <f>IFERROR(__xludf.DUMMYFUNCTION("GOOGLETRANSLATE(C282, ""en"", ""pt"")"),"formiga")</f>
        <v>formiga</v>
      </c>
      <c r="E282" s="8" t="str">
        <f>IFERROR(__xludf.DUMMYFUNCTION("GOOGLETRANSLATE(C282, ""en"", ""es"")"),"hormiga")</f>
        <v>hormiga</v>
      </c>
      <c r="F282" s="8" t="str">
        <f>IFERROR(__xludf.DUMMYFUNCTION("GOOGLETRANSLATE(C282, ""en"", ""fr"")"),"fourmi")</f>
        <v>fourmi</v>
      </c>
      <c r="G282" s="8" t="str">
        <f>IFERROR(__xludf.DUMMYFUNCTION("GOOGLETRANSLATE(C282, ""en"", ""de"")"),"Ameise")</f>
        <v>Ameise</v>
      </c>
      <c r="H282" s="8" t="str">
        <f>IFERROR(__xludf.DUMMYFUNCTION("GOOGLETRANSLATE(C282, ""en"", ""ru"")"),"муравей")</f>
        <v>муравей</v>
      </c>
      <c r="I282" s="8" t="str">
        <f>IFERROR(__xludf.DUMMYFUNCTION("GOOGLETRANSLATE(C282, ""en"", ""ar"")"),"النمل")</f>
        <v>النمل</v>
      </c>
      <c r="J282" s="8"/>
      <c r="K282" s="7" t="str">
        <f>IFERROR(__xludf.DUMMYFUNCTION("CONCAT(REGEXREPLACE(C282,""[ ,]+"",""_""),"".mp3"")"),"ant.mp3")</f>
        <v>ant.mp3</v>
      </c>
      <c r="M282" s="4" t="s">
        <v>10</v>
      </c>
    </row>
    <row r="283" ht="15.75" customHeight="1">
      <c r="A283" s="1">
        <v>1651.0</v>
      </c>
      <c r="B283" s="3">
        <v>142.0</v>
      </c>
      <c r="C283" s="7" t="s">
        <v>239</v>
      </c>
      <c r="D283" s="8" t="str">
        <f>IFERROR(__xludf.DUMMYFUNCTION("GOOGLETRANSLATE(C283, ""en"", ""pt"")"),"abelha")</f>
        <v>abelha</v>
      </c>
      <c r="E283" s="8" t="str">
        <f>IFERROR(__xludf.DUMMYFUNCTION("GOOGLETRANSLATE(C283, ""en"", ""es"")"),"abeja")</f>
        <v>abeja</v>
      </c>
      <c r="F283" s="8" t="str">
        <f>IFERROR(__xludf.DUMMYFUNCTION("GOOGLETRANSLATE(C283, ""en"", ""fr"")"),"abeille")</f>
        <v>abeille</v>
      </c>
      <c r="G283" s="8" t="str">
        <f>IFERROR(__xludf.DUMMYFUNCTION("GOOGLETRANSLATE(C283, ""en"", ""de"")"),"Biene")</f>
        <v>Biene</v>
      </c>
      <c r="H283" s="8" t="str">
        <f>IFERROR(__xludf.DUMMYFUNCTION("GOOGLETRANSLATE(C283, ""en"", ""ru"")"),"пчела")</f>
        <v>пчела</v>
      </c>
      <c r="I283" s="8" t="str">
        <f>IFERROR(__xludf.DUMMYFUNCTION("GOOGLETRANSLATE(C283, ""en"", ""ar"")"),"نحلة")</f>
        <v>نحلة</v>
      </c>
      <c r="J283" s="8"/>
      <c r="K283" s="7" t="str">
        <f>IFERROR(__xludf.DUMMYFUNCTION("CONCAT(REGEXREPLACE(C283,""[ ,]+"",""_""),"".mp3"")"),"bee.mp3")</f>
        <v>bee.mp3</v>
      </c>
      <c r="M283" s="4" t="s">
        <v>10</v>
      </c>
    </row>
    <row r="284" ht="15.75" customHeight="1">
      <c r="A284" s="1">
        <v>1652.0</v>
      </c>
      <c r="B284" s="3">
        <v>142.0</v>
      </c>
      <c r="C284" s="7" t="s">
        <v>339</v>
      </c>
      <c r="D284" s="8" t="str">
        <f>IFERROR(__xludf.DUMMYFUNCTION("GOOGLETRANSLATE(C284, ""en"", ""pt"")"),"vespa")</f>
        <v>vespa</v>
      </c>
      <c r="E284" s="8" t="str">
        <f>IFERROR(__xludf.DUMMYFUNCTION("GOOGLETRANSLATE(C284, ""en"", ""es"")"),"avispa")</f>
        <v>avispa</v>
      </c>
      <c r="F284" s="8" t="str">
        <f>IFERROR(__xludf.DUMMYFUNCTION("GOOGLETRANSLATE(C284, ""en"", ""fr"")"),"guêpe")</f>
        <v>guêpe</v>
      </c>
      <c r="G284" s="8" t="str">
        <f>IFERROR(__xludf.DUMMYFUNCTION("GOOGLETRANSLATE(C284, ""en"", ""de"")"),"Wespe")</f>
        <v>Wespe</v>
      </c>
      <c r="H284" s="8" t="str">
        <f>IFERROR(__xludf.DUMMYFUNCTION("GOOGLETRANSLATE(C284, ""en"", ""ru"")"),"оса")</f>
        <v>оса</v>
      </c>
      <c r="I284" s="8" t="str">
        <f>IFERROR(__xludf.DUMMYFUNCTION("GOOGLETRANSLATE(C284, ""en"", ""ar"")"),"دبور")</f>
        <v>دبور</v>
      </c>
      <c r="J284" s="8"/>
      <c r="K284" s="7" t="str">
        <f>IFERROR(__xludf.DUMMYFUNCTION("CONCAT(REGEXREPLACE(C284,""[ ,]+"",""_""),"".mp3"")"),"wasp.mp3")</f>
        <v>wasp.mp3</v>
      </c>
      <c r="M284" s="4" t="s">
        <v>10</v>
      </c>
    </row>
    <row r="285" ht="15.75" customHeight="1">
      <c r="A285" s="1">
        <v>1653.0</v>
      </c>
      <c r="B285" s="3">
        <v>142.0</v>
      </c>
      <c r="C285" s="7" t="s">
        <v>340</v>
      </c>
      <c r="D285" s="8" t="str">
        <f>IFERROR(__xludf.DUMMYFUNCTION("GOOGLETRANSLATE(C285, ""en"", ""pt"")"),"borboleta")</f>
        <v>borboleta</v>
      </c>
      <c r="E285" s="8" t="str">
        <f>IFERROR(__xludf.DUMMYFUNCTION("GOOGLETRANSLATE(C285, ""en"", ""es"")"),"mariposa")</f>
        <v>mariposa</v>
      </c>
      <c r="F285" s="8" t="str">
        <f>IFERROR(__xludf.DUMMYFUNCTION("GOOGLETRANSLATE(C285, ""en"", ""fr"")"),"papillon")</f>
        <v>papillon</v>
      </c>
      <c r="G285" s="8" t="str">
        <f>IFERROR(__xludf.DUMMYFUNCTION("GOOGLETRANSLATE(C285, ""en"", ""de"")"),"Schmetterling")</f>
        <v>Schmetterling</v>
      </c>
      <c r="H285" s="8" t="str">
        <f>IFERROR(__xludf.DUMMYFUNCTION("GOOGLETRANSLATE(C285, ""en"", ""ru"")"),"бабочка")</f>
        <v>бабочка</v>
      </c>
      <c r="I285" s="8" t="str">
        <f>IFERROR(__xludf.DUMMYFUNCTION("GOOGLETRANSLATE(C285, ""en"", ""ar"")"),"فراشة")</f>
        <v>فراشة</v>
      </c>
      <c r="J285" s="8"/>
      <c r="K285" s="7" t="str">
        <f>IFERROR(__xludf.DUMMYFUNCTION("CONCAT(REGEXREPLACE(C285,""[ ,]+"",""_""),"".mp3"")"),"butterfly.mp3")</f>
        <v>butterfly.mp3</v>
      </c>
      <c r="M285" s="4" t="s">
        <v>10</v>
      </c>
    </row>
    <row r="286" ht="15.75" customHeight="1">
      <c r="A286" s="1">
        <v>1654.0</v>
      </c>
      <c r="B286" s="3">
        <v>142.0</v>
      </c>
      <c r="C286" s="7" t="s">
        <v>341</v>
      </c>
      <c r="D286" s="8" t="str">
        <f>IFERROR(__xludf.DUMMYFUNCTION("GOOGLETRANSLATE(C286, ""en"", ""pt"")"),"mariposa")</f>
        <v>mariposa</v>
      </c>
      <c r="E286" s="8" t="str">
        <f>IFERROR(__xludf.DUMMYFUNCTION("GOOGLETRANSLATE(C286, ""en"", ""es"")"),"polilla")</f>
        <v>polilla</v>
      </c>
      <c r="F286" s="8" t="str">
        <f>IFERROR(__xludf.DUMMYFUNCTION("GOOGLETRANSLATE(C286, ""en"", ""fr"")"),"papillon de nuit")</f>
        <v>papillon de nuit</v>
      </c>
      <c r="G286" s="8" t="str">
        <f>IFERROR(__xludf.DUMMYFUNCTION("GOOGLETRANSLATE(C286, ""en"", ""de"")"),"Motte")</f>
        <v>Motte</v>
      </c>
      <c r="H286" s="8" t="str">
        <f>IFERROR(__xludf.DUMMYFUNCTION("GOOGLETRANSLATE(C286, ""en"", ""ru"")"),"мотыль")</f>
        <v>мотыль</v>
      </c>
      <c r="I286" s="8" t="str">
        <f>IFERROR(__xludf.DUMMYFUNCTION("GOOGLETRANSLATE(C286, ""en"", ""ar"")"),"العثة")</f>
        <v>العثة</v>
      </c>
      <c r="J286" s="8"/>
      <c r="K286" s="7" t="str">
        <f>IFERROR(__xludf.DUMMYFUNCTION("CONCAT(REGEXREPLACE(C286,""[ ,]+"",""_""),"".mp3"")"),"moth.mp3")</f>
        <v>moth.mp3</v>
      </c>
      <c r="M286" s="4" t="s">
        <v>10</v>
      </c>
    </row>
    <row r="287" ht="15.75" customHeight="1">
      <c r="A287" s="1">
        <v>1655.0</v>
      </c>
      <c r="B287" s="3">
        <v>142.0</v>
      </c>
      <c r="C287" s="7" t="s">
        <v>342</v>
      </c>
      <c r="D287" s="8" t="str">
        <f>IFERROR(__xludf.DUMMYFUNCTION("GOOGLETRANSLATE(C287, ""en"", ""pt"")"),"besouro")</f>
        <v>besouro</v>
      </c>
      <c r="E287" s="8" t="str">
        <f>IFERROR(__xludf.DUMMYFUNCTION("GOOGLETRANSLATE(C287, ""en"", ""es"")"),"escarabajo")</f>
        <v>escarabajo</v>
      </c>
      <c r="F287" s="8" t="str">
        <f>IFERROR(__xludf.DUMMYFUNCTION("GOOGLETRANSLATE(C287, ""en"", ""fr"")"),"scarabée")</f>
        <v>scarabée</v>
      </c>
      <c r="G287" s="8" t="str">
        <f>IFERROR(__xludf.DUMMYFUNCTION("GOOGLETRANSLATE(C287, ""en"", ""de"")"),"Käfer")</f>
        <v>Käfer</v>
      </c>
      <c r="H287" s="8" t="str">
        <f>IFERROR(__xludf.DUMMYFUNCTION("GOOGLETRANSLATE(C287, ""en"", ""ru"")"),"жук")</f>
        <v>жук</v>
      </c>
      <c r="I287" s="8" t="str">
        <f>IFERROR(__xludf.DUMMYFUNCTION("GOOGLETRANSLATE(C287, ""en"", ""ar"")"),"خنفساء")</f>
        <v>خنفساء</v>
      </c>
      <c r="J287" s="8"/>
      <c r="K287" s="7" t="str">
        <f>IFERROR(__xludf.DUMMYFUNCTION("CONCAT(REGEXREPLACE(C287,""[ ,]+"",""_""),"".mp3"")"),"beetle.mp3")</f>
        <v>beetle.mp3</v>
      </c>
      <c r="M287" s="4" t="s">
        <v>10</v>
      </c>
    </row>
    <row r="288" ht="15.75" customHeight="1">
      <c r="A288" s="1">
        <v>1656.0</v>
      </c>
      <c r="B288" s="3">
        <v>142.0</v>
      </c>
      <c r="C288" s="3" t="s">
        <v>343</v>
      </c>
      <c r="D288" s="8" t="str">
        <f>IFERROR(__xludf.DUMMYFUNCTION("GOOGLETRANSLATE(C288, ""en"", ""pt"")"),"joaninha")</f>
        <v>joaninha</v>
      </c>
      <c r="E288" s="8" t="str">
        <f>IFERROR(__xludf.DUMMYFUNCTION("GOOGLETRANSLATE(C288, ""en"", ""es"")"),"mariquita, catarina")</f>
        <v>mariquita, catarina</v>
      </c>
      <c r="F288" s="8" t="str">
        <f>IFERROR(__xludf.DUMMYFUNCTION("GOOGLETRANSLATE(C288, ""en"", ""fr"")"),"coccinelle, coccinelle")</f>
        <v>coccinelle, coccinelle</v>
      </c>
      <c r="G288" s="8" t="str">
        <f>IFERROR(__xludf.DUMMYFUNCTION("GOOGLETRANSLATE(C288, ""en"", ""de"")"),"Marienkäfer, Marienvogel")</f>
        <v>Marienkäfer, Marienvogel</v>
      </c>
      <c r="H288" s="8" t="str">
        <f>IFERROR(__xludf.DUMMYFUNCTION("GOOGLETRANSLATE(C288, ""en"", ""ru"")"),"божья коровка, божья коровка")</f>
        <v>божья коровка, божья коровка</v>
      </c>
      <c r="I288" s="8" t="str">
        <f>IFERROR(__xludf.DUMMYFUNCTION("GOOGLETRANSLATE(C288, ""en"", ""ar"")"),"الدعسوقة، الخنفساء")</f>
        <v>الدعسوقة، الخنفساء</v>
      </c>
      <c r="J288" s="8"/>
      <c r="K288" s="7" t="str">
        <f>IFERROR(__xludf.DUMMYFUNCTION("CONCAT(REGEXREPLACE(C288,""[ ,]+"",""_""),"".mp3"")"),"ladybug_ladybird.mp3")</f>
        <v>ladybug_ladybird.mp3</v>
      </c>
      <c r="M288" s="4" t="s">
        <v>10</v>
      </c>
    </row>
    <row r="289" ht="15.75" customHeight="1">
      <c r="A289" s="1">
        <v>1657.0</v>
      </c>
      <c r="B289" s="3">
        <v>142.0</v>
      </c>
      <c r="C289" s="7" t="s">
        <v>344</v>
      </c>
      <c r="D289" s="8" t="str">
        <f>IFERROR(__xludf.DUMMYFUNCTION("GOOGLETRANSLATE(C289, ""en"", ""pt"")"),"voar")</f>
        <v>voar</v>
      </c>
      <c r="E289" s="8" t="str">
        <f>IFERROR(__xludf.DUMMYFUNCTION("GOOGLETRANSLATE(C289, ""en"", ""es"")"),"volar")</f>
        <v>volar</v>
      </c>
      <c r="F289" s="8" t="str">
        <f>IFERROR(__xludf.DUMMYFUNCTION("GOOGLETRANSLATE(C289, ""en"", ""fr"")"),"voler")</f>
        <v>voler</v>
      </c>
      <c r="G289" s="8" t="str">
        <f>IFERROR(__xludf.DUMMYFUNCTION("GOOGLETRANSLATE(C289, ""en"", ""de"")"),"fliegen")</f>
        <v>fliegen</v>
      </c>
      <c r="H289" s="8" t="str">
        <f>IFERROR(__xludf.DUMMYFUNCTION("GOOGLETRANSLATE(C289, ""en"", ""ru"")"),"летать")</f>
        <v>летать</v>
      </c>
      <c r="I289" s="8" t="str">
        <f>IFERROR(__xludf.DUMMYFUNCTION("GOOGLETRANSLATE(C289, ""en"", ""ar"")"),"سافر")</f>
        <v>سافر</v>
      </c>
      <c r="J289" s="8"/>
      <c r="K289" s="7" t="str">
        <f>IFERROR(__xludf.DUMMYFUNCTION("CONCAT(REGEXREPLACE(C289,""[ ,]+"",""_""),"".mp3"")"),"fly.mp3")</f>
        <v>fly.mp3</v>
      </c>
      <c r="M289" s="4" t="s">
        <v>10</v>
      </c>
    </row>
    <row r="290" ht="15.75" customHeight="1">
      <c r="A290" s="1">
        <v>1658.0</v>
      </c>
      <c r="B290" s="3">
        <v>142.0</v>
      </c>
      <c r="C290" s="7" t="s">
        <v>345</v>
      </c>
      <c r="D290" s="8" t="str">
        <f>IFERROR(__xludf.DUMMYFUNCTION("GOOGLETRANSLATE(C290, ""en"", ""pt"")"),"mosquito")</f>
        <v>mosquito</v>
      </c>
      <c r="E290" s="8" t="str">
        <f>IFERROR(__xludf.DUMMYFUNCTION("GOOGLETRANSLATE(C290, ""en"", ""es"")"),"mosquito")</f>
        <v>mosquito</v>
      </c>
      <c r="F290" s="8" t="str">
        <f>IFERROR(__xludf.DUMMYFUNCTION("GOOGLETRANSLATE(C290, ""en"", ""fr"")"),"moustique")</f>
        <v>moustique</v>
      </c>
      <c r="G290" s="8" t="str">
        <f>IFERROR(__xludf.DUMMYFUNCTION("GOOGLETRANSLATE(C290, ""en"", ""de"")"),"Moskito")</f>
        <v>Moskito</v>
      </c>
      <c r="H290" s="8" t="str">
        <f>IFERROR(__xludf.DUMMYFUNCTION("GOOGLETRANSLATE(C290, ""en"", ""ru"")"),"комар")</f>
        <v>комар</v>
      </c>
      <c r="I290" s="8" t="str">
        <f>IFERROR(__xludf.DUMMYFUNCTION("GOOGLETRANSLATE(C290, ""en"", ""ar"")"),"البعوض")</f>
        <v>البعوض</v>
      </c>
      <c r="J290" s="8"/>
      <c r="K290" s="7" t="str">
        <f>IFERROR(__xludf.DUMMYFUNCTION("CONCAT(REGEXREPLACE(C290,""[ ,]+"",""_""),"".mp3"")"),"mosquito.mp3")</f>
        <v>mosquito.mp3</v>
      </c>
      <c r="M290" s="4" t="s">
        <v>10</v>
      </c>
    </row>
    <row r="291" ht="15.75" customHeight="1">
      <c r="A291" s="1">
        <v>1659.0</v>
      </c>
      <c r="B291" s="3">
        <v>142.0</v>
      </c>
      <c r="C291" s="7" t="s">
        <v>346</v>
      </c>
      <c r="D291" s="8" t="str">
        <f>IFERROR(__xludf.DUMMYFUNCTION("GOOGLETRANSLATE(C291, ""en"", ""pt"")"),"libélula")</f>
        <v>libélula</v>
      </c>
      <c r="E291" s="8" t="str">
        <f>IFERROR(__xludf.DUMMYFUNCTION("GOOGLETRANSLATE(C291, ""en"", ""es"")"),"libélula")</f>
        <v>libélula</v>
      </c>
      <c r="F291" s="8" t="str">
        <f>IFERROR(__xludf.DUMMYFUNCTION("GOOGLETRANSLATE(C291, ""en"", ""fr"")"),"libellule")</f>
        <v>libellule</v>
      </c>
      <c r="G291" s="8" t="str">
        <f>IFERROR(__xludf.DUMMYFUNCTION("GOOGLETRANSLATE(C291, ""en"", ""de"")"),"Libelle")</f>
        <v>Libelle</v>
      </c>
      <c r="H291" s="8" t="str">
        <f>IFERROR(__xludf.DUMMYFUNCTION("GOOGLETRANSLATE(C291, ""en"", ""ru"")"),"стрекоза")</f>
        <v>стрекоза</v>
      </c>
      <c r="I291" s="8" t="str">
        <f>IFERROR(__xludf.DUMMYFUNCTION("GOOGLETRANSLATE(C291, ""en"", ""ar"")"),"اليعسوب")</f>
        <v>اليعسوب</v>
      </c>
      <c r="J291" s="8"/>
      <c r="K291" s="7" t="str">
        <f>IFERROR(__xludf.DUMMYFUNCTION("CONCAT(REGEXREPLACE(C291,""[ ,]+"",""_""),"".mp3"")"),"dragonfly.mp3")</f>
        <v>dragonfly.mp3</v>
      </c>
      <c r="M291" s="4" t="s">
        <v>10</v>
      </c>
    </row>
    <row r="292" ht="15.75" customHeight="1">
      <c r="A292" s="1">
        <v>1660.0</v>
      </c>
      <c r="B292" s="3">
        <v>142.0</v>
      </c>
      <c r="C292" s="7" t="s">
        <v>347</v>
      </c>
      <c r="D292" s="8" t="str">
        <f>IFERROR(__xludf.DUMMYFUNCTION("GOOGLETRANSLATE(C292, ""en"", ""pt"")"),"gafanhoto")</f>
        <v>gafanhoto</v>
      </c>
      <c r="E292" s="8" t="str">
        <f>IFERROR(__xludf.DUMMYFUNCTION("GOOGLETRANSLATE(C292, ""en"", ""es"")"),"saltamontes")</f>
        <v>saltamontes</v>
      </c>
      <c r="F292" s="8" t="str">
        <f>IFERROR(__xludf.DUMMYFUNCTION("GOOGLETRANSLATE(C292, ""en"", ""fr"")"),"sauterelle")</f>
        <v>sauterelle</v>
      </c>
      <c r="G292" s="8" t="str">
        <f>IFERROR(__xludf.DUMMYFUNCTION("GOOGLETRANSLATE(C292, ""en"", ""de"")"),"Heuschrecke")</f>
        <v>Heuschrecke</v>
      </c>
      <c r="H292" s="8" t="str">
        <f>IFERROR(__xludf.DUMMYFUNCTION("GOOGLETRANSLATE(C292, ""en"", ""ru"")"),"кузнечик")</f>
        <v>кузнечик</v>
      </c>
      <c r="I292" s="8" t="str">
        <f>IFERROR(__xludf.DUMMYFUNCTION("GOOGLETRANSLATE(C292, ""en"", ""ar"")"),"جندب")</f>
        <v>جندب</v>
      </c>
      <c r="J292" s="8"/>
      <c r="K292" s="7" t="str">
        <f>IFERROR(__xludf.DUMMYFUNCTION("CONCAT(REGEXREPLACE(C292,""[ ,]+"",""_""),"".mp3"")"),"grasshopper.mp3")</f>
        <v>grasshopper.mp3</v>
      </c>
      <c r="M292" s="4" t="s">
        <v>10</v>
      </c>
    </row>
    <row r="293" ht="15.75" customHeight="1">
      <c r="A293" s="1">
        <v>1661.0</v>
      </c>
      <c r="B293" s="3">
        <v>142.0</v>
      </c>
      <c r="C293" s="7" t="s">
        <v>348</v>
      </c>
      <c r="D293" s="8" t="str">
        <f>IFERROR(__xludf.DUMMYFUNCTION("GOOGLETRANSLATE(C293, ""en"", ""pt"")"),"grilo")</f>
        <v>grilo</v>
      </c>
      <c r="E293" s="8" t="str">
        <f>IFERROR(__xludf.DUMMYFUNCTION("GOOGLETRANSLATE(C293, ""en"", ""es"")"),"cricket")</f>
        <v>cricket</v>
      </c>
      <c r="F293" s="8" t="str">
        <f>IFERROR(__xludf.DUMMYFUNCTION("GOOGLETRANSLATE(C293, ""en"", ""fr"")"),"cricket")</f>
        <v>cricket</v>
      </c>
      <c r="G293" s="8" t="str">
        <f>IFERROR(__xludf.DUMMYFUNCTION("GOOGLETRANSLATE(C293, ""en"", ""de"")"),"Kricket")</f>
        <v>Kricket</v>
      </c>
      <c r="H293" s="8" t="str">
        <f>IFERROR(__xludf.DUMMYFUNCTION("GOOGLETRANSLATE(C293, ""en"", ""ru"")"),"крикет")</f>
        <v>крикет</v>
      </c>
      <c r="I293" s="8" t="str">
        <f>IFERROR(__xludf.DUMMYFUNCTION("GOOGLETRANSLATE(C293, ""en"", ""ar"")"),"لعبة الكريكيت")</f>
        <v>لعبة الكريكيت</v>
      </c>
      <c r="J293" s="8"/>
      <c r="K293" s="7" t="str">
        <f>IFERROR(__xludf.DUMMYFUNCTION("CONCAT(REGEXREPLACE(C293,""[ ,]+"",""_""),"".mp3"")"),"cricket.mp3")</f>
        <v>cricket.mp3</v>
      </c>
      <c r="M293" s="4" t="s">
        <v>10</v>
      </c>
    </row>
    <row r="294" ht="15.75" customHeight="1">
      <c r="A294" s="1">
        <v>1662.0</v>
      </c>
      <c r="B294" s="3">
        <v>142.0</v>
      </c>
      <c r="C294" s="7" t="s">
        <v>349</v>
      </c>
      <c r="D294" s="8" t="str">
        <f>IFERROR(__xludf.DUMMYFUNCTION("GOOGLETRANSLATE(C294, ""en"", ""pt"")"),"barata")</f>
        <v>barata</v>
      </c>
      <c r="E294" s="8" t="str">
        <f>IFERROR(__xludf.DUMMYFUNCTION("GOOGLETRANSLATE(C294, ""en"", ""es"")"),"cucaracha")</f>
        <v>cucaracha</v>
      </c>
      <c r="F294" s="8" t="str">
        <f>IFERROR(__xludf.DUMMYFUNCTION("GOOGLETRANSLATE(C294, ""en"", ""fr"")"),"cafard")</f>
        <v>cafard</v>
      </c>
      <c r="G294" s="8" t="str">
        <f>IFERROR(__xludf.DUMMYFUNCTION("GOOGLETRANSLATE(C294, ""en"", ""de"")"),"Kakerlake")</f>
        <v>Kakerlake</v>
      </c>
      <c r="H294" s="8" t="str">
        <f>IFERROR(__xludf.DUMMYFUNCTION("GOOGLETRANSLATE(C294, ""en"", ""ru"")"),"таракан")</f>
        <v>таракан</v>
      </c>
      <c r="I294" s="8" t="str">
        <f>IFERROR(__xludf.DUMMYFUNCTION("GOOGLETRANSLATE(C294, ""en"", ""ar"")"),"صرصور")</f>
        <v>صرصور</v>
      </c>
      <c r="J294" s="8"/>
      <c r="K294" s="7" t="str">
        <f>IFERROR(__xludf.DUMMYFUNCTION("CONCAT(REGEXREPLACE(C294,""[ ,]+"",""_""),"".mp3"")"),"cockroach.mp3")</f>
        <v>cockroach.mp3</v>
      </c>
      <c r="M294" s="4" t="s">
        <v>10</v>
      </c>
    </row>
    <row r="295" ht="15.75" customHeight="1">
      <c r="A295" s="1">
        <v>1663.0</v>
      </c>
      <c r="B295" s="3">
        <v>142.0</v>
      </c>
      <c r="C295" s="7" t="s">
        <v>350</v>
      </c>
      <c r="D295" s="8" t="str">
        <f>IFERROR(__xludf.DUMMYFUNCTION("GOOGLETRANSLATE(C295, ""en"", ""pt"")"),"cupim")</f>
        <v>cupim</v>
      </c>
      <c r="E295" s="8" t="str">
        <f>IFERROR(__xludf.DUMMYFUNCTION("GOOGLETRANSLATE(C295, ""en"", ""es"")"),"termita")</f>
        <v>termita</v>
      </c>
      <c r="F295" s="8" t="str">
        <f>IFERROR(__xludf.DUMMYFUNCTION("GOOGLETRANSLATE(C295, ""en"", ""fr"")"),"termite")</f>
        <v>termite</v>
      </c>
      <c r="G295" s="8" t="str">
        <f>IFERROR(__xludf.DUMMYFUNCTION("GOOGLETRANSLATE(C295, ""en"", ""de"")"),"Termite")</f>
        <v>Termite</v>
      </c>
      <c r="H295" s="8" t="str">
        <f>IFERROR(__xludf.DUMMYFUNCTION("GOOGLETRANSLATE(C295, ""en"", ""ru"")"),"термит")</f>
        <v>термит</v>
      </c>
      <c r="I295" s="8" t="str">
        <f>IFERROR(__xludf.DUMMYFUNCTION("GOOGLETRANSLATE(C295, ""en"", ""ar"")"),"النمل الأبيض")</f>
        <v>النمل الأبيض</v>
      </c>
      <c r="J295" s="8"/>
      <c r="K295" s="7" t="str">
        <f>IFERROR(__xludf.DUMMYFUNCTION("CONCAT(REGEXREPLACE(C295,""[ ,]+"",""_""),"".mp3"")"),"termite.mp3")</f>
        <v>termite.mp3</v>
      </c>
      <c r="M295" s="4" t="s">
        <v>10</v>
      </c>
    </row>
    <row r="296" ht="15.75" customHeight="1">
      <c r="A296" s="1">
        <v>1664.0</v>
      </c>
      <c r="B296" s="3">
        <v>142.0</v>
      </c>
      <c r="C296" s="7" t="s">
        <v>351</v>
      </c>
      <c r="D296" s="8" t="str">
        <f>IFERROR(__xludf.DUMMYFUNCTION("GOOGLETRANSLATE(C296, ""en"", ""pt"")"),"aranha")</f>
        <v>aranha</v>
      </c>
      <c r="E296" s="8" t="str">
        <f>IFERROR(__xludf.DUMMYFUNCTION("GOOGLETRANSLATE(C296, ""en"", ""es"")"),"araña")</f>
        <v>araña</v>
      </c>
      <c r="F296" s="8" t="str">
        <f>IFERROR(__xludf.DUMMYFUNCTION("GOOGLETRANSLATE(C296, ""en"", ""fr"")"),"araignée")</f>
        <v>araignée</v>
      </c>
      <c r="G296" s="8" t="str">
        <f>IFERROR(__xludf.DUMMYFUNCTION("GOOGLETRANSLATE(C296, ""en"", ""de"")"),"Spinne")</f>
        <v>Spinne</v>
      </c>
      <c r="H296" s="8" t="str">
        <f>IFERROR(__xludf.DUMMYFUNCTION("GOOGLETRANSLATE(C296, ""en"", ""ru"")"),"паук")</f>
        <v>паук</v>
      </c>
      <c r="I296" s="8" t="str">
        <f>IFERROR(__xludf.DUMMYFUNCTION("GOOGLETRANSLATE(C296, ""en"", ""ar"")"),"عنكبوت")</f>
        <v>عنكبوت</v>
      </c>
      <c r="J296" s="8"/>
      <c r="K296" s="7" t="str">
        <f>IFERROR(__xludf.DUMMYFUNCTION("CONCAT(REGEXREPLACE(C296,""[ ,]+"",""_""),"".mp3"")"),"spider.mp3")</f>
        <v>spider.mp3</v>
      </c>
      <c r="M296" s="4" t="s">
        <v>10</v>
      </c>
    </row>
    <row r="297" ht="15.75" customHeight="1">
      <c r="A297" s="1">
        <v>1665.0</v>
      </c>
      <c r="B297" s="3">
        <v>142.0</v>
      </c>
      <c r="C297" s="7" t="s">
        <v>352</v>
      </c>
      <c r="D297" s="8" t="str">
        <f>IFERROR(__xludf.DUMMYFUNCTION("GOOGLETRANSLATE(C297, ""en"", ""pt"")"),"escorpião")</f>
        <v>escorpião</v>
      </c>
      <c r="E297" s="8" t="str">
        <f>IFERROR(__xludf.DUMMYFUNCTION("GOOGLETRANSLATE(C297, ""en"", ""es"")"),"escorpión")</f>
        <v>escorpión</v>
      </c>
      <c r="F297" s="8" t="str">
        <f>IFERROR(__xludf.DUMMYFUNCTION("GOOGLETRANSLATE(C297, ""en"", ""fr"")"),"Scorpion")</f>
        <v>Scorpion</v>
      </c>
      <c r="G297" s="8" t="str">
        <f>IFERROR(__xludf.DUMMYFUNCTION("GOOGLETRANSLATE(C297, ""en"", ""de"")"),"Skorpion")</f>
        <v>Skorpion</v>
      </c>
      <c r="H297" s="8" t="str">
        <f>IFERROR(__xludf.DUMMYFUNCTION("GOOGLETRANSLATE(C297, ""en"", ""ru"")"),"скорпион")</f>
        <v>скорпион</v>
      </c>
      <c r="I297" s="8" t="str">
        <f>IFERROR(__xludf.DUMMYFUNCTION("GOOGLETRANSLATE(C297, ""en"", ""ar"")"),"العقرب")</f>
        <v>العقرب</v>
      </c>
      <c r="J297" s="8"/>
      <c r="K297" s="7" t="str">
        <f>IFERROR(__xludf.DUMMYFUNCTION("CONCAT(REGEXREPLACE(C297,""[ ,]+"",""_""),"".mp3"")"),"scorpion.mp3")</f>
        <v>scorpion.mp3</v>
      </c>
      <c r="M297" s="4" t="s">
        <v>10</v>
      </c>
    </row>
    <row r="298" ht="15.75" customHeight="1">
      <c r="A298" s="1">
        <v>1666.0</v>
      </c>
      <c r="B298" s="3">
        <v>142.0</v>
      </c>
      <c r="C298" s="7" t="s">
        <v>353</v>
      </c>
      <c r="D298" s="8" t="str">
        <f>IFERROR(__xludf.DUMMYFUNCTION("GOOGLETRANSLATE(C298, ""en"", ""pt"")"),"marcação")</f>
        <v>marcação</v>
      </c>
      <c r="E298" s="8" t="str">
        <f>IFERROR(__xludf.DUMMYFUNCTION("GOOGLETRANSLATE(C298, ""en"", ""es"")"),"garrapata")</f>
        <v>garrapata</v>
      </c>
      <c r="F298" s="8" t="str">
        <f>IFERROR(__xludf.DUMMYFUNCTION("GOOGLETRANSLATE(C298, ""en"", ""fr"")"),"cocher")</f>
        <v>cocher</v>
      </c>
      <c r="G298" s="8" t="str">
        <f>IFERROR(__xludf.DUMMYFUNCTION("GOOGLETRANSLATE(C298, ""en"", ""de"")"),"Tick")</f>
        <v>Tick</v>
      </c>
      <c r="H298" s="8" t="str">
        <f>IFERROR(__xludf.DUMMYFUNCTION("GOOGLETRANSLATE(C298, ""en"", ""ru"")"),"галочка")</f>
        <v>галочка</v>
      </c>
      <c r="I298" s="8" t="str">
        <f>IFERROR(__xludf.DUMMYFUNCTION("GOOGLETRANSLATE(C298, ""en"", ""ar"")"),"علامة صح")</f>
        <v>علامة صح</v>
      </c>
      <c r="J298" s="8"/>
      <c r="K298" s="7" t="str">
        <f>IFERROR(__xludf.DUMMYFUNCTION("CONCAT(REGEXREPLACE(C298,""[ ,]+"",""_""),"".mp3"")"),"tick.mp3")</f>
        <v>tick.mp3</v>
      </c>
      <c r="M298" s="4" t="s">
        <v>10</v>
      </c>
    </row>
    <row r="299" ht="15.75" customHeight="1">
      <c r="A299" s="1">
        <v>1667.0</v>
      </c>
      <c r="B299" s="3">
        <v>142.0</v>
      </c>
      <c r="C299" s="7" t="s">
        <v>354</v>
      </c>
      <c r="D299" s="8" t="str">
        <f>IFERROR(__xludf.DUMMYFUNCTION("GOOGLETRANSLATE(C299, ""en"", ""pt"")"),"ácaro")</f>
        <v>ácaro</v>
      </c>
      <c r="E299" s="8" t="str">
        <f>IFERROR(__xludf.DUMMYFUNCTION("GOOGLETRANSLATE(C299, ""en"", ""es"")"),"ácaro")</f>
        <v>ácaro</v>
      </c>
      <c r="F299" s="8" t="str">
        <f>IFERROR(__xludf.DUMMYFUNCTION("GOOGLETRANSLATE(C299, ""en"", ""fr"")"),"mite")</f>
        <v>mite</v>
      </c>
      <c r="G299" s="8" t="str">
        <f>IFERROR(__xludf.DUMMYFUNCTION("GOOGLETRANSLATE(C299, ""en"", ""de"")"),"Milbe")</f>
        <v>Milbe</v>
      </c>
      <c r="H299" s="8" t="str">
        <f>IFERROR(__xludf.DUMMYFUNCTION("GOOGLETRANSLATE(C299, ""en"", ""ru"")"),"клещ")</f>
        <v>клещ</v>
      </c>
      <c r="I299" s="8" t="str">
        <f>IFERROR(__xludf.DUMMYFUNCTION("GOOGLETRANSLATE(C299, ""en"", ""ar"")"),"العث")</f>
        <v>العث</v>
      </c>
      <c r="J299" s="8"/>
      <c r="K299" s="7" t="str">
        <f>IFERROR(__xludf.DUMMYFUNCTION("CONCAT(REGEXREPLACE(C299,""[ ,]+"",""_""),"".mp3"")"),"mite.mp3")</f>
        <v>mite.mp3</v>
      </c>
      <c r="M299" s="4" t="s">
        <v>10</v>
      </c>
    </row>
    <row r="300" ht="15.75" customHeight="1">
      <c r="A300" s="1">
        <v>1668.0</v>
      </c>
      <c r="B300" s="3">
        <v>142.0</v>
      </c>
      <c r="C300" s="7" t="s">
        <v>355</v>
      </c>
      <c r="D300" s="8" t="str">
        <f>IFERROR(__xludf.DUMMYFUNCTION("GOOGLETRANSLATE(C300, ""en"", ""pt"")"),"minhoca")</f>
        <v>minhoca</v>
      </c>
      <c r="E300" s="8" t="str">
        <f>IFERROR(__xludf.DUMMYFUNCTION("GOOGLETRANSLATE(C300, ""en"", ""es"")"),"gusano")</f>
        <v>gusano</v>
      </c>
      <c r="F300" s="8" t="str">
        <f>IFERROR(__xludf.DUMMYFUNCTION("GOOGLETRANSLATE(C300, ""en"", ""fr"")"),"ver")</f>
        <v>ver</v>
      </c>
      <c r="G300" s="8" t="str">
        <f>IFERROR(__xludf.DUMMYFUNCTION("GOOGLETRANSLATE(C300, ""en"", ""de"")"),"Wurm")</f>
        <v>Wurm</v>
      </c>
      <c r="H300" s="8" t="str">
        <f>IFERROR(__xludf.DUMMYFUNCTION("GOOGLETRANSLATE(C300, ""en"", ""ru"")"),"червь")</f>
        <v>червь</v>
      </c>
      <c r="I300" s="8" t="str">
        <f>IFERROR(__xludf.DUMMYFUNCTION("GOOGLETRANSLATE(C300, ""en"", ""ar"")"),"دُودَة")</f>
        <v>دُودَة</v>
      </c>
      <c r="J300" s="8"/>
      <c r="K300" s="7" t="str">
        <f>IFERROR(__xludf.DUMMYFUNCTION("CONCAT(REGEXREPLACE(C300,""[ ,]+"",""_""),"".mp3"")"),"worm.mp3")</f>
        <v>worm.mp3</v>
      </c>
      <c r="M300" s="4" t="s">
        <v>10</v>
      </c>
    </row>
    <row r="301" ht="15.75" customHeight="1">
      <c r="A301" s="1">
        <v>1669.0</v>
      </c>
      <c r="B301" s="3">
        <v>142.0</v>
      </c>
      <c r="C301" s="7" t="s">
        <v>356</v>
      </c>
      <c r="D301" s="8" t="str">
        <f>IFERROR(__xludf.DUMMYFUNCTION("GOOGLETRANSLATE(C301, ""en"", ""pt"")"),"minhoca")</f>
        <v>minhoca</v>
      </c>
      <c r="E301" s="8" t="str">
        <f>IFERROR(__xludf.DUMMYFUNCTION("GOOGLETRANSLATE(C301, ""en"", ""es"")"),"lombriz")</f>
        <v>lombriz</v>
      </c>
      <c r="F301" s="8" t="str">
        <f>IFERROR(__xludf.DUMMYFUNCTION("GOOGLETRANSLATE(C301, ""en"", ""fr"")"),"ver de terre")</f>
        <v>ver de terre</v>
      </c>
      <c r="G301" s="8" t="str">
        <f>IFERROR(__xludf.DUMMYFUNCTION("GOOGLETRANSLATE(C301, ""en"", ""de"")"),"Regenwurm")</f>
        <v>Regenwurm</v>
      </c>
      <c r="H301" s="8" t="str">
        <f>IFERROR(__xludf.DUMMYFUNCTION("GOOGLETRANSLATE(C301, ""en"", ""ru"")"),"дождевой червь")</f>
        <v>дождевой червь</v>
      </c>
      <c r="I301" s="8" t="str">
        <f>IFERROR(__xludf.DUMMYFUNCTION("GOOGLETRANSLATE(C301, ""en"", ""ar"")"),"دودة الأرض")</f>
        <v>دودة الأرض</v>
      </c>
      <c r="J301" s="8"/>
      <c r="K301" s="7" t="str">
        <f>IFERROR(__xludf.DUMMYFUNCTION("CONCAT(REGEXREPLACE(C301,""[ ,]+"",""_""),"".mp3"")"),"earthworm.mp3")</f>
        <v>earthworm.mp3</v>
      </c>
      <c r="M301" s="4" t="s">
        <v>10</v>
      </c>
    </row>
    <row r="302" ht="15.75" customHeight="1">
      <c r="A302" s="1">
        <v>1670.0</v>
      </c>
      <c r="B302" s="3">
        <v>142.0</v>
      </c>
      <c r="C302" s="7" t="s">
        <v>357</v>
      </c>
      <c r="D302" s="8" t="str">
        <f>IFERROR(__xludf.DUMMYFUNCTION("GOOGLETRANSLATE(C302, ""en"", ""pt"")"),"sanguessuga")</f>
        <v>sanguessuga</v>
      </c>
      <c r="E302" s="8" t="str">
        <f>IFERROR(__xludf.DUMMYFUNCTION("GOOGLETRANSLATE(C302, ""en"", ""es"")"),"sanguijuela")</f>
        <v>sanguijuela</v>
      </c>
      <c r="F302" s="8" t="str">
        <f>IFERROR(__xludf.DUMMYFUNCTION("GOOGLETRANSLATE(C302, ""en"", ""fr"")"),"sangsue")</f>
        <v>sangsue</v>
      </c>
      <c r="G302" s="8" t="str">
        <f>IFERROR(__xludf.DUMMYFUNCTION("GOOGLETRANSLATE(C302, ""en"", ""de"")"),"Blutegel")</f>
        <v>Blutegel</v>
      </c>
      <c r="H302" s="8" t="str">
        <f>IFERROR(__xludf.DUMMYFUNCTION("GOOGLETRANSLATE(C302, ""en"", ""ru"")"),"пиявка")</f>
        <v>пиявка</v>
      </c>
      <c r="I302" s="8" t="str">
        <f>IFERROR(__xludf.DUMMYFUNCTION("GOOGLETRANSLATE(C302, ""en"", ""ar"")"),"علقة")</f>
        <v>علقة</v>
      </c>
      <c r="J302" s="8"/>
      <c r="K302" s="7" t="str">
        <f>IFERROR(__xludf.DUMMYFUNCTION("CONCAT(REGEXREPLACE(C302,""[ ,]+"",""_""),"".mp3"")"),"leech.mp3")</f>
        <v>leech.mp3</v>
      </c>
      <c r="M302" s="4" t="s">
        <v>10</v>
      </c>
    </row>
    <row r="303" ht="15.75" customHeight="1">
      <c r="A303" s="1">
        <v>1671.0</v>
      </c>
      <c r="B303" s="3">
        <v>142.0</v>
      </c>
      <c r="C303" s="7" t="s">
        <v>358</v>
      </c>
      <c r="D303" s="8" t="str">
        <f>IFERROR(__xludf.DUMMYFUNCTION("GOOGLETRANSLATE(C303, ""en"", ""pt"")"),"lesma")</f>
        <v>lesma</v>
      </c>
      <c r="E303" s="8" t="str">
        <f>IFERROR(__xludf.DUMMYFUNCTION("GOOGLETRANSLATE(C303, ""en"", ""es"")"),"babosa")</f>
        <v>babosa</v>
      </c>
      <c r="F303" s="8" t="str">
        <f>IFERROR(__xludf.DUMMYFUNCTION("GOOGLETRANSLATE(C303, ""en"", ""fr"")"),"limace")</f>
        <v>limace</v>
      </c>
      <c r="G303" s="8" t="str">
        <f>IFERROR(__xludf.DUMMYFUNCTION("GOOGLETRANSLATE(C303, ""en"", ""de"")"),"Nacktschnecke")</f>
        <v>Nacktschnecke</v>
      </c>
      <c r="H303" s="8" t="str">
        <f>IFERROR(__xludf.DUMMYFUNCTION("GOOGLETRANSLATE(C303, ""en"", ""ru"")"),"слизень")</f>
        <v>слизень</v>
      </c>
      <c r="I303" s="8" t="str">
        <f>IFERROR(__xludf.DUMMYFUNCTION("GOOGLETRANSLATE(C303, ""en"", ""ar"")"),"سبيكة")</f>
        <v>سبيكة</v>
      </c>
      <c r="J303" s="8"/>
      <c r="K303" s="7" t="str">
        <f>IFERROR(__xludf.DUMMYFUNCTION("CONCAT(REGEXREPLACE(C303,""[ ,]+"",""_""),"".mp3"")"),"slug.mp3")</f>
        <v>slug.mp3</v>
      </c>
      <c r="M303" s="4" t="s">
        <v>10</v>
      </c>
    </row>
    <row r="304" ht="15.75" customHeight="1">
      <c r="A304" s="1">
        <v>1672.0</v>
      </c>
      <c r="B304" s="3">
        <v>142.0</v>
      </c>
      <c r="C304" s="7" t="s">
        <v>359</v>
      </c>
      <c r="D304" s="8" t="str">
        <f>IFERROR(__xludf.DUMMYFUNCTION("GOOGLETRANSLATE(C304, ""en"", ""pt"")"),"lesma")</f>
        <v>lesma</v>
      </c>
      <c r="E304" s="8" t="str">
        <f>IFERROR(__xludf.DUMMYFUNCTION("GOOGLETRANSLATE(C304, ""en"", ""es"")"),"caracol")</f>
        <v>caracol</v>
      </c>
      <c r="F304" s="8" t="str">
        <f>IFERROR(__xludf.DUMMYFUNCTION("GOOGLETRANSLATE(C304, ""en"", ""fr"")"),"escargot")</f>
        <v>escargot</v>
      </c>
      <c r="G304" s="8" t="str">
        <f>IFERROR(__xludf.DUMMYFUNCTION("GOOGLETRANSLATE(C304, ""en"", ""de"")"),"Schnecke")</f>
        <v>Schnecke</v>
      </c>
      <c r="H304" s="8" t="str">
        <f>IFERROR(__xludf.DUMMYFUNCTION("GOOGLETRANSLATE(C304, ""en"", ""ru"")"),"улитка")</f>
        <v>улитка</v>
      </c>
      <c r="I304" s="8" t="str">
        <f>IFERROR(__xludf.DUMMYFUNCTION("GOOGLETRANSLATE(C304, ""en"", ""ar"")"),"حلزون")</f>
        <v>حلزون</v>
      </c>
      <c r="J304" s="8"/>
      <c r="K304" s="7" t="str">
        <f>IFERROR(__xludf.DUMMYFUNCTION("CONCAT(REGEXREPLACE(C304,""[ ,]+"",""_""),"".mp3"")"),"snail.mp3")</f>
        <v>snail.mp3</v>
      </c>
      <c r="M304" s="4" t="s">
        <v>10</v>
      </c>
    </row>
    <row r="305" ht="15.75" customHeight="1">
      <c r="A305" s="1">
        <v>1673.0</v>
      </c>
      <c r="B305" s="3">
        <v>143.0</v>
      </c>
      <c r="C305" s="3" t="s">
        <v>360</v>
      </c>
      <c r="D305" s="8" t="str">
        <f>IFERROR(__xludf.DUMMYFUNCTION("GOOGLETRANSLATE(C305, ""en"", ""pt"")"),"futebol, futebol")</f>
        <v>futebol, futebol</v>
      </c>
      <c r="E305" s="8" t="str">
        <f>IFERROR(__xludf.DUMMYFUNCTION("GOOGLETRANSLATE(C305, ""en"", ""es"")"),"fútbol")</f>
        <v>fútbol</v>
      </c>
      <c r="F305" s="8" t="str">
        <f>IFERROR(__xludf.DUMMYFUNCTION("GOOGLETRANSLATE(C305, ""en"", ""fr"")"),"football, soccer")</f>
        <v>football, soccer</v>
      </c>
      <c r="G305" s="8" t="str">
        <f>IFERROR(__xludf.DUMMYFUNCTION("GOOGLETRANSLATE(C305, ""en"", ""de"")"),"Fußball")</f>
        <v>Fußball</v>
      </c>
      <c r="H305" s="8" t="str">
        <f>IFERROR(__xludf.DUMMYFUNCTION("GOOGLETRANSLATE(C305, ""en"", ""ru"")"),"футбол, футбол")</f>
        <v>футбол, футбол</v>
      </c>
      <c r="I305" s="8" t="str">
        <f>IFERROR(__xludf.DUMMYFUNCTION("GOOGLETRANSLATE(C305, ""en"", ""ar"")"),"كرة القدم")</f>
        <v>كرة القدم</v>
      </c>
      <c r="J305" s="8"/>
      <c r="K305" s="7" t="str">
        <f>IFERROR(__xludf.DUMMYFUNCTION("CONCAT(REGEXREPLACE(C305,""[ ,]+"",""_""),"".mp3"")"),"football_soccer.mp3")</f>
        <v>football_soccer.mp3</v>
      </c>
      <c r="M305" s="4" t="s">
        <v>10</v>
      </c>
    </row>
    <row r="306" ht="15.75" customHeight="1">
      <c r="A306" s="1">
        <v>1674.0</v>
      </c>
      <c r="B306" s="3">
        <v>143.0</v>
      </c>
      <c r="C306" s="7" t="s">
        <v>361</v>
      </c>
      <c r="D306" s="8" t="str">
        <f>IFERROR(__xludf.DUMMYFUNCTION("GOOGLETRANSLATE(C306, ""en"", ""pt"")"),"futebol americano")</f>
        <v>futebol americano</v>
      </c>
      <c r="E306" s="8" t="str">
        <f>IFERROR(__xludf.DUMMYFUNCTION("GOOGLETRANSLATE(C306, ""en"", ""es"")"),"fútbol americano")</f>
        <v>fútbol americano</v>
      </c>
      <c r="F306" s="8" t="str">
        <f>IFERROR(__xludf.DUMMYFUNCTION("GOOGLETRANSLATE(C306, ""en"", ""fr"")"),"football américain")</f>
        <v>football américain</v>
      </c>
      <c r="G306" s="8" t="str">
        <f>IFERROR(__xludf.DUMMYFUNCTION("GOOGLETRANSLATE(C306, ""en"", ""de"")"),"American Football")</f>
        <v>American Football</v>
      </c>
      <c r="H306" s="8" t="str">
        <f>IFERROR(__xludf.DUMMYFUNCTION("GOOGLETRANSLATE(C306, ""en"", ""ru"")"),"американский футбол")</f>
        <v>американский футбол</v>
      </c>
      <c r="I306" s="8" t="str">
        <f>IFERROR(__xludf.DUMMYFUNCTION("GOOGLETRANSLATE(C306, ""en"", ""ar"")"),"كرة القدم الأمريكية")</f>
        <v>كرة القدم الأمريكية</v>
      </c>
      <c r="J306" s="8"/>
      <c r="K306" s="7" t="str">
        <f>IFERROR(__xludf.DUMMYFUNCTION("CONCAT(REGEXREPLACE(C306,""[ ,]+"",""_""),"".mp3"")"),"American_football.mp3")</f>
        <v>American_football.mp3</v>
      </c>
      <c r="M306" s="4" t="s">
        <v>10</v>
      </c>
    </row>
    <row r="307" ht="15.75" customHeight="1">
      <c r="A307" s="1">
        <v>1675.0</v>
      </c>
      <c r="B307" s="3">
        <v>143.0</v>
      </c>
      <c r="C307" s="7" t="s">
        <v>362</v>
      </c>
      <c r="D307" s="8" t="str">
        <f>IFERROR(__xludf.DUMMYFUNCTION("GOOGLETRANSLATE(C307, ""en"", ""pt"")"),"união de rúgbi")</f>
        <v>união de rúgbi</v>
      </c>
      <c r="E307" s="8" t="str">
        <f>IFERROR(__xludf.DUMMYFUNCTION("GOOGLETRANSLATE(C307, ""en"", ""es"")"),"rugby")</f>
        <v>rugby</v>
      </c>
      <c r="F307" s="8" t="str">
        <f>IFERROR(__xludf.DUMMYFUNCTION("GOOGLETRANSLATE(C307, ""en"", ""fr"")"),"rugby à XV")</f>
        <v>rugby à XV</v>
      </c>
      <c r="G307" s="8" t="str">
        <f>IFERROR(__xludf.DUMMYFUNCTION("GOOGLETRANSLATE(C307, ""en"", ""de"")"),"Rugby Union")</f>
        <v>Rugby Union</v>
      </c>
      <c r="H307" s="8" t="str">
        <f>IFERROR(__xludf.DUMMYFUNCTION("GOOGLETRANSLATE(C307, ""en"", ""ru"")"),"регби")</f>
        <v>регби</v>
      </c>
      <c r="I307" s="8" t="str">
        <f>IFERROR(__xludf.DUMMYFUNCTION("GOOGLETRANSLATE(C307, ""en"", ""ar"")"),"اتحاد الرجبي")</f>
        <v>اتحاد الرجبي</v>
      </c>
      <c r="J307" s="8"/>
      <c r="K307" s="7" t="str">
        <f>IFERROR(__xludf.DUMMYFUNCTION("CONCAT(REGEXREPLACE(C307,""[ ,]+"",""_""),"".mp3"")"),"rugby_union.mp3")</f>
        <v>rugby_union.mp3</v>
      </c>
      <c r="M307" s="4" t="s">
        <v>10</v>
      </c>
    </row>
    <row r="308" ht="15.75" customHeight="1">
      <c r="A308" s="1">
        <v>1676.0</v>
      </c>
      <c r="B308" s="3">
        <v>143.0</v>
      </c>
      <c r="C308" s="7" t="s">
        <v>363</v>
      </c>
      <c r="D308" s="8" t="str">
        <f>IFERROR(__xludf.DUMMYFUNCTION("GOOGLETRANSLATE(C308, ""en"", ""pt"")"),"liga de rugby")</f>
        <v>liga de rugby</v>
      </c>
      <c r="E308" s="8" t="str">
        <f>IFERROR(__xludf.DUMMYFUNCTION("GOOGLETRANSLATE(C308, ""en"", ""es"")"),"liga de rugby")</f>
        <v>liga de rugby</v>
      </c>
      <c r="F308" s="8" t="str">
        <f>IFERROR(__xludf.DUMMYFUNCTION("GOOGLETRANSLATE(C308, ""en"", ""fr"")"),"rugby à XIII")</f>
        <v>rugby à XIII</v>
      </c>
      <c r="G308" s="8" t="str">
        <f>IFERROR(__xludf.DUMMYFUNCTION("GOOGLETRANSLATE(C308, ""en"", ""de"")"),"Rugby League")</f>
        <v>Rugby League</v>
      </c>
      <c r="H308" s="8" t="str">
        <f>IFERROR(__xludf.DUMMYFUNCTION("GOOGLETRANSLATE(C308, ""en"", ""ru"")"),"регби лига")</f>
        <v>регби лига</v>
      </c>
      <c r="I308" s="8" t="str">
        <f>IFERROR(__xludf.DUMMYFUNCTION("GOOGLETRANSLATE(C308, ""en"", ""ar"")"),"دوري الرجبي")</f>
        <v>دوري الرجبي</v>
      </c>
      <c r="J308" s="8"/>
      <c r="K308" s="7" t="str">
        <f>IFERROR(__xludf.DUMMYFUNCTION("CONCAT(REGEXREPLACE(C308,""[ ,]+"",""_""),"".mp3"")"),"rugby_league.mp3")</f>
        <v>rugby_league.mp3</v>
      </c>
      <c r="M308" s="4" t="s">
        <v>10</v>
      </c>
    </row>
    <row r="309" ht="15.75" customHeight="1">
      <c r="A309" s="1">
        <v>1677.0</v>
      </c>
      <c r="B309" s="3">
        <v>143.0</v>
      </c>
      <c r="C309" s="7" t="s">
        <v>364</v>
      </c>
      <c r="D309" s="8" t="str">
        <f>IFERROR(__xludf.DUMMYFUNCTION("GOOGLETRANSLATE(C309, ""en"", ""pt"")"),"basquetebol")</f>
        <v>basquetebol</v>
      </c>
      <c r="E309" s="8" t="str">
        <f>IFERROR(__xludf.DUMMYFUNCTION("GOOGLETRANSLATE(C309, ""en"", ""es"")"),"baloncesto")</f>
        <v>baloncesto</v>
      </c>
      <c r="F309" s="8" t="str">
        <f>IFERROR(__xludf.DUMMYFUNCTION("GOOGLETRANSLATE(C309, ""en"", ""fr"")"),"basket-ball")</f>
        <v>basket-ball</v>
      </c>
      <c r="G309" s="8" t="str">
        <f>IFERROR(__xludf.DUMMYFUNCTION("GOOGLETRANSLATE(C309, ""en"", ""de"")"),"Basketball")</f>
        <v>Basketball</v>
      </c>
      <c r="H309" s="8" t="str">
        <f>IFERROR(__xludf.DUMMYFUNCTION("GOOGLETRANSLATE(C309, ""en"", ""ru"")"),"баскетбол")</f>
        <v>баскетбол</v>
      </c>
      <c r="I309" s="8" t="str">
        <f>IFERROR(__xludf.DUMMYFUNCTION("GOOGLETRANSLATE(C309, ""en"", ""ar"")"),"كرة السلة")</f>
        <v>كرة السلة</v>
      </c>
      <c r="J309" s="8"/>
      <c r="K309" s="7" t="str">
        <f>IFERROR(__xludf.DUMMYFUNCTION("CONCAT(REGEXREPLACE(C309,""[ ,]+"",""_""),"".mp3"")"),"basketball.mp3")</f>
        <v>basketball.mp3</v>
      </c>
      <c r="M309" s="4" t="s">
        <v>10</v>
      </c>
    </row>
    <row r="310" ht="15.75" customHeight="1">
      <c r="A310" s="1">
        <v>1678.0</v>
      </c>
      <c r="B310" s="3">
        <v>143.0</v>
      </c>
      <c r="C310" s="7" t="s">
        <v>365</v>
      </c>
      <c r="D310" s="8" t="str">
        <f>IFERROR(__xludf.DUMMYFUNCTION("GOOGLETRANSLATE(C310, ""en"", ""pt"")"),"beisebol")</f>
        <v>beisebol</v>
      </c>
      <c r="E310" s="8" t="str">
        <f>IFERROR(__xludf.DUMMYFUNCTION("GOOGLETRANSLATE(C310, ""en"", ""es"")"),"béisbol")</f>
        <v>béisbol</v>
      </c>
      <c r="F310" s="8" t="str">
        <f>IFERROR(__xludf.DUMMYFUNCTION("GOOGLETRANSLATE(C310, ""en"", ""fr"")"),"base-ball")</f>
        <v>base-ball</v>
      </c>
      <c r="G310" s="8" t="str">
        <f>IFERROR(__xludf.DUMMYFUNCTION("GOOGLETRANSLATE(C310, ""en"", ""de"")"),"Baseball")</f>
        <v>Baseball</v>
      </c>
      <c r="H310" s="8" t="str">
        <f>IFERROR(__xludf.DUMMYFUNCTION("GOOGLETRANSLATE(C310, ""en"", ""ru"")"),"бейсбол")</f>
        <v>бейсбол</v>
      </c>
      <c r="I310" s="8" t="str">
        <f>IFERROR(__xludf.DUMMYFUNCTION("GOOGLETRANSLATE(C310, ""en"", ""ar"")"),"البيسبول")</f>
        <v>البيسبول</v>
      </c>
      <c r="J310" s="8"/>
      <c r="K310" s="7" t="str">
        <f>IFERROR(__xludf.DUMMYFUNCTION("CONCAT(REGEXREPLACE(C310,""[ ,]+"",""_""),"".mp3"")"),"baseball.mp3")</f>
        <v>baseball.mp3</v>
      </c>
      <c r="M310" s="4" t="s">
        <v>10</v>
      </c>
    </row>
    <row r="311" ht="15.75" customHeight="1">
      <c r="A311" s="1">
        <v>1679.0</v>
      </c>
      <c r="B311" s="3">
        <v>143.0</v>
      </c>
      <c r="C311" s="7" t="s">
        <v>366</v>
      </c>
      <c r="D311" s="8" t="str">
        <f>IFERROR(__xludf.DUMMYFUNCTION("GOOGLETRANSLATE(C311, ""en"", ""pt"")"),"softball")</f>
        <v>softball</v>
      </c>
      <c r="E311" s="8" t="str">
        <f>IFERROR(__xludf.DUMMYFUNCTION("GOOGLETRANSLATE(C311, ""en"", ""es"")"),"sofbol")</f>
        <v>sofbol</v>
      </c>
      <c r="F311" s="8" t="str">
        <f>IFERROR(__xludf.DUMMYFUNCTION("GOOGLETRANSLATE(C311, ""en"", ""fr"")"),"softball")</f>
        <v>softball</v>
      </c>
      <c r="G311" s="8" t="str">
        <f>IFERROR(__xludf.DUMMYFUNCTION("GOOGLETRANSLATE(C311, ""en"", ""de"")"),"Softball")</f>
        <v>Softball</v>
      </c>
      <c r="H311" s="8" t="str">
        <f>IFERROR(__xludf.DUMMYFUNCTION("GOOGLETRANSLATE(C311, ""en"", ""ru"")"),"софтбол")</f>
        <v>софтбол</v>
      </c>
      <c r="I311" s="8" t="str">
        <f>IFERROR(__xludf.DUMMYFUNCTION("GOOGLETRANSLATE(C311, ""en"", ""ar"")"),"كرة لينة")</f>
        <v>كرة لينة</v>
      </c>
      <c r="J311" s="8"/>
      <c r="K311" s="7" t="str">
        <f>IFERROR(__xludf.DUMMYFUNCTION("CONCAT(REGEXREPLACE(C311,""[ ,]+"",""_""),"".mp3"")"),"softball.mp3")</f>
        <v>softball.mp3</v>
      </c>
      <c r="M311" s="4" t="s">
        <v>10</v>
      </c>
    </row>
    <row r="312" ht="15.75" customHeight="1">
      <c r="A312" s="1">
        <v>1680.0</v>
      </c>
      <c r="B312" s="3">
        <v>143.0</v>
      </c>
      <c r="C312" s="7" t="s">
        <v>348</v>
      </c>
      <c r="D312" s="8" t="str">
        <f>IFERROR(__xludf.DUMMYFUNCTION("GOOGLETRANSLATE(C312, ""en"", ""pt"")"),"grilo")</f>
        <v>grilo</v>
      </c>
      <c r="E312" s="8" t="str">
        <f>IFERROR(__xludf.DUMMYFUNCTION("GOOGLETRANSLATE(C312, ""en"", ""es"")"),"cricket")</f>
        <v>cricket</v>
      </c>
      <c r="F312" s="8" t="str">
        <f>IFERROR(__xludf.DUMMYFUNCTION("GOOGLETRANSLATE(C312, ""en"", ""fr"")"),"cricket")</f>
        <v>cricket</v>
      </c>
      <c r="G312" s="8" t="str">
        <f>IFERROR(__xludf.DUMMYFUNCTION("GOOGLETRANSLATE(C312, ""en"", ""de"")"),"Kricket")</f>
        <v>Kricket</v>
      </c>
      <c r="H312" s="8" t="str">
        <f>IFERROR(__xludf.DUMMYFUNCTION("GOOGLETRANSLATE(C312, ""en"", ""ru"")"),"крикет")</f>
        <v>крикет</v>
      </c>
      <c r="I312" s="8" t="str">
        <f>IFERROR(__xludf.DUMMYFUNCTION("GOOGLETRANSLATE(C312, ""en"", ""ar"")"),"لعبة الكريكيت")</f>
        <v>لعبة الكريكيت</v>
      </c>
      <c r="J312" s="8"/>
      <c r="K312" s="7" t="str">
        <f>IFERROR(__xludf.DUMMYFUNCTION("CONCAT(REGEXREPLACE(C312,""[ ,]+"",""_""),"".mp3"")"),"cricket.mp3")</f>
        <v>cricket.mp3</v>
      </c>
      <c r="M312" s="4" t="s">
        <v>10</v>
      </c>
    </row>
    <row r="313" ht="15.75" customHeight="1">
      <c r="A313" s="1">
        <v>1681.0</v>
      </c>
      <c r="B313" s="3">
        <v>143.0</v>
      </c>
      <c r="C313" s="3" t="s">
        <v>367</v>
      </c>
      <c r="D313" s="8" t="str">
        <f>IFERROR(__xludf.DUMMYFUNCTION("GOOGLETRANSLATE(C313, ""en"", ""pt"")"),"hóquei, hóquei em campo")</f>
        <v>hóquei, hóquei em campo</v>
      </c>
      <c r="E313" s="8" t="str">
        <f>IFERROR(__xludf.DUMMYFUNCTION("GOOGLETRANSLATE(C313, ""en"", ""es"")"),"hockey, hockey sobre césped")</f>
        <v>hockey, hockey sobre césped</v>
      </c>
      <c r="F313" s="8" t="str">
        <f>IFERROR(__xludf.DUMMYFUNCTION("GOOGLETRANSLATE(C313, ""en"", ""fr"")"),"hockey, hockey sur gazon")</f>
        <v>hockey, hockey sur gazon</v>
      </c>
      <c r="G313" s="8" t="str">
        <f>IFERROR(__xludf.DUMMYFUNCTION("GOOGLETRANSLATE(C313, ""en"", ""de"")"),"Hockey, Feldhockey")</f>
        <v>Hockey, Feldhockey</v>
      </c>
      <c r="H313" s="8" t="str">
        <f>IFERROR(__xludf.DUMMYFUNCTION("GOOGLETRANSLATE(C313, ""en"", ""ru"")"),"хоккей, хоккей на траве")</f>
        <v>хоккей, хоккей на траве</v>
      </c>
      <c r="I313" s="8" t="str">
        <f>IFERROR(__xludf.DUMMYFUNCTION("GOOGLETRANSLATE(C313, ""en"", ""ar"")"),"الهوكي، هوكي الميدان")</f>
        <v>الهوكي، هوكي الميدان</v>
      </c>
      <c r="J313" s="8"/>
      <c r="K313" s="7" t="str">
        <f>IFERROR(__xludf.DUMMYFUNCTION("CONCAT(REGEXREPLACE(C313,""[ ,]+"",""_""),"".mp3"")"),"hockey_field_hockey.mp3")</f>
        <v>hockey_field_hockey.mp3</v>
      </c>
      <c r="M313" s="4" t="s">
        <v>10</v>
      </c>
    </row>
    <row r="314" ht="15.75" customHeight="1">
      <c r="A314" s="1">
        <v>1682.0</v>
      </c>
      <c r="B314" s="3">
        <v>143.0</v>
      </c>
      <c r="C314" s="7" t="s">
        <v>368</v>
      </c>
      <c r="D314" s="8" t="str">
        <f>IFERROR(__xludf.DUMMYFUNCTION("GOOGLETRANSLATE(C314, ""en"", ""pt"")"),"hóquei no gelo")</f>
        <v>hóquei no gelo</v>
      </c>
      <c r="E314" s="8" t="str">
        <f>IFERROR(__xludf.DUMMYFUNCTION("GOOGLETRANSLATE(C314, ""en"", ""es"")"),"hockey sobre hielo")</f>
        <v>hockey sobre hielo</v>
      </c>
      <c r="F314" s="8" t="str">
        <f>IFERROR(__xludf.DUMMYFUNCTION("GOOGLETRANSLATE(C314, ""en"", ""fr"")"),"hockey sur glace")</f>
        <v>hockey sur glace</v>
      </c>
      <c r="G314" s="8" t="str">
        <f>IFERROR(__xludf.DUMMYFUNCTION("GOOGLETRANSLATE(C314, ""en"", ""de"")"),"Eishockey")</f>
        <v>Eishockey</v>
      </c>
      <c r="H314" s="8" t="str">
        <f>IFERROR(__xludf.DUMMYFUNCTION("GOOGLETRANSLATE(C314, ""en"", ""ru"")"),"хоккей с шайбой")</f>
        <v>хоккей с шайбой</v>
      </c>
      <c r="I314" s="8" t="str">
        <f>IFERROR(__xludf.DUMMYFUNCTION("GOOGLETRANSLATE(C314, ""en"", ""ar"")"),"هوكي الجليد")</f>
        <v>هوكي الجليد</v>
      </c>
      <c r="J314" s="8"/>
      <c r="K314" s="7" t="str">
        <f>IFERROR(__xludf.DUMMYFUNCTION("CONCAT(REGEXREPLACE(C314,""[ ,]+"",""_""),"".mp3"")"),"ice_hockey.mp3")</f>
        <v>ice_hockey.mp3</v>
      </c>
      <c r="M314" s="4" t="s">
        <v>10</v>
      </c>
    </row>
    <row r="315" ht="15.75" customHeight="1">
      <c r="A315" s="1">
        <v>1683.0</v>
      </c>
      <c r="B315" s="3">
        <v>143.0</v>
      </c>
      <c r="C315" s="7" t="s">
        <v>369</v>
      </c>
      <c r="D315" s="8" t="str">
        <f>IFERROR(__xludf.DUMMYFUNCTION("GOOGLETRANSLATE(C315, ""en"", ""pt"")"),"voleibol")</f>
        <v>voleibol</v>
      </c>
      <c r="E315" s="8" t="str">
        <f>IFERROR(__xludf.DUMMYFUNCTION("GOOGLETRANSLATE(C315, ""en"", ""es"")"),"voleibol")</f>
        <v>voleibol</v>
      </c>
      <c r="F315" s="8" t="str">
        <f>IFERROR(__xludf.DUMMYFUNCTION("GOOGLETRANSLATE(C315, ""en"", ""fr"")"),"volley-ball")</f>
        <v>volley-ball</v>
      </c>
      <c r="G315" s="8" t="str">
        <f>IFERROR(__xludf.DUMMYFUNCTION("GOOGLETRANSLATE(C315, ""en"", ""de"")"),"Volleyball")</f>
        <v>Volleyball</v>
      </c>
      <c r="H315" s="8" t="str">
        <f>IFERROR(__xludf.DUMMYFUNCTION("GOOGLETRANSLATE(C315, ""en"", ""ru"")"),"волейбол")</f>
        <v>волейбол</v>
      </c>
      <c r="I315" s="8" t="str">
        <f>IFERROR(__xludf.DUMMYFUNCTION("GOOGLETRANSLATE(C315, ""en"", ""ar"")"),"الكرة الطائرة")</f>
        <v>الكرة الطائرة</v>
      </c>
      <c r="J315" s="8"/>
      <c r="K315" s="7" t="str">
        <f>IFERROR(__xludf.DUMMYFUNCTION("CONCAT(REGEXREPLACE(C315,""[ ,]+"",""_""),"".mp3"")"),"volleyball.mp3")</f>
        <v>volleyball.mp3</v>
      </c>
      <c r="M315" s="4" t="s">
        <v>10</v>
      </c>
    </row>
    <row r="316" ht="15.75" customHeight="1">
      <c r="A316" s="1">
        <v>1684.0</v>
      </c>
      <c r="B316" s="3">
        <v>143.0</v>
      </c>
      <c r="C316" s="7" t="s">
        <v>370</v>
      </c>
      <c r="D316" s="8" t="str">
        <f>IFERROR(__xludf.DUMMYFUNCTION("GOOGLETRANSLATE(C316, ""en"", ""pt"")"),"vôlei de praia")</f>
        <v>vôlei de praia</v>
      </c>
      <c r="E316" s="8" t="str">
        <f>IFERROR(__xludf.DUMMYFUNCTION("GOOGLETRANSLATE(C316, ""en"", ""es"")"),"voleibol de playa")</f>
        <v>voleibol de playa</v>
      </c>
      <c r="F316" s="8" t="str">
        <f>IFERROR(__xludf.DUMMYFUNCTION("GOOGLETRANSLATE(C316, ""en"", ""fr"")"),"beach-volley")</f>
        <v>beach-volley</v>
      </c>
      <c r="G316" s="8" t="str">
        <f>IFERROR(__xludf.DUMMYFUNCTION("GOOGLETRANSLATE(C316, ""en"", ""de"")"),"Beachvolleyball")</f>
        <v>Beachvolleyball</v>
      </c>
      <c r="H316" s="8" t="str">
        <f>IFERROR(__xludf.DUMMYFUNCTION("GOOGLETRANSLATE(C316, ""en"", ""ru"")"),"пляжный волейбол")</f>
        <v>пляжный волейбол</v>
      </c>
      <c r="I316" s="8" t="str">
        <f>IFERROR(__xludf.DUMMYFUNCTION("GOOGLETRANSLATE(C316, ""en"", ""ar"")"),"كرة الطائرة الشاطئية")</f>
        <v>كرة الطائرة الشاطئية</v>
      </c>
      <c r="J316" s="8"/>
      <c r="K316" s="7" t="str">
        <f>IFERROR(__xludf.DUMMYFUNCTION("CONCAT(REGEXREPLACE(C316,""[ ,]+"",""_""),"".mp3"")"),"beach_volleyball.mp3")</f>
        <v>beach_volleyball.mp3</v>
      </c>
      <c r="M316" s="4" t="s">
        <v>10</v>
      </c>
    </row>
    <row r="317" ht="15.75" customHeight="1">
      <c r="A317" s="1">
        <v>1685.0</v>
      </c>
      <c r="B317" s="3">
        <v>143.0</v>
      </c>
      <c r="C317" s="7" t="s">
        <v>371</v>
      </c>
      <c r="D317" s="8" t="str">
        <f>IFERROR(__xludf.DUMMYFUNCTION("GOOGLETRANSLATE(C317, ""en"", ""pt"")"),"handebol")</f>
        <v>handebol</v>
      </c>
      <c r="E317" s="8" t="str">
        <f>IFERROR(__xludf.DUMMYFUNCTION("GOOGLETRANSLATE(C317, ""en"", ""es"")"),"balonmano")</f>
        <v>balonmano</v>
      </c>
      <c r="F317" s="8" t="str">
        <f>IFERROR(__xludf.DUMMYFUNCTION("GOOGLETRANSLATE(C317, ""en"", ""fr"")"),"handball")</f>
        <v>handball</v>
      </c>
      <c r="G317" s="8" t="str">
        <f>IFERROR(__xludf.DUMMYFUNCTION("GOOGLETRANSLATE(C317, ""en"", ""de"")"),"Handball")</f>
        <v>Handball</v>
      </c>
      <c r="H317" s="8" t="str">
        <f>IFERROR(__xludf.DUMMYFUNCTION("GOOGLETRANSLATE(C317, ""en"", ""ru"")"),"гандбол")</f>
        <v>гандбол</v>
      </c>
      <c r="I317" s="8" t="str">
        <f>IFERROR(__xludf.DUMMYFUNCTION("GOOGLETRANSLATE(C317, ""en"", ""ar"")"),"كرة اليد")</f>
        <v>كرة اليد</v>
      </c>
      <c r="J317" s="8"/>
      <c r="K317" s="7" t="str">
        <f>IFERROR(__xludf.DUMMYFUNCTION("CONCAT(REGEXREPLACE(C317,""[ ,]+"",""_""),"".mp3"")"),"handball.mp3")</f>
        <v>handball.mp3</v>
      </c>
      <c r="M317" s="4" t="s">
        <v>10</v>
      </c>
    </row>
    <row r="318" ht="15.75" customHeight="1">
      <c r="A318" s="1">
        <v>1686.0</v>
      </c>
      <c r="B318" s="3">
        <v>143.0</v>
      </c>
      <c r="C318" s="7" t="s">
        <v>372</v>
      </c>
      <c r="D318" s="8" t="str">
        <f>IFERROR(__xludf.DUMMYFUNCTION("GOOGLETRANSLATE(C318, ""en"", ""pt"")"),"futsal")</f>
        <v>futsal</v>
      </c>
      <c r="E318" s="8" t="str">
        <f>IFERROR(__xludf.DUMMYFUNCTION("GOOGLETRANSLATE(C318, ""en"", ""es"")"),"fútbol sala")</f>
        <v>fútbol sala</v>
      </c>
      <c r="F318" s="8" t="str">
        <f>IFERROR(__xludf.DUMMYFUNCTION("GOOGLETRANSLATE(C318, ""en"", ""fr"")"),"futsal")</f>
        <v>futsal</v>
      </c>
      <c r="G318" s="8" t="str">
        <f>IFERROR(__xludf.DUMMYFUNCTION("GOOGLETRANSLATE(C318, ""en"", ""de"")"),"Futsal")</f>
        <v>Futsal</v>
      </c>
      <c r="H318" s="8" t="str">
        <f>IFERROR(__xludf.DUMMYFUNCTION("GOOGLETRANSLATE(C318, ""en"", ""ru"")"),"футзал")</f>
        <v>футзал</v>
      </c>
      <c r="I318" s="8" t="str">
        <f>IFERROR(__xludf.DUMMYFUNCTION("GOOGLETRANSLATE(C318, ""en"", ""ar"")"),"كرة الصالات")</f>
        <v>كرة الصالات</v>
      </c>
      <c r="J318" s="8"/>
      <c r="K318" s="7" t="str">
        <f>IFERROR(__xludf.DUMMYFUNCTION("CONCAT(REGEXREPLACE(C318,""[ ,]+"",""_""),"".mp3"")"),"futsal.mp3")</f>
        <v>futsal.mp3</v>
      </c>
      <c r="M318" s="4" t="s">
        <v>10</v>
      </c>
    </row>
    <row r="319" ht="15.75" customHeight="1">
      <c r="A319" s="1">
        <v>1687.0</v>
      </c>
      <c r="B319" s="3">
        <v>143.0</v>
      </c>
      <c r="C319" s="7" t="s">
        <v>373</v>
      </c>
      <c r="D319" s="8" t="str">
        <f>IFERROR(__xludf.DUMMYFUNCTION("GOOGLETRANSLATE(C319, ""en"", ""pt"")"),"netball")</f>
        <v>netball</v>
      </c>
      <c r="E319" s="8" t="str">
        <f>IFERROR(__xludf.DUMMYFUNCTION("GOOGLETRANSLATE(C319, ""en"", ""es"")"),"baloncesto")</f>
        <v>baloncesto</v>
      </c>
      <c r="F319" s="8" t="str">
        <f>IFERROR(__xludf.DUMMYFUNCTION("GOOGLETRANSLATE(C319, ""en"", ""fr"")"),"netball")</f>
        <v>netball</v>
      </c>
      <c r="G319" s="8" t="str">
        <f>IFERROR(__xludf.DUMMYFUNCTION("GOOGLETRANSLATE(C319, ""en"", ""de"")"),"Korbball")</f>
        <v>Korbball</v>
      </c>
      <c r="H319" s="8" t="str">
        <f>IFERROR(__xludf.DUMMYFUNCTION("GOOGLETRANSLATE(C319, ""en"", ""ru"")"),"нетбол")</f>
        <v>нетбол</v>
      </c>
      <c r="I319" s="8" t="str">
        <f>IFERROR(__xludf.DUMMYFUNCTION("GOOGLETRANSLATE(C319, ""en"", ""ar"")"),"كرة الشبكة")</f>
        <v>كرة الشبكة</v>
      </c>
      <c r="J319" s="8"/>
      <c r="K319" s="7" t="str">
        <f>IFERROR(__xludf.DUMMYFUNCTION("CONCAT(REGEXREPLACE(C319,""[ ,]+"",""_""),"".mp3"")"),"netball.mp3")</f>
        <v>netball.mp3</v>
      </c>
      <c r="M319" s="4" t="s">
        <v>10</v>
      </c>
    </row>
    <row r="320" ht="15.75" customHeight="1">
      <c r="A320" s="1">
        <v>1688.0</v>
      </c>
      <c r="B320" s="3">
        <v>143.0</v>
      </c>
      <c r="C320" s="7" t="s">
        <v>374</v>
      </c>
      <c r="D320" s="8" t="str">
        <f>IFERROR(__xludf.DUMMYFUNCTION("GOOGLETRANSLATE(C320, ""en"", ""pt"")"),"lacrosse")</f>
        <v>lacrosse</v>
      </c>
      <c r="E320" s="8" t="str">
        <f>IFERROR(__xludf.DUMMYFUNCTION("GOOGLETRANSLATE(C320, ""en"", ""es"")"),"lacrosse")</f>
        <v>lacrosse</v>
      </c>
      <c r="F320" s="8" t="str">
        <f>IFERROR(__xludf.DUMMYFUNCTION("GOOGLETRANSLATE(C320, ""en"", ""fr"")"),"lacrosse")</f>
        <v>lacrosse</v>
      </c>
      <c r="G320" s="8" t="str">
        <f>IFERROR(__xludf.DUMMYFUNCTION("GOOGLETRANSLATE(C320, ""en"", ""de"")"),"Lacrosse")</f>
        <v>Lacrosse</v>
      </c>
      <c r="H320" s="8" t="str">
        <f>IFERROR(__xludf.DUMMYFUNCTION("GOOGLETRANSLATE(C320, ""en"", ""ru"")"),"лакросс")</f>
        <v>лакросс</v>
      </c>
      <c r="I320" s="8" t="str">
        <f>IFERROR(__xludf.DUMMYFUNCTION("GOOGLETRANSLATE(C320, ""en"", ""ar"")"),"لاكروس")</f>
        <v>لاكروس</v>
      </c>
      <c r="J320" s="8"/>
      <c r="K320" s="7" t="str">
        <f>IFERROR(__xludf.DUMMYFUNCTION("CONCAT(REGEXREPLACE(C320,""[ ,]+"",""_""),"".mp3"")"),"lacrosse.mp3")</f>
        <v>lacrosse.mp3</v>
      </c>
      <c r="M320" s="4" t="s">
        <v>10</v>
      </c>
    </row>
    <row r="321" ht="15.75" customHeight="1">
      <c r="A321" s="1">
        <v>1689.0</v>
      </c>
      <c r="B321" s="3">
        <v>143.0</v>
      </c>
      <c r="C321" s="7" t="s">
        <v>375</v>
      </c>
      <c r="D321" s="8" t="str">
        <f>IFERROR(__xludf.DUMMYFUNCTION("GOOGLETRANSLATE(C321, ""en"", ""pt"")"),"pólo aquático")</f>
        <v>pólo aquático</v>
      </c>
      <c r="E321" s="8" t="str">
        <f>IFERROR(__xludf.DUMMYFUNCTION("GOOGLETRANSLATE(C321, ""en"", ""es"")"),"waterpolo")</f>
        <v>waterpolo</v>
      </c>
      <c r="F321" s="8" t="str">
        <f>IFERROR(__xludf.DUMMYFUNCTION("GOOGLETRANSLATE(C321, ""en"", ""fr"")"),"water polo")</f>
        <v>water polo</v>
      </c>
      <c r="G321" s="8" t="str">
        <f>IFERROR(__xludf.DUMMYFUNCTION("GOOGLETRANSLATE(C321, ""en"", ""de"")"),"Wasserball")</f>
        <v>Wasserball</v>
      </c>
      <c r="H321" s="8" t="str">
        <f>IFERROR(__xludf.DUMMYFUNCTION("GOOGLETRANSLATE(C321, ""en"", ""ru"")"),"водное поло")</f>
        <v>водное поло</v>
      </c>
      <c r="I321" s="8" t="str">
        <f>IFERROR(__xludf.DUMMYFUNCTION("GOOGLETRANSLATE(C321, ""en"", ""ar"")"),"كرة الماء")</f>
        <v>كرة الماء</v>
      </c>
      <c r="J321" s="8"/>
      <c r="K321" s="7" t="str">
        <f>IFERROR(__xludf.DUMMYFUNCTION("CONCAT(REGEXREPLACE(C321,""[ ,]+"",""_""),"".mp3"")"),"water_polo.mp3")</f>
        <v>water_polo.mp3</v>
      </c>
      <c r="M321" s="4" t="s">
        <v>10</v>
      </c>
    </row>
    <row r="322" ht="15.75" customHeight="1">
      <c r="A322" s="1">
        <v>1690.0</v>
      </c>
      <c r="B322" s="3">
        <v>143.0</v>
      </c>
      <c r="C322" s="7" t="s">
        <v>376</v>
      </c>
      <c r="D322" s="8" t="str">
        <f>IFERROR(__xludf.DUMMYFUNCTION("GOOGLETRANSLATE(C322, ""en"", ""pt"")"),"Korfball")</f>
        <v>Korfball</v>
      </c>
      <c r="E322" s="8" t="str">
        <f>IFERROR(__xludf.DUMMYFUNCTION("GOOGLETRANSLATE(C322, ""en"", ""es"")"),"korfball")</f>
        <v>korfball</v>
      </c>
      <c r="F322" s="8" t="str">
        <f>IFERROR(__xludf.DUMMYFUNCTION("GOOGLETRANSLATE(C322, ""en"", ""fr"")"),"korfball")</f>
        <v>korfball</v>
      </c>
      <c r="G322" s="8" t="str">
        <f>IFERROR(__xludf.DUMMYFUNCTION("GOOGLETRANSLATE(C322, ""en"", ""de"")"),"Korfball")</f>
        <v>Korfball</v>
      </c>
      <c r="H322" s="8" t="str">
        <f>IFERROR(__xludf.DUMMYFUNCTION("GOOGLETRANSLATE(C322, ""en"", ""ru"")"),"корфбол")</f>
        <v>корфбол</v>
      </c>
      <c r="I322" s="8" t="str">
        <f>IFERROR(__xludf.DUMMYFUNCTION("GOOGLETRANSLATE(C322, ""en"", ""ar"")"),"كرة الكورفبول")</f>
        <v>كرة الكورفبول</v>
      </c>
      <c r="J322" s="8"/>
      <c r="K322" s="7" t="str">
        <f>IFERROR(__xludf.DUMMYFUNCTION("CONCAT(REGEXREPLACE(C322,""[ ,]+"",""_""),"".mp3"")"),"korfball.mp3")</f>
        <v>korfball.mp3</v>
      </c>
      <c r="M322" s="4" t="s">
        <v>10</v>
      </c>
    </row>
    <row r="323" ht="15.75" customHeight="1">
      <c r="A323" s="1">
        <v>1691.0</v>
      </c>
      <c r="B323" s="3">
        <v>143.0</v>
      </c>
      <c r="C323" s="7" t="s">
        <v>377</v>
      </c>
      <c r="D323" s="8" t="str">
        <f>IFERROR(__xludf.DUMMYFUNCTION("GOOGLETRANSLATE(C323, ""en"", ""pt"")"),"kabaddi")</f>
        <v>kabaddi</v>
      </c>
      <c r="E323" s="8" t="str">
        <f>IFERROR(__xludf.DUMMYFUNCTION("GOOGLETRANSLATE(C323, ""en"", ""es"")"),"kabaddi")</f>
        <v>kabaddi</v>
      </c>
      <c r="F323" s="8" t="str">
        <f>IFERROR(__xludf.DUMMYFUNCTION("GOOGLETRANSLATE(C323, ""en"", ""fr"")"),"kabaddi")</f>
        <v>kabaddi</v>
      </c>
      <c r="G323" s="8" t="str">
        <f>IFERROR(__xludf.DUMMYFUNCTION("GOOGLETRANSLATE(C323, ""en"", ""de"")"),"Kabaddi")</f>
        <v>Kabaddi</v>
      </c>
      <c r="H323" s="8" t="str">
        <f>IFERROR(__xludf.DUMMYFUNCTION("GOOGLETRANSLATE(C323, ""en"", ""ru"")"),"кабадди")</f>
        <v>кабадди</v>
      </c>
      <c r="I323" s="8" t="str">
        <f>IFERROR(__xludf.DUMMYFUNCTION("GOOGLETRANSLATE(C323, ""en"", ""ar"")"),"الكابادي")</f>
        <v>الكابادي</v>
      </c>
      <c r="J323" s="8"/>
      <c r="K323" s="7" t="str">
        <f>IFERROR(__xludf.DUMMYFUNCTION("CONCAT(REGEXREPLACE(C323,""[ ,]+"",""_""),"".mp3"")"),"kabaddi.mp3")</f>
        <v>kabaddi.mp3</v>
      </c>
      <c r="M323" s="4" t="s">
        <v>10</v>
      </c>
    </row>
    <row r="324" ht="15.75" customHeight="1">
      <c r="A324" s="1">
        <v>1692.0</v>
      </c>
      <c r="B324" s="3">
        <v>143.0</v>
      </c>
      <c r="C324" s="7" t="s">
        <v>378</v>
      </c>
      <c r="D324" s="8" t="str">
        <f>IFERROR(__xludf.DUMMYFUNCTION("GOOGLETRANSLATE(C324, ""en"", ""pt"")"),"pólo")</f>
        <v>pólo</v>
      </c>
      <c r="E324" s="8" t="str">
        <f>IFERROR(__xludf.DUMMYFUNCTION("GOOGLETRANSLATE(C324, ""en"", ""es"")"),"polo")</f>
        <v>polo</v>
      </c>
      <c r="F324" s="8" t="str">
        <f>IFERROR(__xludf.DUMMYFUNCTION("GOOGLETRANSLATE(C324, ""en"", ""fr"")"),"polo")</f>
        <v>polo</v>
      </c>
      <c r="G324" s="8" t="str">
        <f>IFERROR(__xludf.DUMMYFUNCTION("GOOGLETRANSLATE(C324, ""en"", ""de"")"),"Polo")</f>
        <v>Polo</v>
      </c>
      <c r="H324" s="8" t="str">
        <f>IFERROR(__xludf.DUMMYFUNCTION("GOOGLETRANSLATE(C324, ""en"", ""ru"")"),"поло")</f>
        <v>поло</v>
      </c>
      <c r="I324" s="8" t="str">
        <f>IFERROR(__xludf.DUMMYFUNCTION("GOOGLETRANSLATE(C324, ""en"", ""ar"")"),"بولو")</f>
        <v>بولو</v>
      </c>
      <c r="J324" s="8"/>
      <c r="K324" s="7" t="str">
        <f>IFERROR(__xludf.DUMMYFUNCTION("CONCAT(REGEXREPLACE(C324,""[ ,]+"",""_""),"".mp3"")"),"polo.mp3")</f>
        <v>polo.mp3</v>
      </c>
      <c r="M324" s="4" t="s">
        <v>10</v>
      </c>
    </row>
    <row r="325" ht="15.75" customHeight="1">
      <c r="A325" s="1">
        <v>1693.0</v>
      </c>
      <c r="B325" s="3">
        <v>143.0</v>
      </c>
      <c r="C325" s="7" t="s">
        <v>379</v>
      </c>
      <c r="D325" s="8" t="str">
        <f>IFERROR(__xludf.DUMMYFUNCTION("GOOGLETRANSLATE(C325, ""en"", ""pt"")"),"ultimate frisbee")</f>
        <v>ultimate frisbee</v>
      </c>
      <c r="E325" s="8" t="str">
        <f>IFERROR(__xludf.DUMMYFUNCTION("GOOGLETRANSLATE(C325, ""en"", ""es"")"),"frisbee definitivo")</f>
        <v>frisbee definitivo</v>
      </c>
      <c r="F325" s="8" t="str">
        <f>IFERROR(__xludf.DUMMYFUNCTION("GOOGLETRANSLATE(C325, ""en"", ""fr"")"),"frisbee ultime")</f>
        <v>frisbee ultime</v>
      </c>
      <c r="G325" s="8" t="str">
        <f>IFERROR(__xludf.DUMMYFUNCTION("GOOGLETRANSLATE(C325, ""en"", ""de"")"),"Ultimate Frisbee")</f>
        <v>Ultimate Frisbee</v>
      </c>
      <c r="H325" s="8" t="str">
        <f>IFERROR(__xludf.DUMMYFUNCTION("GOOGLETRANSLATE(C325, ""en"", ""ru"")"),"фрисби")</f>
        <v>фрисби</v>
      </c>
      <c r="I325" s="8" t="str">
        <f>IFERROR(__xludf.DUMMYFUNCTION("GOOGLETRANSLATE(C325, ""en"", ""ar"")"),"لعبة الفريسبي النهائية")</f>
        <v>لعبة الفريسبي النهائية</v>
      </c>
      <c r="J325" s="8"/>
      <c r="K325" s="7" t="str">
        <f>IFERROR(__xludf.DUMMYFUNCTION("CONCAT(REGEXREPLACE(C325,""[ ,]+"",""_""),"".mp3"")"),"ultimate_frisbee.mp3")</f>
        <v>ultimate_frisbee.mp3</v>
      </c>
      <c r="M325" s="4" t="s">
        <v>10</v>
      </c>
    </row>
    <row r="326" ht="15.75" customHeight="1">
      <c r="A326" s="1">
        <v>1694.0</v>
      </c>
      <c r="B326" s="3">
        <v>143.0</v>
      </c>
      <c r="C326" s="7" t="s">
        <v>380</v>
      </c>
      <c r="D326" s="8" t="str">
        <f>IFERROR(__xludf.DUMMYFUNCTION("GOOGLETRANSLATE(C326, ""en"", ""pt"")"),"queimada")</f>
        <v>queimada</v>
      </c>
      <c r="E326" s="8" t="str">
        <f>IFERROR(__xludf.DUMMYFUNCTION("GOOGLETRANSLATE(C326, ""en"", ""es"")"),"balón prisionero")</f>
        <v>balón prisionero</v>
      </c>
      <c r="F326" s="8" t="str">
        <f>IFERROR(__xludf.DUMMYFUNCTION("GOOGLETRANSLATE(C326, ""en"", ""fr"")"),"balle au prisonnier")</f>
        <v>balle au prisonnier</v>
      </c>
      <c r="G326" s="8" t="str">
        <f>IFERROR(__xludf.DUMMYFUNCTION("GOOGLETRANSLATE(C326, ""en"", ""de"")"),"Völkerball")</f>
        <v>Völkerball</v>
      </c>
      <c r="H326" s="8" t="str">
        <f>IFERROR(__xludf.DUMMYFUNCTION("GOOGLETRANSLATE(C326, ""en"", ""ru"")"),"вышибалы")</f>
        <v>вышибалы</v>
      </c>
      <c r="I326" s="8" t="str">
        <f>IFERROR(__xludf.DUMMYFUNCTION("GOOGLETRANSLATE(C326, ""en"", ""ar"")"),"كرة المراوغة")</f>
        <v>كرة المراوغة</v>
      </c>
      <c r="J326" s="8"/>
      <c r="K326" s="7" t="str">
        <f>IFERROR(__xludf.DUMMYFUNCTION("CONCAT(REGEXREPLACE(C326,""[ ,]+"",""_""),"".mp3"")"),"dodgeball.mp3")</f>
        <v>dodgeball.mp3</v>
      </c>
      <c r="M326" s="4" t="s">
        <v>10</v>
      </c>
    </row>
    <row r="327" ht="15.75" customHeight="1">
      <c r="A327" s="1">
        <v>1695.0</v>
      </c>
      <c r="B327" s="3">
        <v>143.0</v>
      </c>
      <c r="C327" s="7" t="s">
        <v>381</v>
      </c>
      <c r="D327" s="8" t="str">
        <f>IFERROR(__xludf.DUMMYFUNCTION("GOOGLETRANSLATE(C327, ""en"", ""pt"")"),"rounders")</f>
        <v>rounders</v>
      </c>
      <c r="E327" s="8" t="str">
        <f>IFERROR(__xludf.DUMMYFUNCTION("GOOGLETRANSLATE(C327, ""en"", ""es"")"),"juego de pelota con bate")</f>
        <v>juego de pelota con bate</v>
      </c>
      <c r="F327" s="8" t="str">
        <f>IFERROR(__xludf.DUMMYFUNCTION("GOOGLETRANSLATE(C327, ""en"", ""fr"")"),"rounders")</f>
        <v>rounders</v>
      </c>
      <c r="G327" s="8" t="str">
        <f>IFERROR(__xludf.DUMMYFUNCTION("GOOGLETRANSLATE(C327, ""en"", ""de"")"),"Rundschläger")</f>
        <v>Rundschläger</v>
      </c>
      <c r="H327" s="8" t="str">
        <f>IFERROR(__xludf.DUMMYFUNCTION("GOOGLETRANSLATE(C327, ""en"", ""ru"")"),"раундерс")</f>
        <v>раундерс</v>
      </c>
      <c r="I327" s="8" t="str">
        <f>IFERROR(__xludf.DUMMYFUNCTION("GOOGLETRANSLATE(C327, ""en"", ""ar"")"),"لعبة الراوندرز")</f>
        <v>لعبة الراوندرز</v>
      </c>
      <c r="J327" s="8"/>
      <c r="K327" s="7" t="str">
        <f>IFERROR(__xludf.DUMMYFUNCTION("CONCAT(REGEXREPLACE(C327,""[ ,]+"",""_""),"".mp3"")"),"rounders.mp3")</f>
        <v>rounders.mp3</v>
      </c>
      <c r="M327" s="4" t="s">
        <v>10</v>
      </c>
    </row>
    <row r="328" ht="15.75" customHeight="1">
      <c r="A328" s="1">
        <v>1696.0</v>
      </c>
      <c r="B328" s="3">
        <v>143.0</v>
      </c>
      <c r="C328" s="3" t="s">
        <v>382</v>
      </c>
      <c r="D328" s="8" t="str">
        <f>IFERROR(__xludf.DUMMYFUNCTION("GOOGLETRANSLATE(C328, ""en"", ""pt"")"),"atletismo, pista e campo")</f>
        <v>atletismo, pista e campo</v>
      </c>
      <c r="E328" s="8" t="str">
        <f>IFERROR(__xludf.DUMMYFUNCTION("GOOGLETRANSLATE(C328, ""en"", ""es"")"),"atletismo, pista y campo")</f>
        <v>atletismo, pista y campo</v>
      </c>
      <c r="F328" s="8" t="str">
        <f>IFERROR(__xludf.DUMMYFUNCTION("GOOGLETRANSLATE(C328, ""en"", ""fr"")"),"athlétisme, piste et terrain")</f>
        <v>athlétisme, piste et terrain</v>
      </c>
      <c r="G328" s="8" t="str">
        <f>IFERROR(__xludf.DUMMYFUNCTION("GOOGLETRANSLATE(C328, ""en"", ""de"")"),"Leichtathletik, Leichtathletik")</f>
        <v>Leichtathletik, Leichtathletik</v>
      </c>
      <c r="H328" s="8" t="str">
        <f>IFERROR(__xludf.DUMMYFUNCTION("GOOGLETRANSLATE(C328, ""en"", ""ru"")"),"легкая атлетика, беговая дорожка")</f>
        <v>легкая атлетика, беговая дорожка</v>
      </c>
      <c r="I328" s="8" t="str">
        <f>IFERROR(__xludf.DUMMYFUNCTION("GOOGLETRANSLATE(C328, ""en"", ""ar"")"),"ألعاب القوى، المضمار والميدان")</f>
        <v>ألعاب القوى، المضمار والميدان</v>
      </c>
      <c r="J328" s="8"/>
      <c r="K328" s="7" t="str">
        <f>IFERROR(__xludf.DUMMYFUNCTION("CONCAT(REGEXREPLACE(C328,""[ ,]+"",""_""),"".mp3"")"),"athletics_track_and_field.mp3")</f>
        <v>athletics_track_and_field.mp3</v>
      </c>
      <c r="M328" s="4" t="s">
        <v>10</v>
      </c>
    </row>
    <row r="329" ht="15.75" customHeight="1">
      <c r="A329" s="1">
        <v>1697.0</v>
      </c>
      <c r="B329" s="3">
        <v>143.0</v>
      </c>
      <c r="C329" s="7" t="s">
        <v>383</v>
      </c>
      <c r="D329" s="8" t="str">
        <f>IFERROR(__xludf.DUMMYFUNCTION("GOOGLETRANSLATE(C329, ""en"", ""pt"")"),"correndo")</f>
        <v>correndo</v>
      </c>
      <c r="E329" s="8" t="str">
        <f>IFERROR(__xludf.DUMMYFUNCTION("GOOGLETRANSLATE(C329, ""en"", ""es"")"),"correr")</f>
        <v>correr</v>
      </c>
      <c r="F329" s="8" t="str">
        <f>IFERROR(__xludf.DUMMYFUNCTION("GOOGLETRANSLATE(C329, ""en"", ""fr"")"),"en cours d'exécution")</f>
        <v>en cours d'exécution</v>
      </c>
      <c r="G329" s="8" t="str">
        <f>IFERROR(__xludf.DUMMYFUNCTION("GOOGLETRANSLATE(C329, ""en"", ""de"")"),"läuft")</f>
        <v>läuft</v>
      </c>
      <c r="H329" s="8" t="str">
        <f>IFERROR(__xludf.DUMMYFUNCTION("GOOGLETRANSLATE(C329, ""en"", ""ru"")"),"бег")</f>
        <v>бег</v>
      </c>
      <c r="I329" s="8" t="str">
        <f>IFERROR(__xludf.DUMMYFUNCTION("GOOGLETRANSLATE(C329, ""en"", ""ar"")"),"جري")</f>
        <v>جري</v>
      </c>
      <c r="J329" s="8"/>
      <c r="K329" s="7" t="str">
        <f>IFERROR(__xludf.DUMMYFUNCTION("CONCAT(REGEXREPLACE(C329,""[ ,]+"",""_""),"".mp3"")"),"running.mp3")</f>
        <v>running.mp3</v>
      </c>
      <c r="M329" s="4" t="s">
        <v>10</v>
      </c>
    </row>
    <row r="330" ht="15.75" customHeight="1">
      <c r="A330" s="1">
        <v>1698.0</v>
      </c>
      <c r="B330" s="3">
        <v>143.0</v>
      </c>
      <c r="C330" s="7" t="s">
        <v>384</v>
      </c>
      <c r="D330" s="8" t="str">
        <f>IFERROR(__xludf.DUMMYFUNCTION("GOOGLETRANSLATE(C330, ""en"", ""pt"")"),"corrida")</f>
        <v>corrida</v>
      </c>
      <c r="E330" s="8" t="str">
        <f>IFERROR(__xludf.DUMMYFUNCTION("GOOGLETRANSLATE(C330, ""en"", ""es"")"),"esprintar")</f>
        <v>esprintar</v>
      </c>
      <c r="F330" s="8" t="str">
        <f>IFERROR(__xludf.DUMMYFUNCTION("GOOGLETRANSLATE(C330, ""en"", ""fr"")"),"sprint")</f>
        <v>sprint</v>
      </c>
      <c r="G330" s="8" t="str">
        <f>IFERROR(__xludf.DUMMYFUNCTION("GOOGLETRANSLATE(C330, ""en"", ""de"")"),"Sprinten")</f>
        <v>Sprinten</v>
      </c>
      <c r="H330" s="8" t="str">
        <f>IFERROR(__xludf.DUMMYFUNCTION("GOOGLETRANSLATE(C330, ""en"", ""ru"")"),"спринт")</f>
        <v>спринт</v>
      </c>
      <c r="I330" s="8" t="str">
        <f>IFERROR(__xludf.DUMMYFUNCTION("GOOGLETRANSLATE(C330, ""en"", ""ar"")"),"العدو السريع")</f>
        <v>العدو السريع</v>
      </c>
      <c r="J330" s="8"/>
      <c r="K330" s="7" t="str">
        <f>IFERROR(__xludf.DUMMYFUNCTION("CONCAT(REGEXREPLACE(C330,""[ ,]+"",""_""),"".mp3"")"),"sprinting.mp3")</f>
        <v>sprinting.mp3</v>
      </c>
      <c r="M330" s="4" t="s">
        <v>10</v>
      </c>
    </row>
    <row r="331" ht="15.75" customHeight="1">
      <c r="A331" s="1">
        <v>1699.0</v>
      </c>
      <c r="B331" s="3">
        <v>143.0</v>
      </c>
      <c r="C331" s="7" t="s">
        <v>385</v>
      </c>
      <c r="D331" s="8" t="str">
        <f>IFERROR(__xludf.DUMMYFUNCTION("GOOGLETRANSLATE(C331, ""en"", ""pt"")"),"maratona")</f>
        <v>maratona</v>
      </c>
      <c r="E331" s="8" t="str">
        <f>IFERROR(__xludf.DUMMYFUNCTION("GOOGLETRANSLATE(C331, ""en"", ""es"")"),"maratón")</f>
        <v>maratón</v>
      </c>
      <c r="F331" s="8" t="str">
        <f>IFERROR(__xludf.DUMMYFUNCTION("GOOGLETRANSLATE(C331, ""en"", ""fr"")"),"marathon")</f>
        <v>marathon</v>
      </c>
      <c r="G331" s="8" t="str">
        <f>IFERROR(__xludf.DUMMYFUNCTION("GOOGLETRANSLATE(C331, ""en"", ""de"")"),"Marathon")</f>
        <v>Marathon</v>
      </c>
      <c r="H331" s="8" t="str">
        <f>IFERROR(__xludf.DUMMYFUNCTION("GOOGLETRANSLATE(C331, ""en"", ""ru"")"),"марафон")</f>
        <v>марафон</v>
      </c>
      <c r="I331" s="8" t="str">
        <f>IFERROR(__xludf.DUMMYFUNCTION("GOOGLETRANSLATE(C331, ""en"", ""ar"")"),"ماراثون")</f>
        <v>ماراثون</v>
      </c>
      <c r="J331" s="8"/>
      <c r="K331" s="7" t="str">
        <f>IFERROR(__xludf.DUMMYFUNCTION("CONCAT(REGEXREPLACE(C331,""[ ,]+"",""_""),"".mp3"")"),"marathon.mp3")</f>
        <v>marathon.mp3</v>
      </c>
      <c r="M331" s="4" t="s">
        <v>10</v>
      </c>
    </row>
    <row r="332" ht="15.75" customHeight="1">
      <c r="A332" s="1">
        <v>1700.0</v>
      </c>
      <c r="B332" s="3">
        <v>143.0</v>
      </c>
      <c r="C332" s="7" t="s">
        <v>386</v>
      </c>
      <c r="D332" s="8" t="str">
        <f>IFERROR(__xludf.DUMMYFUNCTION("GOOGLETRANSLATE(C332, ""en"", ""pt"")"),"corrida de obstáculos")</f>
        <v>corrida de obstáculos</v>
      </c>
      <c r="E332" s="8" t="str">
        <f>IFERROR(__xludf.DUMMYFUNCTION("GOOGLETRANSLATE(C332, ""en"", ""es"")"),"salto de vallas")</f>
        <v>salto de vallas</v>
      </c>
      <c r="F332" s="8" t="str">
        <f>IFERROR(__xludf.DUMMYFUNCTION("GOOGLETRANSLATE(C332, ""en"", ""fr"")"),"haies")</f>
        <v>haies</v>
      </c>
      <c r="G332" s="8" t="str">
        <f>IFERROR(__xludf.DUMMYFUNCTION("GOOGLETRANSLATE(C332, ""en"", ""de"")"),"Hürdenlauf")</f>
        <v>Hürdenlauf</v>
      </c>
      <c r="H332" s="8" t="str">
        <f>IFERROR(__xludf.DUMMYFUNCTION("GOOGLETRANSLATE(C332, ""en"", ""ru"")"),"преодоление препятствий")</f>
        <v>преодоление препятствий</v>
      </c>
      <c r="I332" s="8" t="str">
        <f>IFERROR(__xludf.DUMMYFUNCTION("GOOGLETRANSLATE(C332, ""en"", ""ar"")"),"القفز فوق الحواجز")</f>
        <v>القفز فوق الحواجز</v>
      </c>
      <c r="J332" s="8"/>
      <c r="K332" s="7" t="str">
        <f>IFERROR(__xludf.DUMMYFUNCTION("CONCAT(REGEXREPLACE(C332,""[ ,]+"",""_""),"".mp3"")"),"hurdling.mp3")</f>
        <v>hurdling.mp3</v>
      </c>
      <c r="M332" s="4" t="s">
        <v>10</v>
      </c>
    </row>
    <row r="333" ht="15.75" customHeight="1">
      <c r="A333" s="1">
        <v>1701.0</v>
      </c>
      <c r="B333" s="3">
        <v>143.0</v>
      </c>
      <c r="C333" s="7" t="s">
        <v>387</v>
      </c>
      <c r="D333" s="8" t="str">
        <f>IFERROR(__xludf.DUMMYFUNCTION("GOOGLETRANSLATE(C333, ""en"", ""pt"")"),"salto em distância")</f>
        <v>salto em distância</v>
      </c>
      <c r="E333" s="8" t="str">
        <f>IFERROR(__xludf.DUMMYFUNCTION("GOOGLETRANSLATE(C333, ""en"", ""es"")"),"salto de longitud")</f>
        <v>salto de longitud</v>
      </c>
      <c r="F333" s="8" t="str">
        <f>IFERROR(__xludf.DUMMYFUNCTION("GOOGLETRANSLATE(C333, ""en"", ""fr"")"),"saut en longueur")</f>
        <v>saut en longueur</v>
      </c>
      <c r="G333" s="8" t="str">
        <f>IFERROR(__xludf.DUMMYFUNCTION("GOOGLETRANSLATE(C333, ""en"", ""de"")"),"Weitsprung")</f>
        <v>Weitsprung</v>
      </c>
      <c r="H333" s="8" t="str">
        <f>IFERROR(__xludf.DUMMYFUNCTION("GOOGLETRANSLATE(C333, ""en"", ""ru"")"),"прыжок в длину")</f>
        <v>прыжок в длину</v>
      </c>
      <c r="I333" s="8" t="str">
        <f>IFERROR(__xludf.DUMMYFUNCTION("GOOGLETRANSLATE(C333, ""en"", ""ar"")"),"القفز الطويل")</f>
        <v>القفز الطويل</v>
      </c>
      <c r="J333" s="8"/>
      <c r="K333" s="7" t="str">
        <f>IFERROR(__xludf.DUMMYFUNCTION("CONCAT(REGEXREPLACE(C333,""[ ,]+"",""_""),"".mp3"")"),"long_jump.mp3")</f>
        <v>long_jump.mp3</v>
      </c>
      <c r="M333" s="4" t="s">
        <v>10</v>
      </c>
    </row>
    <row r="334" ht="15.75" customHeight="1">
      <c r="A334" s="1">
        <v>1702.0</v>
      </c>
      <c r="B334" s="3">
        <v>143.0</v>
      </c>
      <c r="C334" s="7" t="s">
        <v>388</v>
      </c>
      <c r="D334" s="8" t="str">
        <f>IFERROR(__xludf.DUMMYFUNCTION("GOOGLETRANSLATE(C334, ""en"", ""pt"")"),"salto em altura")</f>
        <v>salto em altura</v>
      </c>
      <c r="E334" s="8" t="str">
        <f>IFERROR(__xludf.DUMMYFUNCTION("GOOGLETRANSLATE(C334, ""en"", ""es"")"),"salto de altura")</f>
        <v>salto de altura</v>
      </c>
      <c r="F334" s="8" t="str">
        <f>IFERROR(__xludf.DUMMYFUNCTION("GOOGLETRANSLATE(C334, ""en"", ""fr"")"),"saut en hauteur")</f>
        <v>saut en hauteur</v>
      </c>
      <c r="G334" s="8" t="str">
        <f>IFERROR(__xludf.DUMMYFUNCTION("GOOGLETRANSLATE(C334, ""en"", ""de"")"),"Hochsprung")</f>
        <v>Hochsprung</v>
      </c>
      <c r="H334" s="8" t="str">
        <f>IFERROR(__xludf.DUMMYFUNCTION("GOOGLETRANSLATE(C334, ""en"", ""ru"")"),"прыжки в высоту")</f>
        <v>прыжки в высоту</v>
      </c>
      <c r="I334" s="8" t="str">
        <f>IFERROR(__xludf.DUMMYFUNCTION("GOOGLETRANSLATE(C334, ""en"", ""ar"")"),"القفز العالي")</f>
        <v>القفز العالي</v>
      </c>
      <c r="J334" s="8"/>
      <c r="K334" s="7" t="str">
        <f>IFERROR(__xludf.DUMMYFUNCTION("CONCAT(REGEXREPLACE(C334,""[ ,]+"",""_""),"".mp3"")"),"high_jump.mp3")</f>
        <v>high_jump.mp3</v>
      </c>
      <c r="M334" s="4" t="s">
        <v>10</v>
      </c>
    </row>
    <row r="335" ht="15.75" customHeight="1">
      <c r="A335" s="1">
        <v>1703.0</v>
      </c>
      <c r="B335" s="3">
        <v>143.0</v>
      </c>
      <c r="C335" s="7" t="s">
        <v>389</v>
      </c>
      <c r="D335" s="8" t="str">
        <f>IFERROR(__xludf.DUMMYFUNCTION("GOOGLETRANSLATE(C335, ""en"", ""pt"")"),"salto com vara")</f>
        <v>salto com vara</v>
      </c>
      <c r="E335" s="8" t="str">
        <f>IFERROR(__xludf.DUMMYFUNCTION("GOOGLETRANSLATE(C335, ""en"", ""es"")"),"salto con pértiga")</f>
        <v>salto con pértiga</v>
      </c>
      <c r="F335" s="8" t="str">
        <f>IFERROR(__xludf.DUMMYFUNCTION("GOOGLETRANSLATE(C335, ""en"", ""fr"")"),"saut à la perche")</f>
        <v>saut à la perche</v>
      </c>
      <c r="G335" s="8" t="str">
        <f>IFERROR(__xludf.DUMMYFUNCTION("GOOGLETRANSLATE(C335, ""en"", ""de"")"),"Stabhochsprung")</f>
        <v>Stabhochsprung</v>
      </c>
      <c r="H335" s="8" t="str">
        <f>IFERROR(__xludf.DUMMYFUNCTION("GOOGLETRANSLATE(C335, ""en"", ""ru"")"),"прыжки с шестом")</f>
        <v>прыжки с шестом</v>
      </c>
      <c r="I335" s="8" t="str">
        <f>IFERROR(__xludf.DUMMYFUNCTION("GOOGLETRANSLATE(C335, ""en"", ""ar"")"),"القفز بالزانة")</f>
        <v>القفز بالزانة</v>
      </c>
      <c r="J335" s="8"/>
      <c r="K335" s="7" t="str">
        <f>IFERROR(__xludf.DUMMYFUNCTION("CONCAT(REGEXREPLACE(C335,""[ ,]+"",""_""),"".mp3"")"),"pole_vault.mp3")</f>
        <v>pole_vault.mp3</v>
      </c>
      <c r="M335" s="4" t="s">
        <v>10</v>
      </c>
    </row>
    <row r="336" ht="15.75" customHeight="1">
      <c r="A336" s="1">
        <v>1704.0</v>
      </c>
      <c r="B336" s="3">
        <v>143.0</v>
      </c>
      <c r="C336" s="7" t="s">
        <v>390</v>
      </c>
      <c r="D336" s="8" t="str">
        <f>IFERROR(__xludf.DUMMYFUNCTION("GOOGLETRANSLATE(C336, ""en"", ""pt"")"),"salto triplo")</f>
        <v>salto triplo</v>
      </c>
      <c r="E336" s="8" t="str">
        <f>IFERROR(__xludf.DUMMYFUNCTION("GOOGLETRANSLATE(C336, ""en"", ""es"")"),"triple salto")</f>
        <v>triple salto</v>
      </c>
      <c r="F336" s="8" t="str">
        <f>IFERROR(__xludf.DUMMYFUNCTION("GOOGLETRANSLATE(C336, ""en"", ""fr"")"),"triple saut")</f>
        <v>triple saut</v>
      </c>
      <c r="G336" s="8" t="str">
        <f>IFERROR(__xludf.DUMMYFUNCTION("GOOGLETRANSLATE(C336, ""en"", ""de"")"),"Dreisprung")</f>
        <v>Dreisprung</v>
      </c>
      <c r="H336" s="8" t="str">
        <f>IFERROR(__xludf.DUMMYFUNCTION("GOOGLETRANSLATE(C336, ""en"", ""ru"")"),"тройной прыжок")</f>
        <v>тройной прыжок</v>
      </c>
      <c r="I336" s="8" t="str">
        <f>IFERROR(__xludf.DUMMYFUNCTION("GOOGLETRANSLATE(C336, ""en"", ""ar"")"),"القفز الثلاثي")</f>
        <v>القفز الثلاثي</v>
      </c>
      <c r="J336" s="8"/>
      <c r="K336" s="7" t="str">
        <f>IFERROR(__xludf.DUMMYFUNCTION("CONCAT(REGEXREPLACE(C336,""[ ,]+"",""_""),"".mp3"")"),"triple_jump.mp3")</f>
        <v>triple_jump.mp3</v>
      </c>
      <c r="M336" s="4" t="s">
        <v>10</v>
      </c>
    </row>
    <row r="337" ht="15.75" customHeight="1">
      <c r="A337" s="1">
        <v>1705.0</v>
      </c>
      <c r="B337" s="3">
        <v>143.0</v>
      </c>
      <c r="C337" s="7" t="s">
        <v>391</v>
      </c>
      <c r="D337" s="8" t="str">
        <f>IFERROR(__xludf.DUMMYFUNCTION("GOOGLETRANSLATE(C337, ""en"", ""pt"")"),"arremesso de peso")</f>
        <v>arremesso de peso</v>
      </c>
      <c r="E337" s="8" t="str">
        <f>IFERROR(__xludf.DUMMYFUNCTION("GOOGLETRANSLATE(C337, ""en"", ""es"")"),"lanzamiento de peso")</f>
        <v>lanzamiento de peso</v>
      </c>
      <c r="F337" s="8" t="str">
        <f>IFERROR(__xludf.DUMMYFUNCTION("GOOGLETRANSLATE(C337, ""en"", ""fr"")"),"lancer du poids")</f>
        <v>lancer du poids</v>
      </c>
      <c r="G337" s="8" t="str">
        <f>IFERROR(__xludf.DUMMYFUNCTION("GOOGLETRANSLATE(C337, ""en"", ""de"")"),"Kugelstoßen")</f>
        <v>Kugelstoßen</v>
      </c>
      <c r="H337" s="8" t="str">
        <f>IFERROR(__xludf.DUMMYFUNCTION("GOOGLETRANSLATE(C337, ""en"", ""ru"")"),"толкание ядра")</f>
        <v>толкание ядра</v>
      </c>
      <c r="I337" s="8" t="str">
        <f>IFERROR(__xludf.DUMMYFUNCTION("GOOGLETRANSLATE(C337, ""en"", ""ar"")"),"رمي الجلة")</f>
        <v>رمي الجلة</v>
      </c>
      <c r="J337" s="8"/>
      <c r="K337" s="7" t="str">
        <f>IFERROR(__xludf.DUMMYFUNCTION("CONCAT(REGEXREPLACE(C337,""[ ,]+"",""_""),"".mp3"")"),"shot_put.mp3")</f>
        <v>shot_put.mp3</v>
      </c>
      <c r="M337" s="4" t="s">
        <v>10</v>
      </c>
    </row>
    <row r="338" ht="15.75" customHeight="1">
      <c r="A338" s="1">
        <v>1706.0</v>
      </c>
      <c r="B338" s="3">
        <v>143.0</v>
      </c>
      <c r="C338" s="7" t="s">
        <v>392</v>
      </c>
      <c r="D338" s="8" t="str">
        <f>IFERROR(__xludf.DUMMYFUNCTION("GOOGLETRANSLATE(C338, ""en"", ""pt"")"),"lançamento de disco")</f>
        <v>lançamento de disco</v>
      </c>
      <c r="E338" s="8" t="str">
        <f>IFERROR(__xludf.DUMMYFUNCTION("GOOGLETRANSLATE(C338, ""en"", ""es"")"),"lanzamiento de disco")</f>
        <v>lanzamiento de disco</v>
      </c>
      <c r="F338" s="8" t="str">
        <f>IFERROR(__xludf.DUMMYFUNCTION("GOOGLETRANSLATE(C338, ""en"", ""fr"")"),"lancer de disque")</f>
        <v>lancer de disque</v>
      </c>
      <c r="G338" s="8" t="str">
        <f>IFERROR(__xludf.DUMMYFUNCTION("GOOGLETRANSLATE(C338, ""en"", ""de"")"),"Diskuswurf")</f>
        <v>Diskuswurf</v>
      </c>
      <c r="H338" s="8" t="str">
        <f>IFERROR(__xludf.DUMMYFUNCTION("GOOGLETRANSLATE(C338, ""en"", ""ru"")"),"метание диска")</f>
        <v>метание диска</v>
      </c>
      <c r="I338" s="8" t="str">
        <f>IFERROR(__xludf.DUMMYFUNCTION("GOOGLETRANSLATE(C338, ""en"", ""ar"")"),"رمي القرص")</f>
        <v>رمي القرص</v>
      </c>
      <c r="J338" s="8"/>
      <c r="K338" s="7" t="str">
        <f>IFERROR(__xludf.DUMMYFUNCTION("CONCAT(REGEXREPLACE(C338,""[ ,]+"",""_""),"".mp3"")"),"discus_throw.mp3")</f>
        <v>discus_throw.mp3</v>
      </c>
      <c r="M338" s="4" t="s">
        <v>10</v>
      </c>
    </row>
    <row r="339" ht="15.75" customHeight="1">
      <c r="A339" s="1">
        <v>1707.0</v>
      </c>
      <c r="B339" s="3">
        <v>143.0</v>
      </c>
      <c r="C339" s="7" t="s">
        <v>393</v>
      </c>
      <c r="D339" s="8" t="str">
        <f>IFERROR(__xludf.DUMMYFUNCTION("GOOGLETRANSLATE(C339, ""en"", ""pt"")"),"lançamento de dardo")</f>
        <v>lançamento de dardo</v>
      </c>
      <c r="E339" s="8" t="str">
        <f>IFERROR(__xludf.DUMMYFUNCTION("GOOGLETRANSLATE(C339, ""en"", ""es"")"),"lanzamiento de jabalina")</f>
        <v>lanzamiento de jabalina</v>
      </c>
      <c r="F339" s="8" t="str">
        <f>IFERROR(__xludf.DUMMYFUNCTION("GOOGLETRANSLATE(C339, ""en"", ""fr"")"),"lancer de javelot")</f>
        <v>lancer de javelot</v>
      </c>
      <c r="G339" s="8" t="str">
        <f>IFERROR(__xludf.DUMMYFUNCTION("GOOGLETRANSLATE(C339, ""en"", ""de"")"),"Speerwurf")</f>
        <v>Speerwurf</v>
      </c>
      <c r="H339" s="8" t="str">
        <f>IFERROR(__xludf.DUMMYFUNCTION("GOOGLETRANSLATE(C339, ""en"", ""ru"")"),"метание копья")</f>
        <v>метание копья</v>
      </c>
      <c r="I339" s="8" t="str">
        <f>IFERROR(__xludf.DUMMYFUNCTION("GOOGLETRANSLATE(C339, ""en"", ""ar"")"),"رمي الرمح")</f>
        <v>رمي الرمح</v>
      </c>
      <c r="J339" s="8"/>
      <c r="K339" s="7" t="str">
        <f>IFERROR(__xludf.DUMMYFUNCTION("CONCAT(REGEXREPLACE(C339,""[ ,]+"",""_""),"".mp3"")"),"javelin_throw.mp3")</f>
        <v>javelin_throw.mp3</v>
      </c>
      <c r="M339" s="4" t="s">
        <v>10</v>
      </c>
    </row>
    <row r="340" ht="15.75" customHeight="1">
      <c r="A340" s="1">
        <v>1708.0</v>
      </c>
      <c r="B340" s="3">
        <v>143.0</v>
      </c>
      <c r="C340" s="7" t="s">
        <v>394</v>
      </c>
      <c r="D340" s="8" t="str">
        <f>IFERROR(__xludf.DUMMYFUNCTION("GOOGLETRANSLATE(C340, ""en"", ""pt"")"),"decatlo")</f>
        <v>decatlo</v>
      </c>
      <c r="E340" s="8" t="str">
        <f>IFERROR(__xludf.DUMMYFUNCTION("GOOGLETRANSLATE(C340, ""en"", ""es"")"),"decatlón")</f>
        <v>decatlón</v>
      </c>
      <c r="F340" s="8" t="str">
        <f>IFERROR(__xludf.DUMMYFUNCTION("GOOGLETRANSLATE(C340, ""en"", ""fr"")"),"décathlon")</f>
        <v>décathlon</v>
      </c>
      <c r="G340" s="8" t="str">
        <f>IFERROR(__xludf.DUMMYFUNCTION("GOOGLETRANSLATE(C340, ""en"", ""de"")"),"Zehnkampf")</f>
        <v>Zehnkampf</v>
      </c>
      <c r="H340" s="8" t="str">
        <f>IFERROR(__xludf.DUMMYFUNCTION("GOOGLETRANSLATE(C340, ""en"", ""ru"")"),"десятиборье")</f>
        <v>десятиборье</v>
      </c>
      <c r="I340" s="8" t="str">
        <f>IFERROR(__xludf.DUMMYFUNCTION("GOOGLETRANSLATE(C340, ""en"", ""ar"")"),"العشاري")</f>
        <v>العشاري</v>
      </c>
      <c r="J340" s="8"/>
      <c r="K340" s="7" t="str">
        <f>IFERROR(__xludf.DUMMYFUNCTION("CONCAT(REGEXREPLACE(C340,""[ ,]+"",""_""),"".mp3"")"),"decathlon.mp3")</f>
        <v>decathlon.mp3</v>
      </c>
      <c r="M340" s="4" t="s">
        <v>10</v>
      </c>
    </row>
    <row r="341" ht="15.75" customHeight="1">
      <c r="A341" s="1">
        <v>1709.0</v>
      </c>
      <c r="B341" s="3">
        <v>143.0</v>
      </c>
      <c r="C341" s="7" t="s">
        <v>395</v>
      </c>
      <c r="D341" s="8" t="str">
        <f>IFERROR(__xludf.DUMMYFUNCTION("GOOGLETRANSLATE(C341, ""en"", ""pt"")"),"heptatlo")</f>
        <v>heptatlo</v>
      </c>
      <c r="E341" s="8" t="str">
        <f>IFERROR(__xludf.DUMMYFUNCTION("GOOGLETRANSLATE(C341, ""en"", ""es"")"),"heptatlón")</f>
        <v>heptatlón</v>
      </c>
      <c r="F341" s="8" t="str">
        <f>IFERROR(__xludf.DUMMYFUNCTION("GOOGLETRANSLATE(C341, ""en"", ""fr"")"),"heptathlon")</f>
        <v>heptathlon</v>
      </c>
      <c r="G341" s="8" t="str">
        <f>IFERROR(__xludf.DUMMYFUNCTION("GOOGLETRANSLATE(C341, ""en"", ""de"")"),"Siebenkampf")</f>
        <v>Siebenkampf</v>
      </c>
      <c r="H341" s="8" t="str">
        <f>IFERROR(__xludf.DUMMYFUNCTION("GOOGLETRANSLATE(C341, ""en"", ""ru"")"),"семиборье")</f>
        <v>семиборье</v>
      </c>
      <c r="I341" s="8" t="str">
        <f>IFERROR(__xludf.DUMMYFUNCTION("GOOGLETRANSLATE(C341, ""en"", ""ar"")"),"السباعي")</f>
        <v>السباعي</v>
      </c>
      <c r="J341" s="8"/>
      <c r="K341" s="7" t="str">
        <f>IFERROR(__xludf.DUMMYFUNCTION("CONCAT(REGEXREPLACE(C341,""[ ,]+"",""_""),"".mp3"")"),"heptathlon.mp3")</f>
        <v>heptathlon.mp3</v>
      </c>
      <c r="M341" s="4" t="s">
        <v>10</v>
      </c>
    </row>
    <row r="342" ht="15.75" customHeight="1">
      <c r="A342" s="1">
        <v>1710.0</v>
      </c>
      <c r="B342" s="3">
        <v>143.0</v>
      </c>
      <c r="C342" s="7" t="s">
        <v>396</v>
      </c>
      <c r="D342" s="8" t="str">
        <f>IFERROR(__xludf.DUMMYFUNCTION("GOOGLETRANSLATE(C342, ""en"", ""pt"")"),"triatlo")</f>
        <v>triatlo</v>
      </c>
      <c r="E342" s="8" t="str">
        <f>IFERROR(__xludf.DUMMYFUNCTION("GOOGLETRANSLATE(C342, ""en"", ""es"")"),"triatlón")</f>
        <v>triatlón</v>
      </c>
      <c r="F342" s="8" t="str">
        <f>IFERROR(__xludf.DUMMYFUNCTION("GOOGLETRANSLATE(C342, ""en"", ""fr"")"),"triathlon")</f>
        <v>triathlon</v>
      </c>
      <c r="G342" s="8" t="str">
        <f>IFERROR(__xludf.DUMMYFUNCTION("GOOGLETRANSLATE(C342, ""en"", ""de"")"),"Triathlon")</f>
        <v>Triathlon</v>
      </c>
      <c r="H342" s="8" t="str">
        <f>IFERROR(__xludf.DUMMYFUNCTION("GOOGLETRANSLATE(C342, ""en"", ""ru"")"),"триатлон")</f>
        <v>триатлон</v>
      </c>
      <c r="I342" s="8" t="str">
        <f>IFERROR(__xludf.DUMMYFUNCTION("GOOGLETRANSLATE(C342, ""en"", ""ar"")"),"الترياتلون")</f>
        <v>الترياتلون</v>
      </c>
      <c r="J342" s="8"/>
      <c r="K342" s="7" t="str">
        <f>IFERROR(__xludf.DUMMYFUNCTION("CONCAT(REGEXREPLACE(C342,""[ ,]+"",""_""),"".mp3"")"),"triathlon.mp3")</f>
        <v>triathlon.mp3</v>
      </c>
      <c r="M342" s="4" t="s">
        <v>10</v>
      </c>
    </row>
    <row r="343" ht="15.75" customHeight="1">
      <c r="A343" s="1">
        <v>1711.0</v>
      </c>
      <c r="B343" s="3">
        <v>143.0</v>
      </c>
      <c r="C343" s="7" t="s">
        <v>397</v>
      </c>
      <c r="D343" s="8" t="str">
        <f>IFERROR(__xludf.DUMMYFUNCTION("GOOGLETRANSLATE(C343, ""en"", ""pt"")"),"pentatlo")</f>
        <v>pentatlo</v>
      </c>
      <c r="E343" s="8" t="str">
        <f>IFERROR(__xludf.DUMMYFUNCTION("GOOGLETRANSLATE(C343, ""en"", ""es"")"),"pentatlón")</f>
        <v>pentatlón</v>
      </c>
      <c r="F343" s="8" t="str">
        <f>IFERROR(__xludf.DUMMYFUNCTION("GOOGLETRANSLATE(C343, ""en"", ""fr"")"),"pentathlon")</f>
        <v>pentathlon</v>
      </c>
      <c r="G343" s="8" t="str">
        <f>IFERROR(__xludf.DUMMYFUNCTION("GOOGLETRANSLATE(C343, ""en"", ""de"")"),"Fünfkampf")</f>
        <v>Fünfkampf</v>
      </c>
      <c r="H343" s="8" t="str">
        <f>IFERROR(__xludf.DUMMYFUNCTION("GOOGLETRANSLATE(C343, ""en"", ""ru"")"),"пятиборье")</f>
        <v>пятиборье</v>
      </c>
      <c r="I343" s="8" t="str">
        <f>IFERROR(__xludf.DUMMYFUNCTION("GOOGLETRANSLATE(C343, ""en"", ""ar"")"),"الخماسي")</f>
        <v>الخماسي</v>
      </c>
      <c r="J343" s="8"/>
      <c r="K343" s="7" t="str">
        <f>IFERROR(__xludf.DUMMYFUNCTION("CONCAT(REGEXREPLACE(C343,""[ ,]+"",""_""),"".mp3"")"),"pentathlon.mp3")</f>
        <v>pentathlon.mp3</v>
      </c>
      <c r="M343" s="4" t="s">
        <v>10</v>
      </c>
    </row>
    <row r="344" ht="15.75" customHeight="1">
      <c r="A344" s="1">
        <v>1712.0</v>
      </c>
      <c r="B344" s="3">
        <v>143.0</v>
      </c>
      <c r="C344" s="7" t="s">
        <v>398</v>
      </c>
      <c r="D344" s="8" t="str">
        <f>IFERROR(__xludf.DUMMYFUNCTION("GOOGLETRANSLATE(C344, ""en"", ""pt"")"),"ciclismo")</f>
        <v>ciclismo</v>
      </c>
      <c r="E344" s="8" t="str">
        <f>IFERROR(__xludf.DUMMYFUNCTION("GOOGLETRANSLATE(C344, ""en"", ""es"")"),"ciclismo")</f>
        <v>ciclismo</v>
      </c>
      <c r="F344" s="8" t="str">
        <f>IFERROR(__xludf.DUMMYFUNCTION("GOOGLETRANSLATE(C344, ""en"", ""fr"")"),"vélo")</f>
        <v>vélo</v>
      </c>
      <c r="G344" s="8" t="str">
        <f>IFERROR(__xludf.DUMMYFUNCTION("GOOGLETRANSLATE(C344, ""en"", ""de"")"),"Radfahren")</f>
        <v>Radfahren</v>
      </c>
      <c r="H344" s="8" t="str">
        <f>IFERROR(__xludf.DUMMYFUNCTION("GOOGLETRANSLATE(C344, ""en"", ""ru"")"),"велоспорт")</f>
        <v>велоспорт</v>
      </c>
      <c r="I344" s="8" t="str">
        <f>IFERROR(__xludf.DUMMYFUNCTION("GOOGLETRANSLATE(C344, ""en"", ""ar"")"),"ركوب الدراجات")</f>
        <v>ركوب الدراجات</v>
      </c>
      <c r="J344" s="8"/>
      <c r="K344" s="7" t="str">
        <f>IFERROR(__xludf.DUMMYFUNCTION("CONCAT(REGEXREPLACE(C344,""[ ,]+"",""_""),"".mp3"")"),"cycling.mp3")</f>
        <v>cycling.mp3</v>
      </c>
      <c r="M344" s="4" t="s">
        <v>10</v>
      </c>
    </row>
    <row r="345" ht="15.75" customHeight="1">
      <c r="A345" s="1">
        <v>1713.0</v>
      </c>
      <c r="B345" s="3">
        <v>143.0</v>
      </c>
      <c r="C345" s="7" t="s">
        <v>399</v>
      </c>
      <c r="D345" s="8" t="str">
        <f>IFERROR(__xludf.DUMMYFUNCTION("GOOGLETRANSLATE(C345, ""en"", ""pt"")"),"ciclismo de montanha")</f>
        <v>ciclismo de montanha</v>
      </c>
      <c r="E345" s="8" t="str">
        <f>IFERROR(__xludf.DUMMYFUNCTION("GOOGLETRANSLATE(C345, ""en"", ""es"")"),"ciclismo de montaña")</f>
        <v>ciclismo de montaña</v>
      </c>
      <c r="F345" s="8" t="str">
        <f>IFERROR(__xludf.DUMMYFUNCTION("GOOGLETRANSLATE(C345, ""en"", ""fr"")"),"VTT")</f>
        <v>VTT</v>
      </c>
      <c r="G345" s="8" t="str">
        <f>IFERROR(__xludf.DUMMYFUNCTION("GOOGLETRANSLATE(C345, ""en"", ""de"")"),"Mountainbiken")</f>
        <v>Mountainbiken</v>
      </c>
      <c r="H345" s="8" t="str">
        <f>IFERROR(__xludf.DUMMYFUNCTION("GOOGLETRANSLATE(C345, ""en"", ""ru"")"),"горный велосипед")</f>
        <v>горный велосипед</v>
      </c>
      <c r="I345" s="8" t="str">
        <f>IFERROR(__xludf.DUMMYFUNCTION("GOOGLETRANSLATE(C345, ""en"", ""ar"")"),"ركوب الدراجات الجبلية")</f>
        <v>ركوب الدراجات الجبلية</v>
      </c>
      <c r="J345" s="8"/>
      <c r="K345" s="7" t="str">
        <f>IFERROR(__xludf.DUMMYFUNCTION("CONCAT(REGEXREPLACE(C345,""[ ,]+"",""_""),"".mp3"")"),"mountain_biking.mp3")</f>
        <v>mountain_biking.mp3</v>
      </c>
      <c r="M345" s="4" t="s">
        <v>10</v>
      </c>
    </row>
    <row r="346" ht="15.75" customHeight="1">
      <c r="A346" s="1">
        <v>1714.0</v>
      </c>
      <c r="B346" s="3">
        <v>143.0</v>
      </c>
      <c r="C346" s="7" t="s">
        <v>400</v>
      </c>
      <c r="D346" s="8" t="str">
        <f>IFERROR(__xludf.DUMMYFUNCTION("GOOGLETRANSLATE(C346, ""en"", ""pt"")"),"BMX")</f>
        <v>BMX</v>
      </c>
      <c r="E346" s="8" t="str">
        <f>IFERROR(__xludf.DUMMYFUNCTION("GOOGLETRANSLATE(C346, ""en"", ""es"")"),"BMX")</f>
        <v>BMX</v>
      </c>
      <c r="F346" s="8" t="str">
        <f>IFERROR(__xludf.DUMMYFUNCTION("GOOGLETRANSLATE(C346, ""en"", ""fr"")"),"BMX")</f>
        <v>BMX</v>
      </c>
      <c r="G346" s="8" t="str">
        <f>IFERROR(__xludf.DUMMYFUNCTION("GOOGLETRANSLATE(C346, ""en"", ""de"")"),"BMX")</f>
        <v>BMX</v>
      </c>
      <c r="H346" s="8" t="str">
        <f>IFERROR(__xludf.DUMMYFUNCTION("GOOGLETRANSLATE(C346, ""en"", ""ru"")"),"BMX")</f>
        <v>BMX</v>
      </c>
      <c r="I346" s="8" t="str">
        <f>IFERROR(__xludf.DUMMYFUNCTION("GOOGLETRANSLATE(C346, ""en"", ""ar"")"),"بي إم إكس")</f>
        <v>بي إم إكس</v>
      </c>
      <c r="J346" s="8"/>
      <c r="K346" s="7" t="str">
        <f>IFERROR(__xludf.DUMMYFUNCTION("CONCAT(REGEXREPLACE(C346,""[ ,]+"",""_""),"".mp3"")"),"BMX.mp3")</f>
        <v>BMX.mp3</v>
      </c>
      <c r="M346" s="4" t="s">
        <v>10</v>
      </c>
    </row>
    <row r="347" ht="15.75" customHeight="1">
      <c r="A347" s="1">
        <v>1715.0</v>
      </c>
      <c r="B347" s="3">
        <v>143.0</v>
      </c>
      <c r="C347" s="7" t="s">
        <v>401</v>
      </c>
      <c r="D347" s="8" t="str">
        <f>IFERROR(__xludf.DUMMYFUNCTION("GOOGLETRANSLATE(C347, ""en"", ""pt"")"),"ginástica")</f>
        <v>ginástica</v>
      </c>
      <c r="E347" s="8" t="str">
        <f>IFERROR(__xludf.DUMMYFUNCTION("GOOGLETRANSLATE(C347, ""en"", ""es"")"),"gimnasia")</f>
        <v>gimnasia</v>
      </c>
      <c r="F347" s="8" t="str">
        <f>IFERROR(__xludf.DUMMYFUNCTION("GOOGLETRANSLATE(C347, ""en"", ""fr"")"),"gymnastique")</f>
        <v>gymnastique</v>
      </c>
      <c r="G347" s="8" t="str">
        <f>IFERROR(__xludf.DUMMYFUNCTION("GOOGLETRANSLATE(C347, ""en"", ""de"")"),"Gymnastik")</f>
        <v>Gymnastik</v>
      </c>
      <c r="H347" s="8" t="str">
        <f>IFERROR(__xludf.DUMMYFUNCTION("GOOGLETRANSLATE(C347, ""en"", ""ru"")"),"гимнастика")</f>
        <v>гимнастика</v>
      </c>
      <c r="I347" s="8" t="str">
        <f>IFERROR(__xludf.DUMMYFUNCTION("GOOGLETRANSLATE(C347, ""en"", ""ar"")"),"الجمباز")</f>
        <v>الجمباز</v>
      </c>
      <c r="J347" s="8"/>
      <c r="K347" s="7" t="str">
        <f>IFERROR(__xludf.DUMMYFUNCTION("CONCAT(REGEXREPLACE(C347,""[ ,]+"",""_""),"".mp3"")"),"gymnastics.mp3")</f>
        <v>gymnastics.mp3</v>
      </c>
      <c r="M347" s="4" t="s">
        <v>10</v>
      </c>
    </row>
    <row r="348" ht="15.75" customHeight="1">
      <c r="A348" s="1">
        <v>1716.0</v>
      </c>
      <c r="B348" s="3">
        <v>143.0</v>
      </c>
      <c r="C348" s="7" t="s">
        <v>402</v>
      </c>
      <c r="D348" s="8" t="str">
        <f>IFERROR(__xludf.DUMMYFUNCTION("GOOGLETRANSLATE(C348, ""en"", ""pt"")"),"ginástica rítmica")</f>
        <v>ginástica rítmica</v>
      </c>
      <c r="E348" s="8" t="str">
        <f>IFERROR(__xludf.DUMMYFUNCTION("GOOGLETRANSLATE(C348, ""en"", ""es"")"),"gimnasia rítmica")</f>
        <v>gimnasia rítmica</v>
      </c>
      <c r="F348" s="8" t="str">
        <f>IFERROR(__xludf.DUMMYFUNCTION("GOOGLETRANSLATE(C348, ""en"", ""fr"")"),"gymnastique rythmique")</f>
        <v>gymnastique rythmique</v>
      </c>
      <c r="G348" s="8" t="str">
        <f>IFERROR(__xludf.DUMMYFUNCTION("GOOGLETRANSLATE(C348, ""en"", ""de"")"),"rhythmische Sportgymnastik")</f>
        <v>rhythmische Sportgymnastik</v>
      </c>
      <c r="H348" s="8" t="str">
        <f>IFERROR(__xludf.DUMMYFUNCTION("GOOGLETRANSLATE(C348, ""en"", ""ru"")"),"художественная гимнастика")</f>
        <v>художественная гимнастика</v>
      </c>
      <c r="I348" s="8" t="str">
        <f>IFERROR(__xludf.DUMMYFUNCTION("GOOGLETRANSLATE(C348, ""en"", ""ar"")"),"الجمباز الإيقاعي")</f>
        <v>الجمباز الإيقاعي</v>
      </c>
      <c r="J348" s="8"/>
      <c r="K348" s="7" t="str">
        <f>IFERROR(__xludf.DUMMYFUNCTION("CONCAT(REGEXREPLACE(C348,""[ ,]+"",""_""),"".mp3"")"),"rhythmic_gymnastics.mp3")</f>
        <v>rhythmic_gymnastics.mp3</v>
      </c>
      <c r="M348" s="4" t="s">
        <v>10</v>
      </c>
    </row>
    <row r="349" ht="15.75" customHeight="1">
      <c r="A349" s="1">
        <v>1717.0</v>
      </c>
      <c r="B349" s="3">
        <v>143.0</v>
      </c>
      <c r="C349" s="7" t="s">
        <v>403</v>
      </c>
      <c r="D349" s="8" t="str">
        <f>IFERROR(__xludf.DUMMYFUNCTION("GOOGLETRANSLATE(C349, ""en"", ""pt"")"),"ginástica artística")</f>
        <v>ginástica artística</v>
      </c>
      <c r="E349" s="8" t="str">
        <f>IFERROR(__xludf.DUMMYFUNCTION("GOOGLETRANSLATE(C349, ""en"", ""es"")"),"gimnasia artística")</f>
        <v>gimnasia artística</v>
      </c>
      <c r="F349" s="8" t="str">
        <f>IFERROR(__xludf.DUMMYFUNCTION("GOOGLETRANSLATE(C349, ""en"", ""fr"")"),"gymnastique artistique")</f>
        <v>gymnastique artistique</v>
      </c>
      <c r="G349" s="8" t="str">
        <f>IFERROR(__xludf.DUMMYFUNCTION("GOOGLETRANSLATE(C349, ""en"", ""de"")"),"Kunstturnen")</f>
        <v>Kunstturnen</v>
      </c>
      <c r="H349" s="8" t="str">
        <f>IFERROR(__xludf.DUMMYFUNCTION("GOOGLETRANSLATE(C349, ""en"", ""ru"")"),"художественная гимнастика")</f>
        <v>художественная гимнастика</v>
      </c>
      <c r="I349" s="8" t="str">
        <f>IFERROR(__xludf.DUMMYFUNCTION("GOOGLETRANSLATE(C349, ""en"", ""ar"")"),"الجمباز الفني")</f>
        <v>الجمباز الفني</v>
      </c>
      <c r="J349" s="8"/>
      <c r="K349" s="7" t="str">
        <f>IFERROR(__xludf.DUMMYFUNCTION("CONCAT(REGEXREPLACE(C349,""[ ,]+"",""_""),"".mp3"")"),"artistic_gymnastics.mp3")</f>
        <v>artistic_gymnastics.mp3</v>
      </c>
      <c r="M349" s="4" t="s">
        <v>10</v>
      </c>
    </row>
    <row r="350" ht="15.75" customHeight="1">
      <c r="A350" s="1">
        <v>1718.0</v>
      </c>
      <c r="B350" s="3">
        <v>143.0</v>
      </c>
      <c r="C350" s="7" t="s">
        <v>404</v>
      </c>
      <c r="D350" s="8" t="str">
        <f>IFERROR(__xludf.DUMMYFUNCTION("GOOGLETRANSLATE(C350, ""en"", ""pt"")"),"levantamento de peso")</f>
        <v>levantamento de peso</v>
      </c>
      <c r="E350" s="8" t="str">
        <f>IFERROR(__xludf.DUMMYFUNCTION("GOOGLETRANSLATE(C350, ""en"", ""es"")"),"levantamiento de pesas")</f>
        <v>levantamiento de pesas</v>
      </c>
      <c r="F350" s="8" t="str">
        <f>IFERROR(__xludf.DUMMYFUNCTION("GOOGLETRANSLATE(C350, ""en"", ""fr"")"),"haltérophilie")</f>
        <v>haltérophilie</v>
      </c>
      <c r="G350" s="8" t="str">
        <f>IFERROR(__xludf.DUMMYFUNCTION("GOOGLETRANSLATE(C350, ""en"", ""de"")"),"Gewichtheben")</f>
        <v>Gewichtheben</v>
      </c>
      <c r="H350" s="8" t="str">
        <f>IFERROR(__xludf.DUMMYFUNCTION("GOOGLETRANSLATE(C350, ""en"", ""ru"")"),"тяжелая атлетика")</f>
        <v>тяжелая атлетика</v>
      </c>
      <c r="I350" s="8" t="str">
        <f>IFERROR(__xludf.DUMMYFUNCTION("GOOGLETRANSLATE(C350, ""en"", ""ar"")"),"رفع الأثقال")</f>
        <v>رفع الأثقال</v>
      </c>
      <c r="J350" s="8"/>
      <c r="K350" s="7" t="str">
        <f>IFERROR(__xludf.DUMMYFUNCTION("CONCAT(REGEXREPLACE(C350,""[ ,]+"",""_""),"".mp3"")"),"weightlifting.mp3")</f>
        <v>weightlifting.mp3</v>
      </c>
      <c r="M350" s="4" t="s">
        <v>10</v>
      </c>
    </row>
    <row r="351" ht="15.75" customHeight="1">
      <c r="A351" s="1">
        <v>1719.0</v>
      </c>
      <c r="B351" s="3">
        <v>143.0</v>
      </c>
      <c r="C351" s="7" t="s">
        <v>405</v>
      </c>
      <c r="D351" s="8" t="str">
        <f>IFERROR(__xludf.DUMMYFUNCTION("GOOGLETRANSLATE(C351, ""en"", ""pt"")"),"levantamento de peso")</f>
        <v>levantamento de peso</v>
      </c>
      <c r="E351" s="8" t="str">
        <f>IFERROR(__xludf.DUMMYFUNCTION("GOOGLETRANSLATE(C351, ""en"", ""es"")"),"levantamiento de pesas")</f>
        <v>levantamiento de pesas</v>
      </c>
      <c r="F351" s="8" t="str">
        <f>IFERROR(__xludf.DUMMYFUNCTION("GOOGLETRANSLATE(C351, ""en"", ""fr"")"),"haltérophilie")</f>
        <v>haltérophilie</v>
      </c>
      <c r="G351" s="8" t="str">
        <f>IFERROR(__xludf.DUMMYFUNCTION("GOOGLETRANSLATE(C351, ""en"", ""de"")"),"Kraftdreikampf")</f>
        <v>Kraftdreikampf</v>
      </c>
      <c r="H351" s="8" t="str">
        <f>IFERROR(__xludf.DUMMYFUNCTION("GOOGLETRANSLATE(C351, ""en"", ""ru"")"),"пауэрлифтинг")</f>
        <v>пауэрлифтинг</v>
      </c>
      <c r="I351" s="8" t="str">
        <f>IFERROR(__xludf.DUMMYFUNCTION("GOOGLETRANSLATE(C351, ""en"", ""ar"")"),"رفع الأثقال")</f>
        <v>رفع الأثقال</v>
      </c>
      <c r="J351" s="8"/>
      <c r="K351" s="7" t="str">
        <f>IFERROR(__xludf.DUMMYFUNCTION("CONCAT(REGEXREPLACE(C351,""[ ,]+"",""_""),"".mp3"")"),"powerlifting.mp3")</f>
        <v>powerlifting.mp3</v>
      </c>
      <c r="M351" s="4" t="s">
        <v>10</v>
      </c>
    </row>
    <row r="352" ht="15.75" customHeight="1">
      <c r="A352" s="1">
        <v>1720.0</v>
      </c>
      <c r="B352" s="3">
        <v>143.0</v>
      </c>
      <c r="C352" s="7" t="s">
        <v>406</v>
      </c>
      <c r="D352" s="8" t="str">
        <f>IFERROR(__xludf.DUMMYFUNCTION("GOOGLETRANSLATE(C352, ""en"", ""pt"")"),"fisiculturismo")</f>
        <v>fisiculturismo</v>
      </c>
      <c r="E352" s="8" t="str">
        <f>IFERROR(__xludf.DUMMYFUNCTION("GOOGLETRANSLATE(C352, ""en"", ""es"")"),"culturismo")</f>
        <v>culturismo</v>
      </c>
      <c r="F352" s="8" t="str">
        <f>IFERROR(__xludf.DUMMYFUNCTION("GOOGLETRANSLATE(C352, ""en"", ""fr"")"),"musculation")</f>
        <v>musculation</v>
      </c>
      <c r="G352" s="8" t="str">
        <f>IFERROR(__xludf.DUMMYFUNCTION("GOOGLETRANSLATE(C352, ""en"", ""de"")"),"Bodybuilding")</f>
        <v>Bodybuilding</v>
      </c>
      <c r="H352" s="8" t="str">
        <f>IFERROR(__xludf.DUMMYFUNCTION("GOOGLETRANSLATE(C352, ""en"", ""ru"")"),"бодибилдинг")</f>
        <v>бодибилдинг</v>
      </c>
      <c r="I352" s="8" t="str">
        <f>IFERROR(__xludf.DUMMYFUNCTION("GOOGLETRANSLATE(C352, ""en"", ""ar"")"),"كمال الأجسام")</f>
        <v>كمال الأجسام</v>
      </c>
      <c r="J352" s="8"/>
      <c r="K352" s="7" t="str">
        <f>IFERROR(__xludf.DUMMYFUNCTION("CONCAT(REGEXREPLACE(C352,""[ ,]+"",""_""),"".mp3"")"),"bodybuilding.mp3")</f>
        <v>bodybuilding.mp3</v>
      </c>
      <c r="M352" s="4" t="s">
        <v>10</v>
      </c>
    </row>
    <row r="353" ht="15.75" customHeight="1">
      <c r="A353" s="1">
        <v>1721.0</v>
      </c>
      <c r="B353" s="3">
        <v>143.0</v>
      </c>
      <c r="C353" s="7" t="s">
        <v>407</v>
      </c>
      <c r="D353" s="8" t="str">
        <f>IFERROR(__xludf.DUMMYFUNCTION("GOOGLETRANSLATE(C353, ""en"", ""pt"")"),"tênis")</f>
        <v>tênis</v>
      </c>
      <c r="E353" s="8" t="str">
        <f>IFERROR(__xludf.DUMMYFUNCTION("GOOGLETRANSLATE(C353, ""en"", ""es"")"),"tenis")</f>
        <v>tenis</v>
      </c>
      <c r="F353" s="8" t="str">
        <f>IFERROR(__xludf.DUMMYFUNCTION("GOOGLETRANSLATE(C353, ""en"", ""fr"")"),"tennis")</f>
        <v>tennis</v>
      </c>
      <c r="G353" s="8" t="str">
        <f>IFERROR(__xludf.DUMMYFUNCTION("GOOGLETRANSLATE(C353, ""en"", ""de"")"),"Tennis")</f>
        <v>Tennis</v>
      </c>
      <c r="H353" s="8" t="str">
        <f>IFERROR(__xludf.DUMMYFUNCTION("GOOGLETRANSLATE(C353, ""en"", ""ru"")"),"теннис")</f>
        <v>теннис</v>
      </c>
      <c r="I353" s="8" t="str">
        <f>IFERROR(__xludf.DUMMYFUNCTION("GOOGLETRANSLATE(C353, ""en"", ""ar"")"),"التنس")</f>
        <v>التنس</v>
      </c>
      <c r="J353" s="8"/>
      <c r="K353" s="7" t="str">
        <f>IFERROR(__xludf.DUMMYFUNCTION("CONCAT(REGEXREPLACE(C353,""[ ,]+"",""_""),"".mp3"")"),"tennis.mp3")</f>
        <v>tennis.mp3</v>
      </c>
      <c r="M353" s="4" t="s">
        <v>10</v>
      </c>
    </row>
    <row r="354" ht="15.75" customHeight="1">
      <c r="A354" s="1">
        <v>1722.0</v>
      </c>
      <c r="B354" s="3">
        <v>143.0</v>
      </c>
      <c r="C354" s="3" t="s">
        <v>408</v>
      </c>
      <c r="D354" s="8" t="str">
        <f>IFERROR(__xludf.DUMMYFUNCTION("GOOGLETRANSLATE(C354, ""en"", ""pt"")"),"tênis de mesa, pingue-pongue")</f>
        <v>tênis de mesa, pingue-pongue</v>
      </c>
      <c r="E354" s="8" t="str">
        <f>IFERROR(__xludf.DUMMYFUNCTION("GOOGLETRANSLATE(C354, ""en"", ""es"")"),"tenis de mesa, ping pong")</f>
        <v>tenis de mesa, ping pong</v>
      </c>
      <c r="F354" s="8" t="str">
        <f>IFERROR(__xludf.DUMMYFUNCTION("GOOGLETRANSLATE(C354, ""en"", ""fr"")"),"tennis de table, ping-pong")</f>
        <v>tennis de table, ping-pong</v>
      </c>
      <c r="G354" s="8" t="str">
        <f>IFERROR(__xludf.DUMMYFUNCTION("GOOGLETRANSLATE(C354, ""en"", ""de"")"),"Tischtennis, Pingpong")</f>
        <v>Tischtennis, Pingpong</v>
      </c>
      <c r="H354" s="8" t="str">
        <f>IFERROR(__xludf.DUMMYFUNCTION("GOOGLETRANSLATE(C354, ""en"", ""ru"")"),"настольный теннис, пинг-понг")</f>
        <v>настольный теннис, пинг-понг</v>
      </c>
      <c r="I354" s="8" t="str">
        <f>IFERROR(__xludf.DUMMYFUNCTION("GOOGLETRANSLATE(C354, ""en"", ""ar"")"),"تنس الطاولة، بينغ بونغ")</f>
        <v>تنس الطاولة، بينغ بونغ</v>
      </c>
      <c r="J354" s="8"/>
      <c r="K354" s="7" t="str">
        <f>IFERROR(__xludf.DUMMYFUNCTION("CONCAT(REGEXREPLACE(C354,""[ ,]+"",""_""),"".mp3"")"),"table_tennis_ping_pong.mp3")</f>
        <v>table_tennis_ping_pong.mp3</v>
      </c>
      <c r="M354" s="4" t="s">
        <v>10</v>
      </c>
    </row>
    <row r="355" ht="15.75" customHeight="1">
      <c r="A355" s="1">
        <v>1723.0</v>
      </c>
      <c r="B355" s="3">
        <v>143.0</v>
      </c>
      <c r="C355" s="7" t="s">
        <v>409</v>
      </c>
      <c r="D355" s="8" t="str">
        <f>IFERROR(__xludf.DUMMYFUNCTION("GOOGLETRANSLATE(C355, ""en"", ""pt"")"),"badminton")</f>
        <v>badminton</v>
      </c>
      <c r="E355" s="8" t="str">
        <f>IFERROR(__xludf.DUMMYFUNCTION("GOOGLETRANSLATE(C355, ""en"", ""es"")"),"bádminton")</f>
        <v>bádminton</v>
      </c>
      <c r="F355" s="8" t="str">
        <f>IFERROR(__xludf.DUMMYFUNCTION("GOOGLETRANSLATE(C355, ""en"", ""fr"")"),"badminton")</f>
        <v>badminton</v>
      </c>
      <c r="G355" s="8" t="str">
        <f>IFERROR(__xludf.DUMMYFUNCTION("GOOGLETRANSLATE(C355, ""en"", ""de"")"),"Badminton")</f>
        <v>Badminton</v>
      </c>
      <c r="H355" s="8" t="str">
        <f>IFERROR(__xludf.DUMMYFUNCTION("GOOGLETRANSLATE(C355, ""en"", ""ru"")"),"бадминтон")</f>
        <v>бадминтон</v>
      </c>
      <c r="I355" s="8" t="str">
        <f>IFERROR(__xludf.DUMMYFUNCTION("GOOGLETRANSLATE(C355, ""en"", ""ar"")"),"تنس الريشة")</f>
        <v>تنس الريشة</v>
      </c>
      <c r="J355" s="8"/>
      <c r="K355" s="7" t="str">
        <f>IFERROR(__xludf.DUMMYFUNCTION("CONCAT(REGEXREPLACE(C355,""[ ,]+"",""_""),"".mp3"")"),"badminton.mp3")</f>
        <v>badminton.mp3</v>
      </c>
      <c r="M355" s="4" t="s">
        <v>10</v>
      </c>
    </row>
    <row r="356" ht="15.75" customHeight="1">
      <c r="A356" s="1">
        <v>1724.0</v>
      </c>
      <c r="B356" s="3">
        <v>143.0</v>
      </c>
      <c r="C356" s="7" t="s">
        <v>410</v>
      </c>
      <c r="D356" s="8" t="str">
        <f>IFERROR(__xludf.DUMMYFUNCTION("GOOGLETRANSLATE(C356, ""en"", ""pt"")"),"abóbora")</f>
        <v>abóbora</v>
      </c>
      <c r="E356" s="8" t="str">
        <f>IFERROR(__xludf.DUMMYFUNCTION("GOOGLETRANSLATE(C356, ""en"", ""es"")"),"calabaza")</f>
        <v>calabaza</v>
      </c>
      <c r="F356" s="8" t="str">
        <f>IFERROR(__xludf.DUMMYFUNCTION("GOOGLETRANSLATE(C356, ""en"", ""fr"")"),"squash")</f>
        <v>squash</v>
      </c>
      <c r="G356" s="8" t="str">
        <f>IFERROR(__xludf.DUMMYFUNCTION("GOOGLETRANSLATE(C356, ""en"", ""de"")"),"quetschen")</f>
        <v>quetschen</v>
      </c>
      <c r="H356" s="8" t="str">
        <f>IFERROR(__xludf.DUMMYFUNCTION("GOOGLETRANSLATE(C356, ""en"", ""ru"")"),"давить")</f>
        <v>давить</v>
      </c>
      <c r="I356" s="8" t="str">
        <f>IFERROR(__xludf.DUMMYFUNCTION("GOOGLETRANSLATE(C356, ""en"", ""ar"")"),"قرع")</f>
        <v>قرع</v>
      </c>
      <c r="J356" s="8"/>
      <c r="K356" s="7" t="str">
        <f>IFERROR(__xludf.DUMMYFUNCTION("CONCAT(REGEXREPLACE(C356,""[ ,]+"",""_""),"".mp3"")"),"squash.mp3")</f>
        <v>squash.mp3</v>
      </c>
      <c r="M356" s="4" t="s">
        <v>10</v>
      </c>
    </row>
    <row r="357" ht="15.75" customHeight="1">
      <c r="A357" s="1">
        <v>1725.0</v>
      </c>
      <c r="B357" s="3">
        <v>143.0</v>
      </c>
      <c r="C357" s="7" t="s">
        <v>411</v>
      </c>
      <c r="D357" s="8" t="str">
        <f>IFERROR(__xludf.DUMMYFUNCTION("GOOGLETRANSLATE(C357, ""en"", ""pt"")"),"raquetebol")</f>
        <v>raquetebol</v>
      </c>
      <c r="E357" s="8" t="str">
        <f>IFERROR(__xludf.DUMMYFUNCTION("GOOGLETRANSLATE(C357, ""en"", ""es"")"),"ráquetbol")</f>
        <v>ráquetbol</v>
      </c>
      <c r="F357" s="8" t="str">
        <f>IFERROR(__xludf.DUMMYFUNCTION("GOOGLETRANSLATE(C357, ""en"", ""fr"")"),"racquetball")</f>
        <v>racquetball</v>
      </c>
      <c r="G357" s="8" t="str">
        <f>IFERROR(__xludf.DUMMYFUNCTION("GOOGLETRANSLATE(C357, ""en"", ""de"")"),"Racquetball")</f>
        <v>Racquetball</v>
      </c>
      <c r="H357" s="8" t="str">
        <f>IFERROR(__xludf.DUMMYFUNCTION("GOOGLETRANSLATE(C357, ""en"", ""ru"")"),"ракетбол")</f>
        <v>ракетбол</v>
      </c>
      <c r="I357" s="8" t="str">
        <f>IFERROR(__xludf.DUMMYFUNCTION("GOOGLETRANSLATE(C357, ""en"", ""ar"")"),"كرة المضرب")</f>
        <v>كرة المضرب</v>
      </c>
      <c r="J357" s="8"/>
      <c r="K357" s="7" t="str">
        <f>IFERROR(__xludf.DUMMYFUNCTION("CONCAT(REGEXREPLACE(C357,""[ ,]+"",""_""),"".mp3"")"),"racquetball.mp3")</f>
        <v>racquetball.mp3</v>
      </c>
      <c r="M357" s="4" t="s">
        <v>10</v>
      </c>
    </row>
    <row r="358" ht="15.75" customHeight="1">
      <c r="A358" s="1">
        <v>1726.0</v>
      </c>
      <c r="B358" s="3">
        <v>143.0</v>
      </c>
      <c r="C358" s="7" t="s">
        <v>412</v>
      </c>
      <c r="D358" s="8" t="str">
        <f>IFERROR(__xludf.DUMMYFUNCTION("GOOGLETRANSLATE(C358, ""en"", ""pt"")"),"tênis de padel")</f>
        <v>tênis de padel</v>
      </c>
      <c r="E358" s="8" t="str">
        <f>IFERROR(__xludf.DUMMYFUNCTION("GOOGLETRANSLATE(C358, ""en"", ""es"")"),"tenis de pista")</f>
        <v>tenis de pista</v>
      </c>
      <c r="F358" s="8" t="str">
        <f>IFERROR(__xludf.DUMMYFUNCTION("GOOGLETRANSLATE(C358, ""en"", ""fr"")"),"tennis de plage")</f>
        <v>tennis de plage</v>
      </c>
      <c r="G358" s="8" t="str">
        <f>IFERROR(__xludf.DUMMYFUNCTION("GOOGLETRANSLATE(C358, ""en"", ""de"")"),"Padel-Tennis")</f>
        <v>Padel-Tennis</v>
      </c>
      <c r="H358" s="8" t="str">
        <f>IFERROR(__xludf.DUMMYFUNCTION("GOOGLETRANSLATE(C358, ""en"", ""ru"")"),"падел-теннис")</f>
        <v>падел-теннис</v>
      </c>
      <c r="I358" s="8" t="str">
        <f>IFERROR(__xludf.DUMMYFUNCTION("GOOGLETRANSLATE(C358, ""en"", ""ar"")"),"تنس المضرب")</f>
        <v>تنس المضرب</v>
      </c>
      <c r="J358" s="8"/>
      <c r="K358" s="7" t="str">
        <f>IFERROR(__xludf.DUMMYFUNCTION("CONCAT(REGEXREPLACE(C358,""[ ,]+"",""_""),"".mp3"")"),"paddle_tennis.mp3")</f>
        <v>paddle_tennis.mp3</v>
      </c>
      <c r="M358" s="4" t="s">
        <v>10</v>
      </c>
    </row>
    <row r="359" ht="15.75" customHeight="1">
      <c r="A359" s="1">
        <v>1727.0</v>
      </c>
      <c r="B359" s="3">
        <v>143.0</v>
      </c>
      <c r="C359" s="7" t="s">
        <v>413</v>
      </c>
      <c r="D359" s="8" t="str">
        <f>IFERROR(__xludf.DUMMYFUNCTION("GOOGLETRANSLATE(C359, ""en"", ""pt"")"),"pickleball")</f>
        <v>pickleball</v>
      </c>
      <c r="E359" s="8" t="str">
        <f>IFERROR(__xludf.DUMMYFUNCTION("GOOGLETRANSLATE(C359, ""en"", ""es"")"),"pickleball")</f>
        <v>pickleball</v>
      </c>
      <c r="F359" s="8" t="str">
        <f>IFERROR(__xludf.DUMMYFUNCTION("GOOGLETRANSLATE(C359, ""en"", ""fr"")"),"pickleball")</f>
        <v>pickleball</v>
      </c>
      <c r="G359" s="8" t="str">
        <f>IFERROR(__xludf.DUMMYFUNCTION("GOOGLETRANSLATE(C359, ""en"", ""de"")"),"Pickleball")</f>
        <v>Pickleball</v>
      </c>
      <c r="H359" s="8" t="str">
        <f>IFERROR(__xludf.DUMMYFUNCTION("GOOGLETRANSLATE(C359, ""en"", ""ru"")"),"пиклбол")</f>
        <v>пиклбол</v>
      </c>
      <c r="I359" s="8" t="str">
        <f>IFERROR(__xludf.DUMMYFUNCTION("GOOGLETRANSLATE(C359, ""en"", ""ar"")"),"لعبة بيكلبول")</f>
        <v>لعبة بيكلبول</v>
      </c>
      <c r="J359" s="8"/>
      <c r="K359" s="7" t="str">
        <f>IFERROR(__xludf.DUMMYFUNCTION("CONCAT(REGEXREPLACE(C359,""[ ,]+"",""_""),"".mp3"")"),"pickleball.mp3")</f>
        <v>pickleball.mp3</v>
      </c>
      <c r="M359" s="4" t="s">
        <v>10</v>
      </c>
    </row>
    <row r="360" ht="15.75" customHeight="1">
      <c r="A360" s="1">
        <v>1728.0</v>
      </c>
      <c r="B360" s="3">
        <v>143.0</v>
      </c>
      <c r="C360" s="7" t="s">
        <v>414</v>
      </c>
      <c r="D360" s="8" t="str">
        <f>IFERROR(__xludf.DUMMYFUNCTION("GOOGLETRANSLATE(C360, ""en"", ""pt"")"),"tênis de praia")</f>
        <v>tênis de praia</v>
      </c>
      <c r="E360" s="8" t="str">
        <f>IFERROR(__xludf.DUMMYFUNCTION("GOOGLETRANSLATE(C360, ""en"", ""es"")"),"tenis playa")</f>
        <v>tenis playa</v>
      </c>
      <c r="F360" s="8" t="str">
        <f>IFERROR(__xludf.DUMMYFUNCTION("GOOGLETRANSLATE(C360, ""en"", ""fr"")"),"beach tennis")</f>
        <v>beach tennis</v>
      </c>
      <c r="G360" s="8" t="str">
        <f>IFERROR(__xludf.DUMMYFUNCTION("GOOGLETRANSLATE(C360, ""en"", ""de"")"),"Beachtennis")</f>
        <v>Beachtennis</v>
      </c>
      <c r="H360" s="8" t="str">
        <f>IFERROR(__xludf.DUMMYFUNCTION("GOOGLETRANSLATE(C360, ""en"", ""ru"")"),"пляжный теннис")</f>
        <v>пляжный теннис</v>
      </c>
      <c r="I360" s="8" t="str">
        <f>IFERROR(__xludf.DUMMYFUNCTION("GOOGLETRANSLATE(C360, ""en"", ""ar"")"),"تنس الشاطئ")</f>
        <v>تنس الشاطئ</v>
      </c>
      <c r="J360" s="8"/>
      <c r="K360" s="7" t="str">
        <f>IFERROR(__xludf.DUMMYFUNCTION("CONCAT(REGEXREPLACE(C360,""[ ,]+"",""_""),"".mp3"")"),"beach_tennis.mp3")</f>
        <v>beach_tennis.mp3</v>
      </c>
      <c r="M360" s="4" t="s">
        <v>10</v>
      </c>
    </row>
    <row r="361" ht="15.75" customHeight="1">
      <c r="A361" s="1">
        <v>1729.0</v>
      </c>
      <c r="B361" s="3">
        <v>143.0</v>
      </c>
      <c r="C361" s="7" t="s">
        <v>415</v>
      </c>
      <c r="D361" s="8" t="str">
        <f>IFERROR(__xludf.DUMMYFUNCTION("GOOGLETRANSLATE(C361, ""en"", ""pt"")"),"racketlon")</f>
        <v>racketlon</v>
      </c>
      <c r="E361" s="8" t="str">
        <f>IFERROR(__xludf.DUMMYFUNCTION("GOOGLETRANSLATE(C361, ""en"", ""es"")"),"racketlon")</f>
        <v>racketlon</v>
      </c>
      <c r="F361" s="8" t="str">
        <f>IFERROR(__xludf.DUMMYFUNCTION("GOOGLETRANSLATE(C361, ""en"", ""fr"")"),"racketlon")</f>
        <v>racketlon</v>
      </c>
      <c r="G361" s="8" t="str">
        <f>IFERROR(__xludf.DUMMYFUNCTION("GOOGLETRANSLATE(C361, ""en"", ""de"")"),"Racketlon")</f>
        <v>Racketlon</v>
      </c>
      <c r="H361" s="8" t="str">
        <f>IFERROR(__xludf.DUMMYFUNCTION("GOOGLETRANSLATE(C361, ""en"", ""ru"")"),"ракетлон")</f>
        <v>ракетлон</v>
      </c>
      <c r="I361" s="8" t="str">
        <f>IFERROR(__xludf.DUMMYFUNCTION("GOOGLETRANSLATE(C361, ""en"", ""ar"")"),"رياضة الراكتلون")</f>
        <v>رياضة الراكتلون</v>
      </c>
      <c r="J361" s="8"/>
      <c r="K361" s="7" t="str">
        <f>IFERROR(__xludf.DUMMYFUNCTION("CONCAT(REGEXREPLACE(C361,""[ ,]+"",""_""),"".mp3"")"),"racketlon.mp3")</f>
        <v>racketlon.mp3</v>
      </c>
      <c r="M361" s="4" t="s">
        <v>10</v>
      </c>
    </row>
    <row r="362" ht="15.75" customHeight="1">
      <c r="A362" s="1">
        <v>1730.0</v>
      </c>
      <c r="B362" s="3">
        <v>143.0</v>
      </c>
      <c r="C362" s="7" t="s">
        <v>416</v>
      </c>
      <c r="D362" s="8" t="str">
        <f>IFERROR(__xludf.DUMMYFUNCTION("GOOGLETRANSLATE(C362, ""en"", ""pt"")"),"boxe")</f>
        <v>boxe</v>
      </c>
      <c r="E362" s="8" t="str">
        <f>IFERROR(__xludf.DUMMYFUNCTION("GOOGLETRANSLATE(C362, ""en"", ""es"")"),"boxeo")</f>
        <v>boxeo</v>
      </c>
      <c r="F362" s="8" t="str">
        <f>IFERROR(__xludf.DUMMYFUNCTION("GOOGLETRANSLATE(C362, ""en"", ""fr"")"),"boxe")</f>
        <v>boxe</v>
      </c>
      <c r="G362" s="8" t="str">
        <f>IFERROR(__xludf.DUMMYFUNCTION("GOOGLETRANSLATE(C362, ""en"", ""de"")"),"Boxen")</f>
        <v>Boxen</v>
      </c>
      <c r="H362" s="8" t="str">
        <f>IFERROR(__xludf.DUMMYFUNCTION("GOOGLETRANSLATE(C362, ""en"", ""ru"")"),"бокс")</f>
        <v>бокс</v>
      </c>
      <c r="I362" s="8" t="str">
        <f>IFERROR(__xludf.DUMMYFUNCTION("GOOGLETRANSLATE(C362, ""en"", ""ar"")"),"ملاكمة")</f>
        <v>ملاكمة</v>
      </c>
      <c r="J362" s="8"/>
      <c r="K362" s="7" t="str">
        <f>IFERROR(__xludf.DUMMYFUNCTION("CONCAT(REGEXREPLACE(C362,""[ ,]+"",""_""),"".mp3"")"),"boxing.mp3")</f>
        <v>boxing.mp3</v>
      </c>
      <c r="M362" s="4" t="s">
        <v>10</v>
      </c>
    </row>
    <row r="363" ht="15.75" customHeight="1">
      <c r="A363" s="1">
        <v>1731.0</v>
      </c>
      <c r="B363" s="3">
        <v>143.0</v>
      </c>
      <c r="C363" s="7" t="s">
        <v>417</v>
      </c>
      <c r="D363" s="8" t="str">
        <f>IFERROR(__xludf.DUMMYFUNCTION("GOOGLETRANSLATE(C363, ""en"", ""pt"")"),"luta livre")</f>
        <v>luta livre</v>
      </c>
      <c r="E363" s="8" t="str">
        <f>IFERROR(__xludf.DUMMYFUNCTION("GOOGLETRANSLATE(C363, ""en"", ""es"")"),"lucha")</f>
        <v>lucha</v>
      </c>
      <c r="F363" s="8" t="str">
        <f>IFERROR(__xludf.DUMMYFUNCTION("GOOGLETRANSLATE(C363, ""en"", ""fr"")"),"lutte")</f>
        <v>lutte</v>
      </c>
      <c r="G363" s="8" t="str">
        <f>IFERROR(__xludf.DUMMYFUNCTION("GOOGLETRANSLATE(C363, ""en"", ""de"")"),"Ringen")</f>
        <v>Ringen</v>
      </c>
      <c r="H363" s="8" t="str">
        <f>IFERROR(__xludf.DUMMYFUNCTION("GOOGLETRANSLATE(C363, ""en"", ""ru"")"),"борьба")</f>
        <v>борьба</v>
      </c>
      <c r="I363" s="8" t="str">
        <f>IFERROR(__xludf.DUMMYFUNCTION("GOOGLETRANSLATE(C363, ""en"", ""ar"")"),"مصارعة")</f>
        <v>مصارعة</v>
      </c>
      <c r="J363" s="8"/>
      <c r="K363" s="7" t="str">
        <f>IFERROR(__xludf.DUMMYFUNCTION("CONCAT(REGEXREPLACE(C363,""[ ,]+"",""_""),"".mp3"")"),"wrestling.mp3")</f>
        <v>wrestling.mp3</v>
      </c>
      <c r="M363" s="4" t="s">
        <v>10</v>
      </c>
    </row>
    <row r="364" ht="15.75" customHeight="1">
      <c r="A364" s="1">
        <v>1732.0</v>
      </c>
      <c r="B364" s="3">
        <v>143.0</v>
      </c>
      <c r="C364" s="7" t="s">
        <v>418</v>
      </c>
      <c r="D364" s="8" t="str">
        <f>IFERROR(__xludf.DUMMYFUNCTION("GOOGLETRANSLATE(C364, ""en"", ""pt"")"),"luta livre")</f>
        <v>luta livre</v>
      </c>
      <c r="E364" s="8" t="str">
        <f>IFERROR(__xludf.DUMMYFUNCTION("GOOGLETRANSLATE(C364, ""en"", ""es"")"),"lucha libre")</f>
        <v>lucha libre</v>
      </c>
      <c r="F364" s="8" t="str">
        <f>IFERROR(__xludf.DUMMYFUNCTION("GOOGLETRANSLATE(C364, ""en"", ""fr"")"),"lutte libre")</f>
        <v>lutte libre</v>
      </c>
      <c r="G364" s="8" t="str">
        <f>IFERROR(__xludf.DUMMYFUNCTION("GOOGLETRANSLATE(C364, ""en"", ""de"")"),"Freistilringen")</f>
        <v>Freistilringen</v>
      </c>
      <c r="H364" s="8" t="str">
        <f>IFERROR(__xludf.DUMMYFUNCTION("GOOGLETRANSLATE(C364, ""en"", ""ru"")"),"вольная борьба")</f>
        <v>вольная борьба</v>
      </c>
      <c r="I364" s="8" t="str">
        <f>IFERROR(__xludf.DUMMYFUNCTION("GOOGLETRANSLATE(C364, ""en"", ""ar"")"),"المصارعة الحرة")</f>
        <v>المصارعة الحرة</v>
      </c>
      <c r="J364" s="8"/>
      <c r="K364" s="7" t="str">
        <f>IFERROR(__xludf.DUMMYFUNCTION("CONCAT(REGEXREPLACE(C364,""[ ,]+"",""_""),"".mp3"")"),"freestyle_wrestling.mp3")</f>
        <v>freestyle_wrestling.mp3</v>
      </c>
      <c r="M364" s="4" t="s">
        <v>10</v>
      </c>
    </row>
    <row r="365" ht="15.75" customHeight="1">
      <c r="A365" s="1">
        <v>1733.0</v>
      </c>
      <c r="B365" s="3">
        <v>143.0</v>
      </c>
      <c r="C365" s="7" t="s">
        <v>419</v>
      </c>
      <c r="D365" s="8" t="str">
        <f>IFERROR(__xludf.DUMMYFUNCTION("GOOGLETRANSLATE(C365, ""en"", ""pt"")"),"Luta greco-romana")</f>
        <v>Luta greco-romana</v>
      </c>
      <c r="E365" s="8" t="str">
        <f>IFERROR(__xludf.DUMMYFUNCTION("GOOGLETRANSLATE(C365, ""en"", ""es"")"),"lucha grecorromana")</f>
        <v>lucha grecorromana</v>
      </c>
      <c r="F365" s="8" t="str">
        <f>IFERROR(__xludf.DUMMYFUNCTION("GOOGLETRANSLATE(C365, ""en"", ""fr"")"),"Lutte gréco-romaine")</f>
        <v>Lutte gréco-romaine</v>
      </c>
      <c r="G365" s="8" t="str">
        <f>IFERROR(__xludf.DUMMYFUNCTION("GOOGLETRANSLATE(C365, ""en"", ""de"")"),"Griechisch-römisches Ringen")</f>
        <v>Griechisch-römisches Ringen</v>
      </c>
      <c r="H365" s="8" t="str">
        <f>IFERROR(__xludf.DUMMYFUNCTION("GOOGLETRANSLATE(C365, ""en"", ""ru"")"),"Греко-римская борьба")</f>
        <v>Греко-римская борьба</v>
      </c>
      <c r="I365" s="8" t="str">
        <f>IFERROR(__xludf.DUMMYFUNCTION("GOOGLETRANSLATE(C365, ""en"", ""ar"")"),"المصارعة اليونانية الرومانية")</f>
        <v>المصارعة اليونانية الرومانية</v>
      </c>
      <c r="J365" s="8"/>
      <c r="K365" s="7" t="str">
        <f>IFERROR(__xludf.DUMMYFUNCTION("CONCAT(REGEXREPLACE(C365,""[ ,]+"",""_""),"".mp3"")"),"Greco‑Roman_wrestling.mp3")</f>
        <v>Greco‑Roman_wrestling.mp3</v>
      </c>
      <c r="M365" s="4" t="s">
        <v>10</v>
      </c>
    </row>
    <row r="366" ht="15.75" customHeight="1">
      <c r="A366" s="1">
        <v>1734.0</v>
      </c>
      <c r="B366" s="3">
        <v>143.0</v>
      </c>
      <c r="C366" s="7" t="s">
        <v>420</v>
      </c>
      <c r="D366" s="8" t="str">
        <f>IFERROR(__xludf.DUMMYFUNCTION("GOOGLETRANSLATE(C366, ""en"", ""pt"")"),"judo")</f>
        <v>judo</v>
      </c>
      <c r="E366" s="8" t="str">
        <f>IFERROR(__xludf.DUMMYFUNCTION("GOOGLETRANSLATE(C366, ""en"", ""es"")"),"judo")</f>
        <v>judo</v>
      </c>
      <c r="F366" s="8" t="str">
        <f>IFERROR(__xludf.DUMMYFUNCTION("GOOGLETRANSLATE(C366, ""en"", ""fr"")"),"judo")</f>
        <v>judo</v>
      </c>
      <c r="G366" s="8" t="str">
        <f>IFERROR(__xludf.DUMMYFUNCTION("GOOGLETRANSLATE(C366, ""en"", ""de"")"),"Judo")</f>
        <v>Judo</v>
      </c>
      <c r="H366" s="8" t="str">
        <f>IFERROR(__xludf.DUMMYFUNCTION("GOOGLETRANSLATE(C366, ""en"", ""ru"")"),"дзюдо")</f>
        <v>дзюдо</v>
      </c>
      <c r="I366" s="8" t="str">
        <f>IFERROR(__xludf.DUMMYFUNCTION("GOOGLETRANSLATE(C366, ""en"", ""ar"")"),"الجودو")</f>
        <v>الجودو</v>
      </c>
      <c r="J366" s="8"/>
      <c r="K366" s="7" t="str">
        <f>IFERROR(__xludf.DUMMYFUNCTION("CONCAT(REGEXREPLACE(C366,""[ ,]+"",""_""),"".mp3"")"),"judo.mp3")</f>
        <v>judo.mp3</v>
      </c>
      <c r="M366" s="4" t="s">
        <v>10</v>
      </c>
    </row>
    <row r="367" ht="15.75" customHeight="1">
      <c r="A367" s="1">
        <v>1735.0</v>
      </c>
      <c r="B367" s="3">
        <v>143.0</v>
      </c>
      <c r="C367" s="7" t="s">
        <v>421</v>
      </c>
      <c r="D367" s="8" t="str">
        <f>IFERROR(__xludf.DUMMYFUNCTION("GOOGLETRANSLATE(C367, ""en"", ""pt"")"),"karatê")</f>
        <v>karatê</v>
      </c>
      <c r="E367" s="8" t="str">
        <f>IFERROR(__xludf.DUMMYFUNCTION("GOOGLETRANSLATE(C367, ""en"", ""es"")"),"kárate")</f>
        <v>kárate</v>
      </c>
      <c r="F367" s="8" t="str">
        <f>IFERROR(__xludf.DUMMYFUNCTION("GOOGLETRANSLATE(C367, ""en"", ""fr"")"),"karaté")</f>
        <v>karaté</v>
      </c>
      <c r="G367" s="8" t="str">
        <f>IFERROR(__xludf.DUMMYFUNCTION("GOOGLETRANSLATE(C367, ""en"", ""de"")"),"Karate")</f>
        <v>Karate</v>
      </c>
      <c r="H367" s="8" t="str">
        <f>IFERROR(__xludf.DUMMYFUNCTION("GOOGLETRANSLATE(C367, ""en"", ""ru"")"),"каратэ")</f>
        <v>каратэ</v>
      </c>
      <c r="I367" s="8" t="str">
        <f>IFERROR(__xludf.DUMMYFUNCTION("GOOGLETRANSLATE(C367, ""en"", ""ar"")"),"الكاراتيه")</f>
        <v>الكاراتيه</v>
      </c>
      <c r="J367" s="8"/>
      <c r="K367" s="7" t="str">
        <f>IFERROR(__xludf.DUMMYFUNCTION("CONCAT(REGEXREPLACE(C367,""[ ,]+"",""_""),"".mp3"")"),"karate.mp3")</f>
        <v>karate.mp3</v>
      </c>
      <c r="M367" s="4" t="s">
        <v>10</v>
      </c>
    </row>
    <row r="368" ht="15.75" customHeight="1">
      <c r="A368" s="1">
        <v>1736.0</v>
      </c>
      <c r="B368" s="3">
        <v>143.0</v>
      </c>
      <c r="C368" s="7" t="s">
        <v>422</v>
      </c>
      <c r="D368" s="8" t="str">
        <f>IFERROR(__xludf.DUMMYFUNCTION("GOOGLETRANSLATE(C368, ""en"", ""pt"")"),"taekwondo")</f>
        <v>taekwondo</v>
      </c>
      <c r="E368" s="8" t="str">
        <f>IFERROR(__xludf.DUMMYFUNCTION("GOOGLETRANSLATE(C368, ""en"", ""es"")"),"taekwondo")</f>
        <v>taekwondo</v>
      </c>
      <c r="F368" s="8" t="str">
        <f>IFERROR(__xludf.DUMMYFUNCTION("GOOGLETRANSLATE(C368, ""en"", ""fr"")"),"taekwondo")</f>
        <v>taekwondo</v>
      </c>
      <c r="G368" s="8" t="str">
        <f>IFERROR(__xludf.DUMMYFUNCTION("GOOGLETRANSLATE(C368, ""en"", ""de"")"),"Taekwondo")</f>
        <v>Taekwondo</v>
      </c>
      <c r="H368" s="8" t="str">
        <f>IFERROR(__xludf.DUMMYFUNCTION("GOOGLETRANSLATE(C368, ""en"", ""ru"")"),"тхэквондо")</f>
        <v>тхэквондо</v>
      </c>
      <c r="I368" s="8" t="str">
        <f>IFERROR(__xludf.DUMMYFUNCTION("GOOGLETRANSLATE(C368, ""en"", ""ar"")"),"التايكوندو")</f>
        <v>التايكوندو</v>
      </c>
      <c r="J368" s="8"/>
      <c r="K368" s="7" t="str">
        <f>IFERROR(__xludf.DUMMYFUNCTION("CONCAT(REGEXREPLACE(C368,""[ ,]+"",""_""),"".mp3"")"),"taekwondo.mp3")</f>
        <v>taekwondo.mp3</v>
      </c>
      <c r="M368" s="4" t="s">
        <v>10</v>
      </c>
    </row>
    <row r="369" ht="15.75" customHeight="1">
      <c r="A369" s="1">
        <v>1737.0</v>
      </c>
      <c r="B369" s="3">
        <v>143.0</v>
      </c>
      <c r="C369" s="7" t="s">
        <v>423</v>
      </c>
      <c r="D369" s="8" t="str">
        <f>IFERROR(__xludf.DUMMYFUNCTION("GOOGLETRANSLATE(C369, ""en"", ""pt"")"),"kickboxing")</f>
        <v>kickboxing</v>
      </c>
      <c r="E369" s="8" t="str">
        <f>IFERROR(__xludf.DUMMYFUNCTION("GOOGLETRANSLATE(C369, ""en"", ""es"")"),"kickboxing")</f>
        <v>kickboxing</v>
      </c>
      <c r="F369" s="8" t="str">
        <f>IFERROR(__xludf.DUMMYFUNCTION("GOOGLETRANSLATE(C369, ""en"", ""fr"")"),"kickboxing")</f>
        <v>kickboxing</v>
      </c>
      <c r="G369" s="8" t="str">
        <f>IFERROR(__xludf.DUMMYFUNCTION("GOOGLETRANSLATE(C369, ""en"", ""de"")"),"Kickboxen")</f>
        <v>Kickboxen</v>
      </c>
      <c r="H369" s="8" t="str">
        <f>IFERROR(__xludf.DUMMYFUNCTION("GOOGLETRANSLATE(C369, ""en"", ""ru"")"),"кикбоксинг")</f>
        <v>кикбоксинг</v>
      </c>
      <c r="I369" s="8" t="str">
        <f>IFERROR(__xludf.DUMMYFUNCTION("GOOGLETRANSLATE(C369, ""en"", ""ar"")"),"الكيك بوكسينغ")</f>
        <v>الكيك بوكسينغ</v>
      </c>
      <c r="J369" s="8"/>
      <c r="K369" s="7" t="str">
        <f>IFERROR(__xludf.DUMMYFUNCTION("CONCAT(REGEXREPLACE(C369,""[ ,]+"",""_""),"".mp3"")"),"kickboxing.mp3")</f>
        <v>kickboxing.mp3</v>
      </c>
      <c r="M369" s="4" t="s">
        <v>10</v>
      </c>
    </row>
    <row r="370" ht="15.75" customHeight="1">
      <c r="A370" s="1">
        <v>1738.0</v>
      </c>
      <c r="B370" s="3">
        <v>143.0</v>
      </c>
      <c r="C370" s="7" t="s">
        <v>424</v>
      </c>
      <c r="D370" s="8" t="str">
        <f>IFERROR(__xludf.DUMMYFUNCTION("GOOGLETRANSLATE(C370, ""en"", ""pt"")"),"Muay Thai")</f>
        <v>Muay Thai</v>
      </c>
      <c r="E370" s="8" t="str">
        <f>IFERROR(__xludf.DUMMYFUNCTION("GOOGLETRANSLATE(C370, ""en"", ""es"")"),"muay thai")</f>
        <v>muay thai</v>
      </c>
      <c r="F370" s="8" t="str">
        <f>IFERROR(__xludf.DUMMYFUNCTION("GOOGLETRANSLATE(C370, ""en"", ""fr"")"),"muay thaï")</f>
        <v>muay thaï</v>
      </c>
      <c r="G370" s="8" t="str">
        <f>IFERROR(__xludf.DUMMYFUNCTION("GOOGLETRANSLATE(C370, ""en"", ""de"")"),"Muay Thai")</f>
        <v>Muay Thai</v>
      </c>
      <c r="H370" s="8" t="str">
        <f>IFERROR(__xludf.DUMMYFUNCTION("GOOGLETRANSLATE(C370, ""en"", ""ru"")"),"муай тай")</f>
        <v>муай тай</v>
      </c>
      <c r="I370" s="8" t="str">
        <f>IFERROR(__xludf.DUMMYFUNCTION("GOOGLETRANSLATE(C370, ""en"", ""ar"")"),"الملاكمة التايلاندية")</f>
        <v>الملاكمة التايلاندية</v>
      </c>
      <c r="J370" s="8"/>
      <c r="K370" s="7" t="str">
        <f>IFERROR(__xludf.DUMMYFUNCTION("CONCAT(REGEXREPLACE(C370,""[ ,]+"",""_""),"".mp3"")"),"muay_thai.mp3")</f>
        <v>muay_thai.mp3</v>
      </c>
      <c r="M370" s="4" t="s">
        <v>10</v>
      </c>
    </row>
    <row r="371" ht="15.75" customHeight="1">
      <c r="A371" s="1">
        <v>1739.0</v>
      </c>
      <c r="B371" s="3">
        <v>143.0</v>
      </c>
      <c r="C371" s="7" t="s">
        <v>425</v>
      </c>
      <c r="D371" s="8" t="str">
        <f>IFERROR(__xludf.DUMMYFUNCTION("GOOGLETRANSLATE(C371, ""en"", ""pt"")"),"jiu-jitsu brasileiro")</f>
        <v>jiu-jitsu brasileiro</v>
      </c>
      <c r="E371" s="8" t="str">
        <f>IFERROR(__xludf.DUMMYFUNCTION("GOOGLETRANSLATE(C371, ""en"", ""es"")"),"Jiu-jitsu brasileño")</f>
        <v>Jiu-jitsu brasileño</v>
      </c>
      <c r="F371" s="8" t="str">
        <f>IFERROR(__xludf.DUMMYFUNCTION("GOOGLETRANSLATE(C371, ""en"", ""fr"")"),"Jiu-jitsu brésilien")</f>
        <v>Jiu-jitsu brésilien</v>
      </c>
      <c r="G371" s="8" t="str">
        <f>IFERROR(__xludf.DUMMYFUNCTION("GOOGLETRANSLATE(C371, ""en"", ""de"")"),"Brasilianisches Jiu-Jitsu")</f>
        <v>Brasilianisches Jiu-Jitsu</v>
      </c>
      <c r="H371" s="8" t="str">
        <f>IFERROR(__xludf.DUMMYFUNCTION("GOOGLETRANSLATE(C371, ""en"", ""ru"")"),"Бразильское джиу-джитсу")</f>
        <v>Бразильское джиу-джитсу</v>
      </c>
      <c r="I371" s="8" t="str">
        <f>IFERROR(__xludf.DUMMYFUNCTION("GOOGLETRANSLATE(C371, ""en"", ""ar"")"),"الجوجيتسو البرازيلية")</f>
        <v>الجوجيتسو البرازيلية</v>
      </c>
      <c r="J371" s="8"/>
      <c r="K371" s="7" t="str">
        <f>IFERROR(__xludf.DUMMYFUNCTION("CONCAT(REGEXREPLACE(C371,""[ ,]+"",""_""),"".mp3"")"),"Brazilian_jiu‑jitsu.mp3")</f>
        <v>Brazilian_jiu‑jitsu.mp3</v>
      </c>
      <c r="M371" s="4" t="s">
        <v>10</v>
      </c>
    </row>
    <row r="372" ht="15.75" customHeight="1">
      <c r="A372" s="1">
        <v>1740.0</v>
      </c>
      <c r="B372" s="3">
        <v>143.0</v>
      </c>
      <c r="C372" s="3" t="s">
        <v>426</v>
      </c>
      <c r="D372" s="8" t="str">
        <f>IFERROR(__xludf.DUMMYFUNCTION("GOOGLETRANSLATE(C372, ""en"", ""pt"")"),"Artes marciais mistas, MMA")</f>
        <v>Artes marciais mistas, MMA</v>
      </c>
      <c r="E372" s="8" t="str">
        <f>IFERROR(__xludf.DUMMYFUNCTION("GOOGLETRANSLATE(C372, ""en"", ""es"")"),"artes marciales mixtas, MMA")</f>
        <v>artes marciales mixtas, MMA</v>
      </c>
      <c r="F372" s="8" t="str">
        <f>IFERROR(__xludf.DUMMYFUNCTION("GOOGLETRANSLATE(C372, ""en"", ""fr"")"),"arts martiaux mixtes, MMA")</f>
        <v>arts martiaux mixtes, MMA</v>
      </c>
      <c r="G372" s="8" t="str">
        <f>IFERROR(__xludf.DUMMYFUNCTION("GOOGLETRANSLATE(C372, ""en"", ""de"")"),"Gemischte Kampfkünste, MMA")</f>
        <v>Gemischte Kampfkünste, MMA</v>
      </c>
      <c r="H372" s="8" t="str">
        <f>IFERROR(__xludf.DUMMYFUNCTION("GOOGLETRANSLATE(C372, ""en"", ""ru"")"),"смешанные боевые искусства, ММА")</f>
        <v>смешанные боевые искусства, ММА</v>
      </c>
      <c r="I372" s="8" t="str">
        <f>IFERROR(__xludf.DUMMYFUNCTION("GOOGLETRANSLATE(C372, ""en"", ""ar"")"),"فنون القتال المختلطة، MMA")</f>
        <v>فنون القتال المختلطة، MMA</v>
      </c>
      <c r="J372" s="8"/>
      <c r="K372" s="7" t="str">
        <f>IFERROR(__xludf.DUMMYFUNCTION("CONCAT(REGEXREPLACE(C372,""[ ,]+"",""_""),"".mp3"")"),"mixed_martial_arts_MMA.mp3")</f>
        <v>mixed_martial_arts_MMA.mp3</v>
      </c>
      <c r="M372" s="4" t="s">
        <v>10</v>
      </c>
    </row>
    <row r="373" ht="15.75" customHeight="1">
      <c r="A373" s="1">
        <v>1741.0</v>
      </c>
      <c r="B373" s="3">
        <v>143.0</v>
      </c>
      <c r="C373" s="7" t="s">
        <v>427</v>
      </c>
      <c r="D373" s="8" t="str">
        <f>IFERROR(__xludf.DUMMYFUNCTION("GOOGLETRANSLATE(C373, ""en"", ""pt"")"),"aikidô")</f>
        <v>aikidô</v>
      </c>
      <c r="E373" s="8" t="str">
        <f>IFERROR(__xludf.DUMMYFUNCTION("GOOGLETRANSLATE(C373, ""en"", ""es"")"),"aikido")</f>
        <v>aikido</v>
      </c>
      <c r="F373" s="8" t="str">
        <f>IFERROR(__xludf.DUMMYFUNCTION("GOOGLETRANSLATE(C373, ""en"", ""fr"")"),"aïkido")</f>
        <v>aïkido</v>
      </c>
      <c r="G373" s="8" t="str">
        <f>IFERROR(__xludf.DUMMYFUNCTION("GOOGLETRANSLATE(C373, ""en"", ""de"")"),"Aikido")</f>
        <v>Aikido</v>
      </c>
      <c r="H373" s="8" t="str">
        <f>IFERROR(__xludf.DUMMYFUNCTION("GOOGLETRANSLATE(C373, ""en"", ""ru"")"),"айкидо")</f>
        <v>айкидо</v>
      </c>
      <c r="I373" s="8" t="str">
        <f>IFERROR(__xludf.DUMMYFUNCTION("GOOGLETRANSLATE(C373, ""en"", ""ar"")"),"أيكيدو")</f>
        <v>أيكيدو</v>
      </c>
      <c r="J373" s="8"/>
      <c r="K373" s="7" t="str">
        <f>IFERROR(__xludf.DUMMYFUNCTION("CONCAT(REGEXREPLACE(C373,""[ ,]+"",""_""),"".mp3"")"),"aikido.mp3")</f>
        <v>aikido.mp3</v>
      </c>
      <c r="M373" s="4" t="s">
        <v>10</v>
      </c>
    </row>
    <row r="374" ht="15.75" customHeight="1">
      <c r="A374" s="1">
        <v>1742.0</v>
      </c>
      <c r="B374" s="3">
        <v>143.0</v>
      </c>
      <c r="C374" s="7" t="s">
        <v>428</v>
      </c>
      <c r="D374" s="8" t="str">
        <f>IFERROR(__xludf.DUMMYFUNCTION("GOOGLETRANSLATE(C374, ""en"", ""pt"")"),"jiu-jitsu")</f>
        <v>jiu-jitsu</v>
      </c>
      <c r="E374" s="8" t="str">
        <f>IFERROR(__xludf.DUMMYFUNCTION("GOOGLETRANSLATE(C374, ""en"", ""es"")"),"jiujitsu")</f>
        <v>jiujitsu</v>
      </c>
      <c r="F374" s="8" t="str">
        <f>IFERROR(__xludf.DUMMYFUNCTION("GOOGLETRANSLATE(C374, ""en"", ""fr"")"),"ju-jitsu")</f>
        <v>ju-jitsu</v>
      </c>
      <c r="G374" s="8" t="str">
        <f>IFERROR(__xludf.DUMMYFUNCTION("GOOGLETRANSLATE(C374, ""en"", ""de"")"),"Ju-Jitsu")</f>
        <v>Ju-Jitsu</v>
      </c>
      <c r="H374" s="8" t="str">
        <f>IFERROR(__xludf.DUMMYFUNCTION("GOOGLETRANSLATE(C374, ""en"", ""ru"")"),"джиу-джитсу")</f>
        <v>джиу-джитсу</v>
      </c>
      <c r="I374" s="8" t="str">
        <f>IFERROR(__xludf.DUMMYFUNCTION("GOOGLETRANSLATE(C374, ""en"", ""ar"")"),"المصارعة اليابانية")</f>
        <v>المصارعة اليابانية</v>
      </c>
      <c r="J374" s="8"/>
      <c r="K374" s="7" t="str">
        <f>IFERROR(__xludf.DUMMYFUNCTION("CONCAT(REGEXREPLACE(C374,""[ ,]+"",""_""),"".mp3"")"),"jujitsu.mp3")</f>
        <v>jujitsu.mp3</v>
      </c>
      <c r="M374" s="4" t="s">
        <v>10</v>
      </c>
    </row>
    <row r="375" ht="15.75" customHeight="1">
      <c r="A375" s="1">
        <v>1743.0</v>
      </c>
      <c r="B375" s="3">
        <v>143.0</v>
      </c>
      <c r="C375" s="7" t="s">
        <v>429</v>
      </c>
      <c r="D375" s="8" t="str">
        <f>IFERROR(__xludf.DUMMYFUNCTION("GOOGLETRANSLATE(C375, ""en"", ""pt"")"),"kung-fu")</f>
        <v>kung-fu</v>
      </c>
      <c r="E375" s="8" t="str">
        <f>IFERROR(__xludf.DUMMYFUNCTION("GOOGLETRANSLATE(C375, ""en"", ""es"")"),"kung fu")</f>
        <v>kung fu</v>
      </c>
      <c r="F375" s="8" t="str">
        <f>IFERROR(__xludf.DUMMYFUNCTION("GOOGLETRANSLATE(C375, ""en"", ""fr"")"),"kung-fu")</f>
        <v>kung-fu</v>
      </c>
      <c r="G375" s="8" t="str">
        <f>IFERROR(__xludf.DUMMYFUNCTION("GOOGLETRANSLATE(C375, ""en"", ""de"")"),"Kung-Fu")</f>
        <v>Kung-Fu</v>
      </c>
      <c r="H375" s="8" t="str">
        <f>IFERROR(__xludf.DUMMYFUNCTION("GOOGLETRANSLATE(C375, ""en"", ""ru"")"),"кунг-фу")</f>
        <v>кунг-фу</v>
      </c>
      <c r="I375" s="8" t="str">
        <f>IFERROR(__xludf.DUMMYFUNCTION("GOOGLETRANSLATE(C375, ""en"", ""ar"")"),"الكونغ فو")</f>
        <v>الكونغ فو</v>
      </c>
      <c r="J375" s="8"/>
      <c r="K375" s="7" t="str">
        <f>IFERROR(__xludf.DUMMYFUNCTION("CONCAT(REGEXREPLACE(C375,""[ ,]+"",""_""),"".mp3"")"),"kung_fu.mp3")</f>
        <v>kung_fu.mp3</v>
      </c>
      <c r="M375" s="4" t="s">
        <v>10</v>
      </c>
    </row>
    <row r="376" ht="15.75" customHeight="1">
      <c r="A376" s="1">
        <v>1744.0</v>
      </c>
      <c r="B376" s="3">
        <v>143.0</v>
      </c>
      <c r="C376" s="7" t="s">
        <v>430</v>
      </c>
      <c r="D376" s="8" t="str">
        <f>IFERROR(__xludf.DUMMYFUNCTION("GOOGLETRANSLATE(C376, ""en"", ""pt"")"),"esgrima")</f>
        <v>esgrima</v>
      </c>
      <c r="E376" s="8" t="str">
        <f>IFERROR(__xludf.DUMMYFUNCTION("GOOGLETRANSLATE(C376, ""en"", ""es"")"),"esgrima")</f>
        <v>esgrima</v>
      </c>
      <c r="F376" s="8" t="str">
        <f>IFERROR(__xludf.DUMMYFUNCTION("GOOGLETRANSLATE(C376, ""en"", ""fr"")"),"escrime")</f>
        <v>escrime</v>
      </c>
      <c r="G376" s="8" t="str">
        <f>IFERROR(__xludf.DUMMYFUNCTION("GOOGLETRANSLATE(C376, ""en"", ""de"")"),"Fechten")</f>
        <v>Fechten</v>
      </c>
      <c r="H376" s="8" t="str">
        <f>IFERROR(__xludf.DUMMYFUNCTION("GOOGLETRANSLATE(C376, ""en"", ""ru"")"),"ограждение")</f>
        <v>ограждение</v>
      </c>
      <c r="I376" s="8" t="str">
        <f>IFERROR(__xludf.DUMMYFUNCTION("GOOGLETRANSLATE(C376, ""en"", ""ar"")"),"سياج")</f>
        <v>سياج</v>
      </c>
      <c r="J376" s="8"/>
      <c r="K376" s="7" t="str">
        <f>IFERROR(__xludf.DUMMYFUNCTION("CONCAT(REGEXREPLACE(C376,""[ ,]+"",""_""),"".mp3"")"),"fencing.mp3")</f>
        <v>fencing.mp3</v>
      </c>
      <c r="M376" s="4" t="s">
        <v>10</v>
      </c>
    </row>
    <row r="377" ht="15.75" customHeight="1">
      <c r="A377" s="1">
        <v>1745.0</v>
      </c>
      <c r="B377" s="3">
        <v>143.0</v>
      </c>
      <c r="C377" s="7" t="s">
        <v>431</v>
      </c>
      <c r="D377" s="8" t="str">
        <f>IFERROR(__xludf.DUMMYFUNCTION("GOOGLETRANSLATE(C377, ""en"", ""pt"")"),"kendo")</f>
        <v>kendo</v>
      </c>
      <c r="E377" s="8" t="str">
        <f>IFERROR(__xludf.DUMMYFUNCTION("GOOGLETRANSLATE(C377, ""en"", ""es"")"),"kendo")</f>
        <v>kendo</v>
      </c>
      <c r="F377" s="8" t="str">
        <f>IFERROR(__xludf.DUMMYFUNCTION("GOOGLETRANSLATE(C377, ""en"", ""fr"")"),"kendo")</f>
        <v>kendo</v>
      </c>
      <c r="G377" s="8" t="str">
        <f>IFERROR(__xludf.DUMMYFUNCTION("GOOGLETRANSLATE(C377, ""en"", ""de"")"),"Kendo")</f>
        <v>Kendo</v>
      </c>
      <c r="H377" s="8" t="str">
        <f>IFERROR(__xludf.DUMMYFUNCTION("GOOGLETRANSLATE(C377, ""en"", ""ru"")"),"кендо")</f>
        <v>кендо</v>
      </c>
      <c r="I377" s="8" t="str">
        <f>IFERROR(__xludf.DUMMYFUNCTION("GOOGLETRANSLATE(C377, ""en"", ""ar"")"),"الكيندو")</f>
        <v>الكيندو</v>
      </c>
      <c r="J377" s="8"/>
      <c r="K377" s="7" t="str">
        <f>IFERROR(__xludf.DUMMYFUNCTION("CONCAT(REGEXREPLACE(C377,""[ ,]+"",""_""),"".mp3"")"),"kendo.mp3")</f>
        <v>kendo.mp3</v>
      </c>
      <c r="M377" s="4" t="s">
        <v>10</v>
      </c>
    </row>
    <row r="378" ht="15.75" customHeight="1">
      <c r="A378" s="1">
        <v>1746.0</v>
      </c>
      <c r="B378" s="3">
        <v>143.0</v>
      </c>
      <c r="C378" s="7" t="s">
        <v>432</v>
      </c>
      <c r="D378" s="8" t="str">
        <f>IFERROR(__xludf.DUMMYFUNCTION("GOOGLETRANSLATE(C378, ""en"", ""pt"")"),"sumô")</f>
        <v>sumô</v>
      </c>
      <c r="E378" s="8" t="str">
        <f>IFERROR(__xludf.DUMMYFUNCTION("GOOGLETRANSLATE(C378, ""en"", ""es"")"),"sumo")</f>
        <v>sumo</v>
      </c>
      <c r="F378" s="8" t="str">
        <f>IFERROR(__xludf.DUMMYFUNCTION("GOOGLETRANSLATE(C378, ""en"", ""fr"")"),"sumo")</f>
        <v>sumo</v>
      </c>
      <c r="G378" s="8" t="str">
        <f>IFERROR(__xludf.DUMMYFUNCTION("GOOGLETRANSLATE(C378, ""en"", ""de"")"),"Sumo")</f>
        <v>Sumo</v>
      </c>
      <c r="H378" s="8" t="str">
        <f>IFERROR(__xludf.DUMMYFUNCTION("GOOGLETRANSLATE(C378, ""en"", ""ru"")"),"сумо")</f>
        <v>сумо</v>
      </c>
      <c r="I378" s="8" t="str">
        <f>IFERROR(__xludf.DUMMYFUNCTION("GOOGLETRANSLATE(C378, ""en"", ""ar"")"),"سومو")</f>
        <v>سومو</v>
      </c>
      <c r="J378" s="8"/>
      <c r="K378" s="7" t="str">
        <f>IFERROR(__xludf.DUMMYFUNCTION("CONCAT(REGEXREPLACE(C378,""[ ,]+"",""_""),"".mp3"")"),"sumo.mp3")</f>
        <v>sumo.mp3</v>
      </c>
      <c r="M378" s="4" t="s">
        <v>10</v>
      </c>
    </row>
    <row r="379" ht="15.75" customHeight="1">
      <c r="A379" s="1">
        <v>1747.0</v>
      </c>
      <c r="B379" s="3">
        <v>143.0</v>
      </c>
      <c r="C379" s="7" t="s">
        <v>433</v>
      </c>
      <c r="D379" s="8" t="str">
        <f>IFERROR(__xludf.DUMMYFUNCTION("GOOGLETRANSLATE(C379, ""en"", ""pt"")"),"natação")</f>
        <v>natação</v>
      </c>
      <c r="E379" s="8" t="str">
        <f>IFERROR(__xludf.DUMMYFUNCTION("GOOGLETRANSLATE(C379, ""en"", ""es"")"),"nadar")</f>
        <v>nadar</v>
      </c>
      <c r="F379" s="8" t="str">
        <f>IFERROR(__xludf.DUMMYFUNCTION("GOOGLETRANSLATE(C379, ""en"", ""fr"")"),"natation")</f>
        <v>natation</v>
      </c>
      <c r="G379" s="8" t="str">
        <f>IFERROR(__xludf.DUMMYFUNCTION("GOOGLETRANSLATE(C379, ""en"", ""de"")"),"Baden")</f>
        <v>Baden</v>
      </c>
      <c r="H379" s="8" t="str">
        <f>IFERROR(__xludf.DUMMYFUNCTION("GOOGLETRANSLATE(C379, ""en"", ""ru"")"),"плавание")</f>
        <v>плавание</v>
      </c>
      <c r="I379" s="8" t="str">
        <f>IFERROR(__xludf.DUMMYFUNCTION("GOOGLETRANSLATE(C379, ""en"", ""ar"")"),"سباحة")</f>
        <v>سباحة</v>
      </c>
      <c r="J379" s="8"/>
      <c r="K379" s="7" t="str">
        <f>IFERROR(__xludf.DUMMYFUNCTION("CONCAT(REGEXREPLACE(C379,""[ ,]+"",""_""),"".mp3"")"),"swimming.mp3")</f>
        <v>swimming.mp3</v>
      </c>
      <c r="M379" s="4" t="s">
        <v>10</v>
      </c>
    </row>
    <row r="380" ht="15.75" customHeight="1">
      <c r="A380" s="1">
        <v>1748.0</v>
      </c>
      <c r="B380" s="3">
        <v>143.0</v>
      </c>
      <c r="C380" s="7" t="s">
        <v>434</v>
      </c>
      <c r="D380" s="8" t="str">
        <f>IFERROR(__xludf.DUMMYFUNCTION("GOOGLETRANSLATE(C380, ""en"", ""pt"")"),"mergulhando")</f>
        <v>mergulhando</v>
      </c>
      <c r="E380" s="8" t="str">
        <f>IFERROR(__xludf.DUMMYFUNCTION("GOOGLETRANSLATE(C380, ""en"", ""es"")"),"buceo")</f>
        <v>buceo</v>
      </c>
      <c r="F380" s="8" t="str">
        <f>IFERROR(__xludf.DUMMYFUNCTION("GOOGLETRANSLATE(C380, ""en"", ""fr"")"),"plongée")</f>
        <v>plongée</v>
      </c>
      <c r="G380" s="8" t="str">
        <f>IFERROR(__xludf.DUMMYFUNCTION("GOOGLETRANSLATE(C380, ""en"", ""de"")"),"Tauchen")</f>
        <v>Tauchen</v>
      </c>
      <c r="H380" s="8" t="str">
        <f>IFERROR(__xludf.DUMMYFUNCTION("GOOGLETRANSLATE(C380, ""en"", ""ru"")"),"дайвинг")</f>
        <v>дайвинг</v>
      </c>
      <c r="I380" s="8" t="str">
        <f>IFERROR(__xludf.DUMMYFUNCTION("GOOGLETRANSLATE(C380, ""en"", ""ar"")"),"الغوص")</f>
        <v>الغوص</v>
      </c>
      <c r="J380" s="8"/>
      <c r="K380" s="7" t="str">
        <f>IFERROR(__xludf.DUMMYFUNCTION("CONCAT(REGEXREPLACE(C380,""[ ,]+"",""_""),"".mp3"")"),"diving.mp3")</f>
        <v>diving.mp3</v>
      </c>
      <c r="M380" s="4" t="s">
        <v>10</v>
      </c>
    </row>
    <row r="381" ht="15.75" customHeight="1">
      <c r="A381" s="1">
        <v>1749.0</v>
      </c>
      <c r="B381" s="3">
        <v>143.0</v>
      </c>
      <c r="C381" s="3" t="s">
        <v>435</v>
      </c>
      <c r="D381" s="8" t="str">
        <f>IFERROR(__xludf.DUMMYFUNCTION("GOOGLETRANSLATE(C381, ""en"", ""pt"")"),"artístico, natação sincronizada")</f>
        <v>artístico, natação sincronizada</v>
      </c>
      <c r="E381" s="8" t="str">
        <f>IFERROR(__xludf.DUMMYFUNCTION("GOOGLETRANSLATE(C381, ""en"", ""es"")"),"natación artística y sincronizada")</f>
        <v>natación artística y sincronizada</v>
      </c>
      <c r="F381" s="8" t="str">
        <f>IFERROR(__xludf.DUMMYFUNCTION("GOOGLETRANSLATE(C381, ""en"", ""fr"")"),"natation artistique et synchronisée")</f>
        <v>natation artistique et synchronisée</v>
      </c>
      <c r="G381" s="8" t="str">
        <f>IFERROR(__xludf.DUMMYFUNCTION("GOOGLETRANSLATE(C381, ""en"", ""de"")"),"künstlerisches Synchronschwimmen")</f>
        <v>künstlerisches Synchronschwimmen</v>
      </c>
      <c r="H381" s="8" t="str">
        <f>IFERROR(__xludf.DUMMYFUNCTION("GOOGLETRANSLATE(C381, ""en"", ""ru"")"),"художественное синхронное плавание")</f>
        <v>художественное синхронное плавание</v>
      </c>
      <c r="I381" s="8" t="str">
        <f>IFERROR(__xludf.DUMMYFUNCTION("GOOGLETRANSLATE(C381, ""en"", ""ar"")"),"السباحة الفنية المتزامنة")</f>
        <v>السباحة الفنية المتزامنة</v>
      </c>
      <c r="J381" s="8"/>
      <c r="K381" s="7" t="str">
        <f>IFERROR(__xludf.DUMMYFUNCTION("CONCAT(REGEXREPLACE(C381,""[ ,]+"",""_""),"".mp3"")"),"artistic_synchronized_swimming.mp3")</f>
        <v>artistic_synchronized_swimming.mp3</v>
      </c>
      <c r="M381" s="4" t="s">
        <v>10</v>
      </c>
    </row>
    <row r="382" ht="15.75" customHeight="1">
      <c r="A382" s="1">
        <v>1750.0</v>
      </c>
      <c r="B382" s="3">
        <v>143.0</v>
      </c>
      <c r="C382" s="7" t="s">
        <v>436</v>
      </c>
      <c r="D382" s="8" t="str">
        <f>IFERROR(__xludf.DUMMYFUNCTION("GOOGLETRANSLATE(C382, ""en"", ""pt"")"),"remo")</f>
        <v>remo</v>
      </c>
      <c r="E382" s="8" t="str">
        <f>IFERROR(__xludf.DUMMYFUNCTION("GOOGLETRANSLATE(C382, ""en"", ""es"")"),"remo")</f>
        <v>remo</v>
      </c>
      <c r="F382" s="8" t="str">
        <f>IFERROR(__xludf.DUMMYFUNCTION("GOOGLETRANSLATE(C382, ""en"", ""fr"")"),"aviron")</f>
        <v>aviron</v>
      </c>
      <c r="G382" s="8" t="str">
        <f>IFERROR(__xludf.DUMMYFUNCTION("GOOGLETRANSLATE(C382, ""en"", ""de"")"),"Rudern")</f>
        <v>Rudern</v>
      </c>
      <c r="H382" s="8" t="str">
        <f>IFERROR(__xludf.DUMMYFUNCTION("GOOGLETRANSLATE(C382, ""en"", ""ru"")"),"гребля")</f>
        <v>гребля</v>
      </c>
      <c r="I382" s="8" t="str">
        <f>IFERROR(__xludf.DUMMYFUNCTION("GOOGLETRANSLATE(C382, ""en"", ""ar"")"),"تجديف")</f>
        <v>تجديف</v>
      </c>
      <c r="J382" s="8"/>
      <c r="K382" s="7" t="str">
        <f>IFERROR(__xludf.DUMMYFUNCTION("CONCAT(REGEXREPLACE(C382,""[ ,]+"",""_""),"".mp3"")"),"rowing.mp3")</f>
        <v>rowing.mp3</v>
      </c>
      <c r="M382" s="4" t="s">
        <v>10</v>
      </c>
    </row>
    <row r="383" ht="15.75" customHeight="1">
      <c r="A383" s="1">
        <v>1751.0</v>
      </c>
      <c r="B383" s="3">
        <v>143.0</v>
      </c>
      <c r="C383" s="7" t="s">
        <v>437</v>
      </c>
      <c r="D383" s="8" t="str">
        <f>IFERROR(__xludf.DUMMYFUNCTION("GOOGLETRANSLATE(C383, ""en"", ""pt"")"),"canoagem")</f>
        <v>canoagem</v>
      </c>
      <c r="E383" s="8" t="str">
        <f>IFERROR(__xludf.DUMMYFUNCTION("GOOGLETRANSLATE(C383, ""en"", ""es"")"),"piragüismo")</f>
        <v>piragüismo</v>
      </c>
      <c r="F383" s="8" t="str">
        <f>IFERROR(__xludf.DUMMYFUNCTION("GOOGLETRANSLATE(C383, ""en"", ""fr"")"),"canoë")</f>
        <v>canoë</v>
      </c>
      <c r="G383" s="8" t="str">
        <f>IFERROR(__xludf.DUMMYFUNCTION("GOOGLETRANSLATE(C383, ""en"", ""de"")"),"Kanusport")</f>
        <v>Kanusport</v>
      </c>
      <c r="H383" s="8" t="str">
        <f>IFERROR(__xludf.DUMMYFUNCTION("GOOGLETRANSLATE(C383, ""en"", ""ru"")"),"гребля на каноэ")</f>
        <v>гребля на каноэ</v>
      </c>
      <c r="I383" s="8" t="str">
        <f>IFERROR(__xludf.DUMMYFUNCTION("GOOGLETRANSLATE(C383, ""en"", ""ar"")"),"التجديف")</f>
        <v>التجديف</v>
      </c>
      <c r="J383" s="8"/>
      <c r="K383" s="7" t="str">
        <f>IFERROR(__xludf.DUMMYFUNCTION("CONCAT(REGEXREPLACE(C383,""[ ,]+"",""_""),"".mp3"")"),"canoeing.mp3")</f>
        <v>canoeing.mp3</v>
      </c>
      <c r="M383" s="4" t="s">
        <v>10</v>
      </c>
    </row>
    <row r="384" ht="15.75" customHeight="1">
      <c r="A384" s="1">
        <v>1752.0</v>
      </c>
      <c r="B384" s="3">
        <v>143.0</v>
      </c>
      <c r="C384" s="7" t="s">
        <v>438</v>
      </c>
      <c r="D384" s="8" t="str">
        <f>IFERROR(__xludf.DUMMYFUNCTION("GOOGLETRANSLATE(C384, ""en"", ""pt"")"),"caiaque")</f>
        <v>caiaque</v>
      </c>
      <c r="E384" s="8" t="str">
        <f>IFERROR(__xludf.DUMMYFUNCTION("GOOGLETRANSLATE(C384, ""en"", ""es"")"),"kayak")</f>
        <v>kayak</v>
      </c>
      <c r="F384" s="8" t="str">
        <f>IFERROR(__xludf.DUMMYFUNCTION("GOOGLETRANSLATE(C384, ""en"", ""fr"")"),"kayak")</f>
        <v>kayak</v>
      </c>
      <c r="G384" s="8" t="str">
        <f>IFERROR(__xludf.DUMMYFUNCTION("GOOGLETRANSLATE(C384, ""en"", ""de"")"),"Kajakfahren")</f>
        <v>Kajakfahren</v>
      </c>
      <c r="H384" s="8" t="str">
        <f>IFERROR(__xludf.DUMMYFUNCTION("GOOGLETRANSLATE(C384, ""en"", ""ru"")"),"каякинг")</f>
        <v>каякинг</v>
      </c>
      <c r="I384" s="8" t="str">
        <f>IFERROR(__xludf.DUMMYFUNCTION("GOOGLETRANSLATE(C384, ""en"", ""ar"")"),"التجديف بالكاياك")</f>
        <v>التجديف بالكاياك</v>
      </c>
      <c r="J384" s="8"/>
      <c r="K384" s="7" t="str">
        <f>IFERROR(__xludf.DUMMYFUNCTION("CONCAT(REGEXREPLACE(C384,""[ ,]+"",""_""),"".mp3"")"),"kayaking.mp3")</f>
        <v>kayaking.mp3</v>
      </c>
      <c r="M384" s="4" t="s">
        <v>10</v>
      </c>
    </row>
    <row r="385" ht="15.75" customHeight="1">
      <c r="A385" s="1">
        <v>1753.0</v>
      </c>
      <c r="B385" s="3">
        <v>143.0</v>
      </c>
      <c r="C385" s="7" t="s">
        <v>439</v>
      </c>
      <c r="D385" s="8" t="str">
        <f>IFERROR(__xludf.DUMMYFUNCTION("GOOGLETRANSLATE(C385, ""en"", ""pt"")"),"rafting")</f>
        <v>rafting</v>
      </c>
      <c r="E385" s="8" t="str">
        <f>IFERROR(__xludf.DUMMYFUNCTION("GOOGLETRANSLATE(C385, ""en"", ""es"")"),"rafting")</f>
        <v>rafting</v>
      </c>
      <c r="F385" s="8" t="str">
        <f>IFERROR(__xludf.DUMMYFUNCTION("GOOGLETRANSLATE(C385, ""en"", ""fr"")"),"rafting")</f>
        <v>rafting</v>
      </c>
      <c r="G385" s="8" t="str">
        <f>IFERROR(__xludf.DUMMYFUNCTION("GOOGLETRANSLATE(C385, ""en"", ""de"")"),"Rafting")</f>
        <v>Rafting</v>
      </c>
      <c r="H385" s="8" t="str">
        <f>IFERROR(__xludf.DUMMYFUNCTION("GOOGLETRANSLATE(C385, ""en"", ""ru"")"),"рафтинг")</f>
        <v>рафтинг</v>
      </c>
      <c r="I385" s="8" t="str">
        <f>IFERROR(__xludf.DUMMYFUNCTION("GOOGLETRANSLATE(C385, ""en"", ""ar"")"),"ترميث")</f>
        <v>ترميث</v>
      </c>
      <c r="J385" s="8"/>
      <c r="K385" s="7" t="str">
        <f>IFERROR(__xludf.DUMMYFUNCTION("CONCAT(REGEXREPLACE(C385,""[ ,]+"",""_""),"".mp3"")"),"rafting.mp3")</f>
        <v>rafting.mp3</v>
      </c>
      <c r="M385" s="4" t="s">
        <v>10</v>
      </c>
    </row>
    <row r="386" ht="15.75" customHeight="1">
      <c r="A386" s="1">
        <v>1754.0</v>
      </c>
      <c r="B386" s="3">
        <v>143.0</v>
      </c>
      <c r="C386" s="7" t="s">
        <v>440</v>
      </c>
      <c r="D386" s="8" t="str">
        <f>IFERROR(__xludf.DUMMYFUNCTION("GOOGLETRANSLATE(C386, ""en"", ""pt"")"),"navegação")</f>
        <v>navegação</v>
      </c>
      <c r="E386" s="8" t="str">
        <f>IFERROR(__xludf.DUMMYFUNCTION("GOOGLETRANSLATE(C386, ""en"", ""es"")"),"navegación")</f>
        <v>navegación</v>
      </c>
      <c r="F386" s="8" t="str">
        <f>IFERROR(__xludf.DUMMYFUNCTION("GOOGLETRANSLATE(C386, ""en"", ""fr"")"),"voile")</f>
        <v>voile</v>
      </c>
      <c r="G386" s="8" t="str">
        <f>IFERROR(__xludf.DUMMYFUNCTION("GOOGLETRANSLATE(C386, ""en"", ""de"")"),"Segeln")</f>
        <v>Segeln</v>
      </c>
      <c r="H386" s="8" t="str">
        <f>IFERROR(__xludf.DUMMYFUNCTION("GOOGLETRANSLATE(C386, ""en"", ""ru"")"),"парусный спорт")</f>
        <v>парусный спорт</v>
      </c>
      <c r="I386" s="8" t="str">
        <f>IFERROR(__xludf.DUMMYFUNCTION("GOOGLETRANSLATE(C386, ""en"", ""ar"")"),"الإبحار")</f>
        <v>الإبحار</v>
      </c>
      <c r="J386" s="8"/>
      <c r="K386" s="7" t="str">
        <f>IFERROR(__xludf.DUMMYFUNCTION("CONCAT(REGEXREPLACE(C386,""[ ,]+"",""_""),"".mp3"")"),"sailing.mp3")</f>
        <v>sailing.mp3</v>
      </c>
      <c r="M386" s="4" t="s">
        <v>10</v>
      </c>
    </row>
    <row r="387" ht="15.75" customHeight="1">
      <c r="A387" s="1">
        <v>1755.0</v>
      </c>
      <c r="B387" s="3">
        <v>143.0</v>
      </c>
      <c r="C387" s="7" t="s">
        <v>441</v>
      </c>
      <c r="D387" s="8" t="str">
        <f>IFERROR(__xludf.DUMMYFUNCTION("GOOGLETRANSLATE(C387, ""en"", ""pt"")"),"surfe")</f>
        <v>surfe</v>
      </c>
      <c r="E387" s="8" t="str">
        <f>IFERROR(__xludf.DUMMYFUNCTION("GOOGLETRANSLATE(C387, ""en"", ""es"")"),"surf")</f>
        <v>surf</v>
      </c>
      <c r="F387" s="8" t="str">
        <f>IFERROR(__xludf.DUMMYFUNCTION("GOOGLETRANSLATE(C387, ""en"", ""fr"")"),"surf")</f>
        <v>surf</v>
      </c>
      <c r="G387" s="8" t="str">
        <f>IFERROR(__xludf.DUMMYFUNCTION("GOOGLETRANSLATE(C387, ""en"", ""de"")"),"Surfen")</f>
        <v>Surfen</v>
      </c>
      <c r="H387" s="8" t="str">
        <f>IFERROR(__xludf.DUMMYFUNCTION("GOOGLETRANSLATE(C387, ""en"", ""ru"")"),"серфинг")</f>
        <v>серфинг</v>
      </c>
      <c r="I387" s="8" t="str">
        <f>IFERROR(__xludf.DUMMYFUNCTION("GOOGLETRANSLATE(C387, ""en"", ""ar"")"),"ركوب الأمواج")</f>
        <v>ركوب الأمواج</v>
      </c>
      <c r="J387" s="8"/>
      <c r="K387" s="7" t="str">
        <f>IFERROR(__xludf.DUMMYFUNCTION("CONCAT(REGEXREPLACE(C387,""[ ,]+"",""_""),"".mp3"")"),"surfing.mp3")</f>
        <v>surfing.mp3</v>
      </c>
      <c r="M387" s="4" t="s">
        <v>10</v>
      </c>
    </row>
    <row r="388" ht="15.75" customHeight="1">
      <c r="A388" s="1">
        <v>1756.0</v>
      </c>
      <c r="B388" s="3">
        <v>143.0</v>
      </c>
      <c r="C388" s="7" t="s">
        <v>442</v>
      </c>
      <c r="D388" s="8" t="str">
        <f>IFERROR(__xludf.DUMMYFUNCTION("GOOGLETRANSLATE(C388, ""en"", ""pt"")"),"windsurf")</f>
        <v>windsurf</v>
      </c>
      <c r="E388" s="8" t="str">
        <f>IFERROR(__xludf.DUMMYFUNCTION("GOOGLETRANSLATE(C388, ""en"", ""es"")"),"tabla a vela")</f>
        <v>tabla a vela</v>
      </c>
      <c r="F388" s="8" t="str">
        <f>IFERROR(__xludf.DUMMYFUNCTION("GOOGLETRANSLATE(C388, ""en"", ""fr"")"),"planche à voile")</f>
        <v>planche à voile</v>
      </c>
      <c r="G388" s="8" t="str">
        <f>IFERROR(__xludf.DUMMYFUNCTION("GOOGLETRANSLATE(C388, ""en"", ""de"")"),"Windsurfen")</f>
        <v>Windsurfen</v>
      </c>
      <c r="H388" s="8" t="str">
        <f>IFERROR(__xludf.DUMMYFUNCTION("GOOGLETRANSLATE(C388, ""en"", ""ru"")"),"виндсёрфинг")</f>
        <v>виндсёрфинг</v>
      </c>
      <c r="I388" s="8" t="str">
        <f>IFERROR(__xludf.DUMMYFUNCTION("GOOGLETRANSLATE(C388, ""en"", ""ar"")"),"ركوب الأمواج")</f>
        <v>ركوب الأمواج</v>
      </c>
      <c r="J388" s="8"/>
      <c r="K388" s="7" t="str">
        <f>IFERROR(__xludf.DUMMYFUNCTION("CONCAT(REGEXREPLACE(C388,""[ ,]+"",""_""),"".mp3"")"),"windsurfing.mp3")</f>
        <v>windsurfing.mp3</v>
      </c>
      <c r="M388" s="4" t="s">
        <v>10</v>
      </c>
    </row>
    <row r="389" ht="15.75" customHeight="1">
      <c r="A389" s="1">
        <v>1757.0</v>
      </c>
      <c r="B389" s="3">
        <v>143.0</v>
      </c>
      <c r="C389" s="7" t="s">
        <v>443</v>
      </c>
      <c r="D389" s="8" t="str">
        <f>IFERROR(__xludf.DUMMYFUNCTION("GOOGLETRANSLATE(C389, ""en"", ""pt"")"),"kitesurf")</f>
        <v>kitesurf</v>
      </c>
      <c r="E389" s="8" t="str">
        <f>IFERROR(__xludf.DUMMYFUNCTION("GOOGLETRANSLATE(C389, ""en"", ""es"")"),"kitesurf")</f>
        <v>kitesurf</v>
      </c>
      <c r="F389" s="8" t="str">
        <f>IFERROR(__xludf.DUMMYFUNCTION("GOOGLETRANSLATE(C389, ""en"", ""fr"")"),"kitesurf")</f>
        <v>kitesurf</v>
      </c>
      <c r="G389" s="8" t="str">
        <f>IFERROR(__xludf.DUMMYFUNCTION("GOOGLETRANSLATE(C389, ""en"", ""de"")"),"Kitesurfen")</f>
        <v>Kitesurfen</v>
      </c>
      <c r="H389" s="8" t="str">
        <f>IFERROR(__xludf.DUMMYFUNCTION("GOOGLETRANSLATE(C389, ""en"", ""ru"")"),"кайтсёрфинг")</f>
        <v>кайтсёрфинг</v>
      </c>
      <c r="I389" s="8" t="str">
        <f>IFERROR(__xludf.DUMMYFUNCTION("GOOGLETRANSLATE(C389, ""en"", ""ar"")"),"ركوب الأمواج الشراعي")</f>
        <v>ركوب الأمواج الشراعي</v>
      </c>
      <c r="J389" s="8"/>
      <c r="K389" s="7" t="str">
        <f>IFERROR(__xludf.DUMMYFUNCTION("CONCAT(REGEXREPLACE(C389,""[ ,]+"",""_""),"".mp3"")"),"kitesurfing.mp3")</f>
        <v>kitesurfing.mp3</v>
      </c>
      <c r="M389" s="4" t="s">
        <v>10</v>
      </c>
    </row>
    <row r="390" ht="15.75" customHeight="1">
      <c r="A390" s="1">
        <v>1758.0</v>
      </c>
      <c r="B390" s="3">
        <v>143.0</v>
      </c>
      <c r="C390" s="7" t="s">
        <v>444</v>
      </c>
      <c r="D390" s="8" t="str">
        <f>IFERROR(__xludf.DUMMYFUNCTION("GOOGLETRANSLATE(C390, ""en"", ""pt"")"),"stand-up paddle")</f>
        <v>stand-up paddle</v>
      </c>
      <c r="E390" s="8" t="str">
        <f>IFERROR(__xludf.DUMMYFUNCTION("GOOGLETRANSLATE(C390, ""en"", ""es"")"),"paddleboarding")</f>
        <v>paddleboarding</v>
      </c>
      <c r="F390" s="8" t="str">
        <f>IFERROR(__xludf.DUMMYFUNCTION("GOOGLETRANSLATE(C390, ""en"", ""fr"")"),"paddleboard")</f>
        <v>paddleboard</v>
      </c>
      <c r="G390" s="8" t="str">
        <f>IFERROR(__xludf.DUMMYFUNCTION("GOOGLETRANSLATE(C390, ""en"", ""de"")"),"Stand-Up-Paddling")</f>
        <v>Stand-Up-Paddling</v>
      </c>
      <c r="H390" s="8" t="str">
        <f>IFERROR(__xludf.DUMMYFUNCTION("GOOGLETRANSLATE(C390, ""en"", ""ru"")"),"падлбординг")</f>
        <v>падлбординг</v>
      </c>
      <c r="I390" s="8" t="str">
        <f>IFERROR(__xludf.DUMMYFUNCTION("GOOGLETRANSLATE(C390, ""en"", ""ar"")"),"التجديف وقوفاً")</f>
        <v>التجديف وقوفاً</v>
      </c>
      <c r="J390" s="8"/>
      <c r="K390" s="7" t="str">
        <f>IFERROR(__xludf.DUMMYFUNCTION("CONCAT(REGEXREPLACE(C390,""[ ,]+"",""_""),"".mp3"")"),"paddleboarding.mp3")</f>
        <v>paddleboarding.mp3</v>
      </c>
      <c r="M390" s="4" t="s">
        <v>10</v>
      </c>
    </row>
    <row r="391" ht="15.75" customHeight="1">
      <c r="A391" s="1">
        <v>1759.0</v>
      </c>
      <c r="B391" s="3">
        <v>143.0</v>
      </c>
      <c r="C391" s="7" t="s">
        <v>445</v>
      </c>
      <c r="D391" s="8" t="str">
        <f>IFERROR(__xludf.DUMMYFUNCTION("GOOGLETRANSLATE(C391, ""en"", ""pt"")"),"esqui aquático")</f>
        <v>esqui aquático</v>
      </c>
      <c r="E391" s="8" t="str">
        <f>IFERROR(__xludf.DUMMYFUNCTION("GOOGLETRANSLATE(C391, ""en"", ""es"")"),"esquí acuático")</f>
        <v>esquí acuático</v>
      </c>
      <c r="F391" s="8" t="str">
        <f>IFERROR(__xludf.DUMMYFUNCTION("GOOGLETRANSLATE(C391, ""en"", ""fr"")"),"ski nautique")</f>
        <v>ski nautique</v>
      </c>
      <c r="G391" s="8" t="str">
        <f>IFERROR(__xludf.DUMMYFUNCTION("GOOGLETRANSLATE(C391, ""en"", ""de"")"),"Wasserski")</f>
        <v>Wasserski</v>
      </c>
      <c r="H391" s="8" t="str">
        <f>IFERROR(__xludf.DUMMYFUNCTION("GOOGLETRANSLATE(C391, ""en"", ""ru"")"),"водные лыжи")</f>
        <v>водные лыжи</v>
      </c>
      <c r="I391" s="8" t="str">
        <f>IFERROR(__xludf.DUMMYFUNCTION("GOOGLETRANSLATE(C391, ""en"", ""ar"")"),"التزلج على الماء")</f>
        <v>التزلج على الماء</v>
      </c>
      <c r="J391" s="8"/>
      <c r="K391" s="7" t="str">
        <f>IFERROR(__xludf.DUMMYFUNCTION("CONCAT(REGEXREPLACE(C391,""[ ,]+"",""_""),"".mp3"")"),"water_skiing.mp3")</f>
        <v>water_skiing.mp3</v>
      </c>
      <c r="M391" s="4" t="s">
        <v>10</v>
      </c>
    </row>
    <row r="392" ht="15.75" customHeight="1">
      <c r="A392" s="1">
        <v>1760.0</v>
      </c>
      <c r="B392" s="3">
        <v>143.0</v>
      </c>
      <c r="C392" s="7" t="s">
        <v>446</v>
      </c>
      <c r="D392" s="8" t="str">
        <f>IFERROR(__xludf.DUMMYFUNCTION("GOOGLETRANSLATE(C392, ""en"", ""pt"")"),"wakeboard")</f>
        <v>wakeboard</v>
      </c>
      <c r="E392" s="8" t="str">
        <f>IFERROR(__xludf.DUMMYFUNCTION("GOOGLETRANSLATE(C392, ""en"", ""es"")"),"wakeboard")</f>
        <v>wakeboard</v>
      </c>
      <c r="F392" s="8" t="str">
        <f>IFERROR(__xludf.DUMMYFUNCTION("GOOGLETRANSLATE(C392, ""en"", ""fr"")"),"wakeboard")</f>
        <v>wakeboard</v>
      </c>
      <c r="G392" s="8" t="str">
        <f>IFERROR(__xludf.DUMMYFUNCTION("GOOGLETRANSLATE(C392, ""en"", ""de"")"),"Wakeboarden")</f>
        <v>Wakeboarden</v>
      </c>
      <c r="H392" s="8" t="str">
        <f>IFERROR(__xludf.DUMMYFUNCTION("GOOGLETRANSLATE(C392, ""en"", ""ru"")"),"вейкбординг")</f>
        <v>вейкбординг</v>
      </c>
      <c r="I392" s="8" t="str">
        <f>IFERROR(__xludf.DUMMYFUNCTION("GOOGLETRANSLATE(C392, ""en"", ""ar"")"),"التزلج على الماء")</f>
        <v>التزلج على الماء</v>
      </c>
      <c r="J392" s="8"/>
      <c r="K392" s="7" t="str">
        <f>IFERROR(__xludf.DUMMYFUNCTION("CONCAT(REGEXREPLACE(C392,""[ ,]+"",""_""),"".mp3"")"),"wakeboarding.mp3")</f>
        <v>wakeboarding.mp3</v>
      </c>
      <c r="M392" s="4" t="s">
        <v>10</v>
      </c>
    </row>
    <row r="393" ht="15.75" customHeight="1">
      <c r="A393" s="1">
        <v>1761.0</v>
      </c>
      <c r="B393" s="3">
        <v>143.0</v>
      </c>
      <c r="C393" s="7" t="s">
        <v>447</v>
      </c>
      <c r="D393" s="8" t="str">
        <f>IFERROR(__xludf.DUMMYFUNCTION("GOOGLETRANSLATE(C393, ""en"", ""pt"")"),"mergulho")</f>
        <v>mergulho</v>
      </c>
      <c r="E393" s="8" t="str">
        <f>IFERROR(__xludf.DUMMYFUNCTION("GOOGLETRANSLATE(C393, ""en"", ""es"")"),"submarinismo")</f>
        <v>submarinismo</v>
      </c>
      <c r="F393" s="8" t="str">
        <f>IFERROR(__xludf.DUMMYFUNCTION("GOOGLETRANSLATE(C393, ""en"", ""fr"")"),"Plongée sous-marine")</f>
        <v>Plongée sous-marine</v>
      </c>
      <c r="G393" s="8" t="str">
        <f>IFERROR(__xludf.DUMMYFUNCTION("GOOGLETRANSLATE(C393, ""en"", ""de"")"),"Gerätetauchen")</f>
        <v>Gerätetauchen</v>
      </c>
      <c r="H393" s="8" t="str">
        <f>IFERROR(__xludf.DUMMYFUNCTION("GOOGLETRANSLATE(C393, ""en"", ""ru"")"),"подводное плавание с аквалангом")</f>
        <v>подводное плавание с аквалангом</v>
      </c>
      <c r="I393" s="8" t="str">
        <f>IFERROR(__xludf.DUMMYFUNCTION("GOOGLETRANSLATE(C393, ""en"", ""ar"")"),"الغوص")</f>
        <v>الغوص</v>
      </c>
      <c r="J393" s="8"/>
      <c r="K393" s="7" t="str">
        <f>IFERROR(__xludf.DUMMYFUNCTION("CONCAT(REGEXREPLACE(C393,""[ ,]+"",""_""),"".mp3"")"),"scuba_diving.mp3")</f>
        <v>scuba_diving.mp3</v>
      </c>
      <c r="M393" s="4" t="s">
        <v>10</v>
      </c>
    </row>
    <row r="394" ht="15.75" customHeight="1">
      <c r="A394" s="1">
        <v>1762.0</v>
      </c>
      <c r="B394" s="3">
        <v>143.0</v>
      </c>
      <c r="C394" s="7" t="s">
        <v>448</v>
      </c>
      <c r="D394" s="8" t="str">
        <f>IFERROR(__xludf.DUMMYFUNCTION("GOOGLETRANSLATE(C394, ""en"", ""pt"")"),"mergulho livre")</f>
        <v>mergulho livre</v>
      </c>
      <c r="E394" s="8" t="str">
        <f>IFERROR(__xludf.DUMMYFUNCTION("GOOGLETRANSLATE(C394, ""en"", ""es"")"),"buceo libre")</f>
        <v>buceo libre</v>
      </c>
      <c r="F394" s="8" t="str">
        <f>IFERROR(__xludf.DUMMYFUNCTION("GOOGLETRANSLATE(C394, ""en"", ""fr"")"),"apnée")</f>
        <v>apnée</v>
      </c>
      <c r="G394" s="8" t="str">
        <f>IFERROR(__xludf.DUMMYFUNCTION("GOOGLETRANSLATE(C394, ""en"", ""de"")"),"Freitauchen")</f>
        <v>Freitauchen</v>
      </c>
      <c r="H394" s="8" t="str">
        <f>IFERROR(__xludf.DUMMYFUNCTION("GOOGLETRANSLATE(C394, ""en"", ""ru"")"),"фридайвинг")</f>
        <v>фридайвинг</v>
      </c>
      <c r="I394" s="8" t="str">
        <f>IFERROR(__xludf.DUMMYFUNCTION("GOOGLETRANSLATE(C394, ""en"", ""ar"")"),"الغوص الحر")</f>
        <v>الغوص الحر</v>
      </c>
      <c r="J394" s="8"/>
      <c r="K394" s="7" t="str">
        <f>IFERROR(__xludf.DUMMYFUNCTION("CONCAT(REGEXREPLACE(C394,""[ ,]+"",""_""),"".mp3"")"),"free_diving.mp3")</f>
        <v>free_diving.mp3</v>
      </c>
      <c r="M394" s="4" t="s">
        <v>10</v>
      </c>
    </row>
    <row r="395" ht="15.75" customHeight="1">
      <c r="A395" s="1">
        <v>1763.0</v>
      </c>
      <c r="B395" s="3">
        <v>143.0</v>
      </c>
      <c r="C395" s="7" t="s">
        <v>449</v>
      </c>
      <c r="D395" s="8" t="str">
        <f>IFERROR(__xludf.DUMMYFUNCTION("GOOGLETRANSLATE(C395, ""en"", ""pt"")"),"mergulho com snorkel")</f>
        <v>mergulho com snorkel</v>
      </c>
      <c r="E395" s="8" t="str">
        <f>IFERROR(__xludf.DUMMYFUNCTION("GOOGLETRANSLATE(C395, ""en"", ""es"")"),"esnórquel")</f>
        <v>esnórquel</v>
      </c>
      <c r="F395" s="8" t="str">
        <f>IFERROR(__xludf.DUMMYFUNCTION("GOOGLETRANSLATE(C395, ""en"", ""fr"")"),"plongée en apnée")</f>
        <v>plongée en apnée</v>
      </c>
      <c r="G395" s="8" t="str">
        <f>IFERROR(__xludf.DUMMYFUNCTION("GOOGLETRANSLATE(C395, ""en"", ""de"")"),"Schnorcheln")</f>
        <v>Schnorcheln</v>
      </c>
      <c r="H395" s="8" t="str">
        <f>IFERROR(__xludf.DUMMYFUNCTION("GOOGLETRANSLATE(C395, ""en"", ""ru"")"),"сноркелинг")</f>
        <v>сноркелинг</v>
      </c>
      <c r="I395" s="8" t="str">
        <f>IFERROR(__xludf.DUMMYFUNCTION("GOOGLETRANSLATE(C395, ""en"", ""ar"")"),"الغطس")</f>
        <v>الغطس</v>
      </c>
      <c r="J395" s="8"/>
      <c r="K395" s="7" t="str">
        <f>IFERROR(__xludf.DUMMYFUNCTION("CONCAT(REGEXREPLACE(C395,""[ ,]+"",""_""),"".mp3"")"),"snorkeling.mp3")</f>
        <v>snorkeling.mp3</v>
      </c>
      <c r="M395" s="4" t="s">
        <v>10</v>
      </c>
    </row>
    <row r="396" ht="15.75" customHeight="1">
      <c r="A396" s="1">
        <v>1764.0</v>
      </c>
      <c r="B396" s="3">
        <v>143.0</v>
      </c>
      <c r="C396" s="7" t="s">
        <v>450</v>
      </c>
      <c r="D396" s="8" t="str">
        <f>IFERROR(__xludf.DUMMYFUNCTION("GOOGLETRANSLATE(C396, ""en"", ""pt"")"),"esqui")</f>
        <v>esqui</v>
      </c>
      <c r="E396" s="8" t="str">
        <f>IFERROR(__xludf.DUMMYFUNCTION("GOOGLETRANSLATE(C396, ""en"", ""es"")"),"esquiar")</f>
        <v>esquiar</v>
      </c>
      <c r="F396" s="8" t="str">
        <f>IFERROR(__xludf.DUMMYFUNCTION("GOOGLETRANSLATE(C396, ""en"", ""fr"")"),"ski")</f>
        <v>ski</v>
      </c>
      <c r="G396" s="8" t="str">
        <f>IFERROR(__xludf.DUMMYFUNCTION("GOOGLETRANSLATE(C396, ""en"", ""de"")"),"Skifahren")</f>
        <v>Skifahren</v>
      </c>
      <c r="H396" s="8" t="str">
        <f>IFERROR(__xludf.DUMMYFUNCTION("GOOGLETRANSLATE(C396, ""en"", ""ru"")"),"катание на лыжах")</f>
        <v>катание на лыжах</v>
      </c>
      <c r="I396" s="8" t="str">
        <f>IFERROR(__xludf.DUMMYFUNCTION("GOOGLETRANSLATE(C396, ""en"", ""ar"")"),"التزحلق")</f>
        <v>التزحلق</v>
      </c>
      <c r="J396" s="8"/>
      <c r="K396" s="7" t="str">
        <f>IFERROR(__xludf.DUMMYFUNCTION("CONCAT(REGEXREPLACE(C396,""[ ,]+"",""_""),"".mp3"")"),"skiing.mp3")</f>
        <v>skiing.mp3</v>
      </c>
      <c r="M396" s="4" t="s">
        <v>10</v>
      </c>
    </row>
    <row r="397" ht="15.75" customHeight="1">
      <c r="A397" s="1">
        <v>1765.0</v>
      </c>
      <c r="B397" s="3">
        <v>143.0</v>
      </c>
      <c r="C397" s="7" t="s">
        <v>451</v>
      </c>
      <c r="D397" s="8" t="str">
        <f>IFERROR(__xludf.DUMMYFUNCTION("GOOGLETRANSLATE(C397, ""en"", ""pt"")"),"esqui alpino")</f>
        <v>esqui alpino</v>
      </c>
      <c r="E397" s="8" t="str">
        <f>IFERROR(__xludf.DUMMYFUNCTION("GOOGLETRANSLATE(C397, ""en"", ""es"")"),"esquí alpino")</f>
        <v>esquí alpino</v>
      </c>
      <c r="F397" s="8" t="str">
        <f>IFERROR(__xludf.DUMMYFUNCTION("GOOGLETRANSLATE(C397, ""en"", ""fr"")"),"ski alpin")</f>
        <v>ski alpin</v>
      </c>
      <c r="G397" s="8" t="str">
        <f>IFERROR(__xludf.DUMMYFUNCTION("GOOGLETRANSLATE(C397, ""en"", ""de"")"),"alpines Skifahren")</f>
        <v>alpines Skifahren</v>
      </c>
      <c r="H397" s="8" t="str">
        <f>IFERROR(__xludf.DUMMYFUNCTION("GOOGLETRANSLATE(C397, ""en"", ""ru"")"),"горнолыжный спорт")</f>
        <v>горнолыжный спорт</v>
      </c>
      <c r="I397" s="8" t="str">
        <f>IFERROR(__xludf.DUMMYFUNCTION("GOOGLETRANSLATE(C397, ""en"", ""ar"")"),"التزلج على جبال الألب")</f>
        <v>التزلج على جبال الألب</v>
      </c>
      <c r="J397" s="8"/>
      <c r="K397" s="7" t="str">
        <f>IFERROR(__xludf.DUMMYFUNCTION("CONCAT(REGEXREPLACE(C397,""[ ,]+"",""_""),"".mp3"")"),"alpine_skiing.mp3")</f>
        <v>alpine_skiing.mp3</v>
      </c>
      <c r="M397" s="4" t="s">
        <v>10</v>
      </c>
    </row>
    <row r="398" ht="15.75" customHeight="1">
      <c r="A398" s="1">
        <v>1766.0</v>
      </c>
      <c r="B398" s="3">
        <v>143.0</v>
      </c>
      <c r="C398" s="7" t="s">
        <v>452</v>
      </c>
      <c r="D398" s="8" t="str">
        <f>IFERROR(__xludf.DUMMYFUNCTION("GOOGLETRANSLATE(C398, ""en"", ""pt"")"),"esqui cross-country")</f>
        <v>esqui cross-country</v>
      </c>
      <c r="E398" s="8" t="str">
        <f>IFERROR(__xludf.DUMMYFUNCTION("GOOGLETRANSLATE(C398, ""en"", ""es"")"),"esquí de fondo")</f>
        <v>esquí de fondo</v>
      </c>
      <c r="F398" s="8" t="str">
        <f>IFERROR(__xludf.DUMMYFUNCTION("GOOGLETRANSLATE(C398, ""en"", ""fr"")"),"ski de fond")</f>
        <v>ski de fond</v>
      </c>
      <c r="G398" s="8" t="str">
        <f>IFERROR(__xludf.DUMMYFUNCTION("GOOGLETRANSLATE(C398, ""en"", ""de"")"),"Langlauf")</f>
        <v>Langlauf</v>
      </c>
      <c r="H398" s="8" t="str">
        <f>IFERROR(__xludf.DUMMYFUNCTION("GOOGLETRANSLATE(C398, ""en"", ""ru"")"),"беговые лыжи")</f>
        <v>беговые лыжи</v>
      </c>
      <c r="I398" s="8" t="str">
        <f>IFERROR(__xludf.DUMMYFUNCTION("GOOGLETRANSLATE(C398, ""en"", ""ar"")"),"التزلج الريفي")</f>
        <v>التزلج الريفي</v>
      </c>
      <c r="J398" s="8"/>
      <c r="K398" s="7" t="str">
        <f>IFERROR(__xludf.DUMMYFUNCTION("CONCAT(REGEXREPLACE(C398,""[ ,]+"",""_""),"".mp3"")"),"cross‑country_skiing.mp3")</f>
        <v>cross‑country_skiing.mp3</v>
      </c>
      <c r="M398" s="4" t="s">
        <v>10</v>
      </c>
    </row>
    <row r="399" ht="15.75" customHeight="1">
      <c r="A399" s="1">
        <v>1767.0</v>
      </c>
      <c r="B399" s="3">
        <v>143.0</v>
      </c>
      <c r="C399" s="7" t="s">
        <v>453</v>
      </c>
      <c r="D399" s="8" t="str">
        <f>IFERROR(__xludf.DUMMYFUNCTION("GOOGLETRANSLATE(C399, ""en"", ""pt"")"),"esqui estilo livre")</f>
        <v>esqui estilo livre</v>
      </c>
      <c r="E399" s="8" t="str">
        <f>IFERROR(__xludf.DUMMYFUNCTION("GOOGLETRANSLATE(C399, ""en"", ""es"")"),"esquí estilo libre")</f>
        <v>esquí estilo libre</v>
      </c>
      <c r="F399" s="8" t="str">
        <f>IFERROR(__xludf.DUMMYFUNCTION("GOOGLETRANSLATE(C399, ""en"", ""fr"")"),"ski freestyle")</f>
        <v>ski freestyle</v>
      </c>
      <c r="G399" s="8" t="str">
        <f>IFERROR(__xludf.DUMMYFUNCTION("GOOGLETRANSLATE(C399, ""en"", ""de"")"),"Freestyle-Skifahren")</f>
        <v>Freestyle-Skifahren</v>
      </c>
      <c r="H399" s="8" t="str">
        <f>IFERROR(__xludf.DUMMYFUNCTION("GOOGLETRANSLATE(C399, ""en"", ""ru"")"),"фристайл на лыжах")</f>
        <v>фристайл на лыжах</v>
      </c>
      <c r="I399" s="8" t="str">
        <f>IFERROR(__xludf.DUMMYFUNCTION("GOOGLETRANSLATE(C399, ""en"", ""ar"")"),"التزلج الحر")</f>
        <v>التزلج الحر</v>
      </c>
      <c r="J399" s="8"/>
      <c r="K399" s="7" t="str">
        <f>IFERROR(__xludf.DUMMYFUNCTION("CONCAT(REGEXREPLACE(C399,""[ ,]+"",""_""),"".mp3"")"),"freestyle_skiing.mp3")</f>
        <v>freestyle_skiing.mp3</v>
      </c>
      <c r="M399" s="4" t="s">
        <v>10</v>
      </c>
    </row>
    <row r="400" ht="15.75" customHeight="1">
      <c r="A400" s="1">
        <v>1768.0</v>
      </c>
      <c r="B400" s="3">
        <v>143.0</v>
      </c>
      <c r="C400" s="7" t="s">
        <v>454</v>
      </c>
      <c r="D400" s="8" t="str">
        <f>IFERROR(__xludf.DUMMYFUNCTION("GOOGLETRANSLATE(C400, ""en"", ""pt"")"),"salto de esqui")</f>
        <v>salto de esqui</v>
      </c>
      <c r="E400" s="8" t="str">
        <f>IFERROR(__xludf.DUMMYFUNCTION("GOOGLETRANSLATE(C400, ""en"", ""es"")"),"salto de esquí")</f>
        <v>salto de esquí</v>
      </c>
      <c r="F400" s="8" t="str">
        <f>IFERROR(__xludf.DUMMYFUNCTION("GOOGLETRANSLATE(C400, ""en"", ""fr"")"),"saut à ski")</f>
        <v>saut à ski</v>
      </c>
      <c r="G400" s="8" t="str">
        <f>IFERROR(__xludf.DUMMYFUNCTION("GOOGLETRANSLATE(C400, ""en"", ""de"")"),"Skispringen")</f>
        <v>Skispringen</v>
      </c>
      <c r="H400" s="8" t="str">
        <f>IFERROR(__xludf.DUMMYFUNCTION("GOOGLETRANSLATE(C400, ""en"", ""ru"")"),"прыжки с трамплина")</f>
        <v>прыжки с трамплина</v>
      </c>
      <c r="I400" s="8" t="str">
        <f>IFERROR(__xludf.DUMMYFUNCTION("GOOGLETRANSLATE(C400, ""en"", ""ar"")"),"القفز التزلجي")</f>
        <v>القفز التزلجي</v>
      </c>
      <c r="J400" s="8"/>
      <c r="K400" s="7" t="str">
        <f>IFERROR(__xludf.DUMMYFUNCTION("CONCAT(REGEXREPLACE(C400,""[ ,]+"",""_""),"".mp3"")"),"ski_jumping.mp3")</f>
        <v>ski_jumping.mp3</v>
      </c>
      <c r="M400" s="4" t="s">
        <v>10</v>
      </c>
    </row>
    <row r="401" ht="15.75" customHeight="1">
      <c r="A401" s="1">
        <v>1769.0</v>
      </c>
      <c r="B401" s="3">
        <v>143.0</v>
      </c>
      <c r="C401" s="7" t="s">
        <v>455</v>
      </c>
      <c r="D401" s="8" t="str">
        <f>IFERROR(__xludf.DUMMYFUNCTION("GOOGLETRANSLATE(C401, ""en"", ""pt"")"),"snowboard")</f>
        <v>snowboard</v>
      </c>
      <c r="E401" s="8" t="str">
        <f>IFERROR(__xludf.DUMMYFUNCTION("GOOGLETRANSLATE(C401, ""en"", ""es"")"),"snowboard")</f>
        <v>snowboard</v>
      </c>
      <c r="F401" s="8" t="str">
        <f>IFERROR(__xludf.DUMMYFUNCTION("GOOGLETRANSLATE(C401, ""en"", ""fr"")"),"snowboard")</f>
        <v>snowboard</v>
      </c>
      <c r="G401" s="8" t="str">
        <f>IFERROR(__xludf.DUMMYFUNCTION("GOOGLETRANSLATE(C401, ""en"", ""de"")"),"Snowboarden")</f>
        <v>Snowboarden</v>
      </c>
      <c r="H401" s="8" t="str">
        <f>IFERROR(__xludf.DUMMYFUNCTION("GOOGLETRANSLATE(C401, ""en"", ""ru"")"),"сноубординг")</f>
        <v>сноубординг</v>
      </c>
      <c r="I401" s="8" t="str">
        <f>IFERROR(__xludf.DUMMYFUNCTION("GOOGLETRANSLATE(C401, ""en"", ""ar"")"),"التزلج على الجليد")</f>
        <v>التزلج على الجليد</v>
      </c>
      <c r="J401" s="8"/>
      <c r="K401" s="7" t="str">
        <f>IFERROR(__xludf.DUMMYFUNCTION("CONCAT(REGEXREPLACE(C401,""[ ,]+"",""_""),"".mp3"")"),"snowboarding.mp3")</f>
        <v>snowboarding.mp3</v>
      </c>
      <c r="M401" s="4" t="s">
        <v>10</v>
      </c>
    </row>
    <row r="402" ht="15.75" customHeight="1">
      <c r="A402" s="1">
        <v>1770.0</v>
      </c>
      <c r="B402" s="3">
        <v>143.0</v>
      </c>
      <c r="C402" s="7" t="s">
        <v>456</v>
      </c>
      <c r="D402" s="8" t="str">
        <f>IFERROR(__xludf.DUMMYFUNCTION("GOOGLETRANSLATE(C402, ""en"", ""pt"")"),"patinagem no gelo")</f>
        <v>patinagem no gelo</v>
      </c>
      <c r="E402" s="8" t="str">
        <f>IFERROR(__xludf.DUMMYFUNCTION("GOOGLETRANSLATE(C402, ""en"", ""es"")"),"patinaje sobre hielo")</f>
        <v>patinaje sobre hielo</v>
      </c>
      <c r="F402" s="8" t="str">
        <f>IFERROR(__xludf.DUMMYFUNCTION("GOOGLETRANSLATE(C402, ""en"", ""fr"")"),"patinage sur glace")</f>
        <v>patinage sur glace</v>
      </c>
      <c r="G402" s="8" t="str">
        <f>IFERROR(__xludf.DUMMYFUNCTION("GOOGLETRANSLATE(C402, ""en"", ""de"")"),"Eislaufen")</f>
        <v>Eislaufen</v>
      </c>
      <c r="H402" s="8" t="str">
        <f>IFERROR(__xludf.DUMMYFUNCTION("GOOGLETRANSLATE(C402, ""en"", ""ru"")"),"катание на коньках")</f>
        <v>катание на коньках</v>
      </c>
      <c r="I402" s="8" t="str">
        <f>IFERROR(__xludf.DUMMYFUNCTION("GOOGLETRANSLATE(C402, ""en"", ""ar"")"),"التزلج على الجليد")</f>
        <v>التزلج على الجليد</v>
      </c>
      <c r="J402" s="8"/>
      <c r="K402" s="7" t="str">
        <f>IFERROR(__xludf.DUMMYFUNCTION("CONCAT(REGEXREPLACE(C402,""[ ,]+"",""_""),"".mp3"")"),"ice_skating.mp3")</f>
        <v>ice_skating.mp3</v>
      </c>
      <c r="M402" s="4" t="s">
        <v>10</v>
      </c>
    </row>
    <row r="403" ht="15.75" customHeight="1">
      <c r="A403" s="1">
        <v>1771.0</v>
      </c>
      <c r="B403" s="3">
        <v>143.0</v>
      </c>
      <c r="C403" s="7" t="s">
        <v>457</v>
      </c>
      <c r="D403" s="8" t="str">
        <f>IFERROR(__xludf.DUMMYFUNCTION("GOOGLETRANSLATE(C403, ""en"", ""pt"")"),"patinação artística")</f>
        <v>patinação artística</v>
      </c>
      <c r="E403" s="8" t="str">
        <f>IFERROR(__xludf.DUMMYFUNCTION("GOOGLETRANSLATE(C403, ""en"", ""es"")"),"patinaje artístico")</f>
        <v>patinaje artístico</v>
      </c>
      <c r="F403" s="8" t="str">
        <f>IFERROR(__xludf.DUMMYFUNCTION("GOOGLETRANSLATE(C403, ""en"", ""fr"")"),"patinage artistique")</f>
        <v>patinage artistique</v>
      </c>
      <c r="G403" s="8" t="str">
        <f>IFERROR(__xludf.DUMMYFUNCTION("GOOGLETRANSLATE(C403, ""en"", ""de"")"),"Eiskunstlauf")</f>
        <v>Eiskunstlauf</v>
      </c>
      <c r="H403" s="8" t="str">
        <f>IFERROR(__xludf.DUMMYFUNCTION("GOOGLETRANSLATE(C403, ""en"", ""ru"")"),"фигурное катание")</f>
        <v>фигурное катание</v>
      </c>
      <c r="I403" s="8" t="str">
        <f>IFERROR(__xludf.DUMMYFUNCTION("GOOGLETRANSLATE(C403, ""en"", ""ar"")"),"التزلج الفني")</f>
        <v>التزلج الفني</v>
      </c>
      <c r="J403" s="8"/>
      <c r="K403" s="7" t="str">
        <f>IFERROR(__xludf.DUMMYFUNCTION("CONCAT(REGEXREPLACE(C403,""[ ,]+"",""_""),"".mp3"")"),"figure_skating.mp3")</f>
        <v>figure_skating.mp3</v>
      </c>
      <c r="M403" s="4" t="s">
        <v>10</v>
      </c>
    </row>
    <row r="404" ht="15.75" customHeight="1">
      <c r="A404" s="1">
        <v>1772.0</v>
      </c>
      <c r="B404" s="3">
        <v>143.0</v>
      </c>
      <c r="C404" s="7" t="s">
        <v>458</v>
      </c>
      <c r="D404" s="8" t="str">
        <f>IFERROR(__xludf.DUMMYFUNCTION("GOOGLETRANSLATE(C404, ""en"", ""pt"")"),"patinação de velocidade")</f>
        <v>patinação de velocidade</v>
      </c>
      <c r="E404" s="8" t="str">
        <f>IFERROR(__xludf.DUMMYFUNCTION("GOOGLETRANSLATE(C404, ""en"", ""es"")"),"patinaje de velocidad")</f>
        <v>patinaje de velocidad</v>
      </c>
      <c r="F404" s="8" t="str">
        <f>IFERROR(__xludf.DUMMYFUNCTION("GOOGLETRANSLATE(C404, ""en"", ""fr"")"),"patinage de vitesse")</f>
        <v>patinage de vitesse</v>
      </c>
      <c r="G404" s="8" t="str">
        <f>IFERROR(__xludf.DUMMYFUNCTION("GOOGLETRANSLATE(C404, ""en"", ""de"")"),"Eisschnelllauf")</f>
        <v>Eisschnelllauf</v>
      </c>
      <c r="H404" s="8" t="str">
        <f>IFERROR(__xludf.DUMMYFUNCTION("GOOGLETRANSLATE(C404, ""en"", ""ru"")"),"конькобежный спорт")</f>
        <v>конькобежный спорт</v>
      </c>
      <c r="I404" s="8" t="str">
        <f>IFERROR(__xludf.DUMMYFUNCTION("GOOGLETRANSLATE(C404, ""en"", ""ar"")"),"التزلج السريع")</f>
        <v>التزلج السريع</v>
      </c>
      <c r="J404" s="8"/>
      <c r="K404" s="7" t="str">
        <f>IFERROR(__xludf.DUMMYFUNCTION("CONCAT(REGEXREPLACE(C404,""[ ,]+"",""_""),"".mp3"")"),"speed_skating.mp3")</f>
        <v>speed_skating.mp3</v>
      </c>
      <c r="M404" s="4" t="s">
        <v>10</v>
      </c>
    </row>
    <row r="405" ht="15.75" customHeight="1">
      <c r="A405" s="1">
        <v>1773.0</v>
      </c>
      <c r="B405" s="3">
        <v>143.0</v>
      </c>
      <c r="C405" s="7" t="s">
        <v>459</v>
      </c>
      <c r="D405" s="8" t="str">
        <f>IFERROR(__xludf.DUMMYFUNCTION("GOOGLETRANSLATE(C405, ""en"", ""pt"")"),"patinação de velocidade em pista curta")</f>
        <v>patinação de velocidade em pista curta</v>
      </c>
      <c r="E405" s="8" t="str">
        <f>IFERROR(__xludf.DUMMYFUNCTION("GOOGLETRANSLATE(C405, ""en"", ""es"")"),"patinaje de velocidad en pista corta")</f>
        <v>patinaje de velocidad en pista corta</v>
      </c>
      <c r="F405" s="8" t="str">
        <f>IFERROR(__xludf.DUMMYFUNCTION("GOOGLETRANSLATE(C405, ""en"", ""fr"")"),"patinage de vitesse sur piste courte")</f>
        <v>patinage de vitesse sur piste courte</v>
      </c>
      <c r="G405" s="8" t="str">
        <f>IFERROR(__xludf.DUMMYFUNCTION("GOOGLETRANSLATE(C405, ""en"", ""de"")"),"Shorttrack-Eisschnelllauf")</f>
        <v>Shorttrack-Eisschnelllauf</v>
      </c>
      <c r="H405" s="8" t="str">
        <f>IFERROR(__xludf.DUMMYFUNCTION("GOOGLETRANSLATE(C405, ""en"", ""ru"")"),"конькобежный спорт на короткой дистанции")</f>
        <v>конькобежный спорт на короткой дистанции</v>
      </c>
      <c r="I405" s="8" t="str">
        <f>IFERROR(__xludf.DUMMYFUNCTION("GOOGLETRANSLATE(C405, ""en"", ""ar"")"),"التزلج السريع على المسار القصير")</f>
        <v>التزلج السريع على المسار القصير</v>
      </c>
      <c r="J405" s="8"/>
      <c r="K405" s="7" t="str">
        <f>IFERROR(__xludf.DUMMYFUNCTION("CONCAT(REGEXREPLACE(C405,""[ ,]+"",""_""),"".mp3"")"),"short‑track_speed_skating.mp3")</f>
        <v>short‑track_speed_skating.mp3</v>
      </c>
      <c r="M405" s="4" t="s">
        <v>10</v>
      </c>
    </row>
    <row r="406" ht="15.75" customHeight="1">
      <c r="A406" s="1">
        <v>1774.0</v>
      </c>
      <c r="B406" s="3">
        <v>143.0</v>
      </c>
      <c r="C406" s="7" t="s">
        <v>368</v>
      </c>
      <c r="D406" s="8" t="str">
        <f>IFERROR(__xludf.DUMMYFUNCTION("GOOGLETRANSLATE(C406, ""en"", ""pt"")"),"hóquei no gelo")</f>
        <v>hóquei no gelo</v>
      </c>
      <c r="E406" s="8" t="str">
        <f>IFERROR(__xludf.DUMMYFUNCTION("GOOGLETRANSLATE(C406, ""en"", ""es"")"),"hockey sobre hielo")</f>
        <v>hockey sobre hielo</v>
      </c>
      <c r="F406" s="8" t="str">
        <f>IFERROR(__xludf.DUMMYFUNCTION("GOOGLETRANSLATE(C406, ""en"", ""fr"")"),"hockey sur glace")</f>
        <v>hockey sur glace</v>
      </c>
      <c r="G406" s="8" t="str">
        <f>IFERROR(__xludf.DUMMYFUNCTION("GOOGLETRANSLATE(C406, ""en"", ""de"")"),"Eishockey")</f>
        <v>Eishockey</v>
      </c>
      <c r="H406" s="8" t="str">
        <f>IFERROR(__xludf.DUMMYFUNCTION("GOOGLETRANSLATE(C406, ""en"", ""ru"")"),"хоккей с шайбой")</f>
        <v>хоккей с шайбой</v>
      </c>
      <c r="I406" s="8" t="str">
        <f>IFERROR(__xludf.DUMMYFUNCTION("GOOGLETRANSLATE(C406, ""en"", ""ar"")"),"هوكي الجليد")</f>
        <v>هوكي الجليد</v>
      </c>
      <c r="J406" s="8"/>
      <c r="K406" s="7" t="str">
        <f>IFERROR(__xludf.DUMMYFUNCTION("CONCAT(REGEXREPLACE(C406,""[ ,]+"",""_""),"".mp3"")"),"ice_hockey.mp3")</f>
        <v>ice_hockey.mp3</v>
      </c>
      <c r="M406" s="4" t="s">
        <v>10</v>
      </c>
    </row>
    <row r="407" ht="15.75" customHeight="1">
      <c r="A407" s="1">
        <v>1775.0</v>
      </c>
      <c r="B407" s="3">
        <v>143.0</v>
      </c>
      <c r="C407" s="7" t="s">
        <v>460</v>
      </c>
      <c r="D407" s="8" t="str">
        <f>IFERROR(__xludf.DUMMYFUNCTION("GOOGLETRANSLATE(C407, ""en"", ""pt"")"),"ondulação")</f>
        <v>ondulação</v>
      </c>
      <c r="E407" s="8" t="str">
        <f>IFERROR(__xludf.DUMMYFUNCTION("GOOGLETRANSLATE(C407, ""en"", ""es"")"),"curling")</f>
        <v>curling</v>
      </c>
      <c r="F407" s="8" t="str">
        <f>IFERROR(__xludf.DUMMYFUNCTION("GOOGLETRANSLATE(C407, ""en"", ""fr"")"),"curling")</f>
        <v>curling</v>
      </c>
      <c r="G407" s="8" t="str">
        <f>IFERROR(__xludf.DUMMYFUNCTION("GOOGLETRANSLATE(C407, ""en"", ""de"")"),"Curling")</f>
        <v>Curling</v>
      </c>
      <c r="H407" s="8" t="str">
        <f>IFERROR(__xludf.DUMMYFUNCTION("GOOGLETRANSLATE(C407, ""en"", ""ru"")"),"вьющийся")</f>
        <v>вьющийся</v>
      </c>
      <c r="I407" s="8" t="str">
        <f>IFERROR(__xludf.DUMMYFUNCTION("GOOGLETRANSLATE(C407, ""en"", ""ar"")"),"تجعيد الشعر")</f>
        <v>تجعيد الشعر</v>
      </c>
      <c r="J407" s="8"/>
      <c r="K407" s="7" t="str">
        <f>IFERROR(__xludf.DUMMYFUNCTION("CONCAT(REGEXREPLACE(C407,""[ ,]+"",""_""),"".mp3"")"),"curling.mp3")</f>
        <v>curling.mp3</v>
      </c>
      <c r="M407" s="4" t="s">
        <v>10</v>
      </c>
    </row>
    <row r="408" ht="15.75" customHeight="1">
      <c r="A408" s="1">
        <v>1776.0</v>
      </c>
      <c r="B408" s="3">
        <v>143.0</v>
      </c>
      <c r="C408" s="7" t="s">
        <v>461</v>
      </c>
      <c r="D408" s="8" t="str">
        <f>IFERROR(__xludf.DUMMYFUNCTION("GOOGLETRANSLATE(C408, ""en"", ""pt"")"),"bobsleigh")</f>
        <v>bobsleigh</v>
      </c>
      <c r="E408" s="8" t="str">
        <f>IFERROR(__xludf.DUMMYFUNCTION("GOOGLETRANSLATE(C408, ""en"", ""es"")"),"bobsleigh")</f>
        <v>bobsleigh</v>
      </c>
      <c r="F408" s="8" t="str">
        <f>IFERROR(__xludf.DUMMYFUNCTION("GOOGLETRANSLATE(C408, ""en"", ""fr"")"),"bobsleigh")</f>
        <v>bobsleigh</v>
      </c>
      <c r="G408" s="8" t="str">
        <f>IFERROR(__xludf.DUMMYFUNCTION("GOOGLETRANSLATE(C408, ""en"", ""de"")"),"Bobschlitten")</f>
        <v>Bobschlitten</v>
      </c>
      <c r="H408" s="8" t="str">
        <f>IFERROR(__xludf.DUMMYFUNCTION("GOOGLETRANSLATE(C408, ""en"", ""ru"")"),"бобслей")</f>
        <v>бобслей</v>
      </c>
      <c r="I408" s="8" t="str">
        <f>IFERROR(__xludf.DUMMYFUNCTION("GOOGLETRANSLATE(C408, ""en"", ""ar"")"),"الزلاجة الجماعية")</f>
        <v>الزلاجة الجماعية</v>
      </c>
      <c r="J408" s="8"/>
      <c r="K408" s="7" t="str">
        <f>IFERROR(__xludf.DUMMYFUNCTION("CONCAT(REGEXREPLACE(C408,""[ ,]+"",""_""),"".mp3"")"),"bobsleigh.mp3")</f>
        <v>bobsleigh.mp3</v>
      </c>
      <c r="M408" s="4" t="s">
        <v>10</v>
      </c>
    </row>
    <row r="409" ht="15.75" customHeight="1">
      <c r="A409" s="1">
        <v>1777.0</v>
      </c>
      <c r="B409" s="3">
        <v>143.0</v>
      </c>
      <c r="C409" s="7" t="s">
        <v>462</v>
      </c>
      <c r="D409" s="8" t="str">
        <f>IFERROR(__xludf.DUMMYFUNCTION("GOOGLETRANSLATE(C409, ""en"", ""pt"")"),"luge")</f>
        <v>luge</v>
      </c>
      <c r="E409" s="8" t="str">
        <f>IFERROR(__xludf.DUMMYFUNCTION("GOOGLETRANSLATE(C409, ""en"", ""es"")"),"trineo")</f>
        <v>trineo</v>
      </c>
      <c r="F409" s="8" t="str">
        <f>IFERROR(__xludf.DUMMYFUNCTION("GOOGLETRANSLATE(C409, ""en"", ""fr"")"),"luge")</f>
        <v>luge</v>
      </c>
      <c r="G409" s="8" t="str">
        <f>IFERROR(__xludf.DUMMYFUNCTION("GOOGLETRANSLATE(C409, ""en"", ""de"")"),"Rodeln")</f>
        <v>Rodeln</v>
      </c>
      <c r="H409" s="8" t="str">
        <f>IFERROR(__xludf.DUMMYFUNCTION("GOOGLETRANSLATE(C409, ""en"", ""ru"")"),"санная")</f>
        <v>санная</v>
      </c>
      <c r="I409" s="8" t="str">
        <f>IFERROR(__xludf.DUMMYFUNCTION("GOOGLETRANSLATE(C409, ""en"", ""ar"")"),"الزلاجة")</f>
        <v>الزلاجة</v>
      </c>
      <c r="J409" s="8"/>
      <c r="K409" s="7" t="str">
        <f>IFERROR(__xludf.DUMMYFUNCTION("CONCAT(REGEXREPLACE(C409,""[ ,]+"",""_""),"".mp3"")"),"luge.mp3")</f>
        <v>luge.mp3</v>
      </c>
      <c r="M409" s="4" t="s">
        <v>10</v>
      </c>
    </row>
    <row r="410" ht="15.75" customHeight="1">
      <c r="A410" s="1">
        <v>1778.0</v>
      </c>
      <c r="B410" s="3">
        <v>143.0</v>
      </c>
      <c r="C410" s="7" t="s">
        <v>463</v>
      </c>
      <c r="D410" s="8" t="str">
        <f>IFERROR(__xludf.DUMMYFUNCTION("GOOGLETRANSLATE(C410, ""en"", ""pt"")"),"esqueleto")</f>
        <v>esqueleto</v>
      </c>
      <c r="E410" s="8" t="str">
        <f>IFERROR(__xludf.DUMMYFUNCTION("GOOGLETRANSLATE(C410, ""en"", ""es"")"),"esqueleto")</f>
        <v>esqueleto</v>
      </c>
      <c r="F410" s="8" t="str">
        <f>IFERROR(__xludf.DUMMYFUNCTION("GOOGLETRANSLATE(C410, ""en"", ""fr"")"),"squelette")</f>
        <v>squelette</v>
      </c>
      <c r="G410" s="8" t="str">
        <f>IFERROR(__xludf.DUMMYFUNCTION("GOOGLETRANSLATE(C410, ""en"", ""de"")"),"Skeleton")</f>
        <v>Skeleton</v>
      </c>
      <c r="H410" s="8" t="str">
        <f>IFERROR(__xludf.DUMMYFUNCTION("GOOGLETRANSLATE(C410, ""en"", ""ru"")"),"скелет")</f>
        <v>скелет</v>
      </c>
      <c r="I410" s="8" t="str">
        <f>IFERROR(__xludf.DUMMYFUNCTION("GOOGLETRANSLATE(C410, ""en"", ""ar"")"),"هيكل عظمي")</f>
        <v>هيكل عظمي</v>
      </c>
      <c r="J410" s="8"/>
      <c r="K410" s="7" t="str">
        <f>IFERROR(__xludf.DUMMYFUNCTION("CONCAT(REGEXREPLACE(C410,""[ ,]+"",""_""),"".mp3"")"),"skeleton.mp3")</f>
        <v>skeleton.mp3</v>
      </c>
      <c r="M410" s="4" t="s">
        <v>10</v>
      </c>
    </row>
    <row r="411" ht="15.75" customHeight="1">
      <c r="A411" s="1">
        <v>1779.0</v>
      </c>
      <c r="B411" s="3">
        <v>143.0</v>
      </c>
      <c r="C411" s="7" t="s">
        <v>464</v>
      </c>
      <c r="D411" s="8" t="str">
        <f>IFERROR(__xludf.DUMMYFUNCTION("GOOGLETRANSLATE(C411, ""en"", ""pt"")"),"biatlo")</f>
        <v>biatlo</v>
      </c>
      <c r="E411" s="8" t="str">
        <f>IFERROR(__xludf.DUMMYFUNCTION("GOOGLETRANSLATE(C411, ""en"", ""es"")"),"biatlón")</f>
        <v>biatlón</v>
      </c>
      <c r="F411" s="8" t="str">
        <f>IFERROR(__xludf.DUMMYFUNCTION("GOOGLETRANSLATE(C411, ""en"", ""fr"")"),"biathlon")</f>
        <v>biathlon</v>
      </c>
      <c r="G411" s="8" t="str">
        <f>IFERROR(__xludf.DUMMYFUNCTION("GOOGLETRANSLATE(C411, ""en"", ""de"")"),"Biathlon")</f>
        <v>Biathlon</v>
      </c>
      <c r="H411" s="8" t="str">
        <f>IFERROR(__xludf.DUMMYFUNCTION("GOOGLETRANSLATE(C411, ""en"", ""ru"")"),"биатлон")</f>
        <v>биатлон</v>
      </c>
      <c r="I411" s="8" t="str">
        <f>IFERROR(__xludf.DUMMYFUNCTION("GOOGLETRANSLATE(C411, ""en"", ""ar"")"),"البياثلون")</f>
        <v>البياثلون</v>
      </c>
      <c r="J411" s="8"/>
      <c r="K411" s="7" t="str">
        <f>IFERROR(__xludf.DUMMYFUNCTION("CONCAT(REGEXREPLACE(C411,""[ ,]+"",""_""),"".mp3"")"),"biathlon.mp3")</f>
        <v>biathlon.mp3</v>
      </c>
      <c r="M411" s="4" t="s">
        <v>10</v>
      </c>
    </row>
    <row r="412" ht="15.75" customHeight="1">
      <c r="A412" s="1">
        <v>1780.0</v>
      </c>
      <c r="B412" s="3">
        <v>143.0</v>
      </c>
      <c r="C412" s="7" t="s">
        <v>465</v>
      </c>
      <c r="D412" s="8" t="str">
        <f>IFERROR(__xludf.DUMMYFUNCTION("GOOGLETRANSLATE(C412, ""en"", ""pt"")"),"arco e flecha")</f>
        <v>arco e flecha</v>
      </c>
      <c r="E412" s="8" t="str">
        <f>IFERROR(__xludf.DUMMYFUNCTION("GOOGLETRANSLATE(C412, ""en"", ""es"")"),"tiro al arco")</f>
        <v>tiro al arco</v>
      </c>
      <c r="F412" s="8" t="str">
        <f>IFERROR(__xludf.DUMMYFUNCTION("GOOGLETRANSLATE(C412, ""en"", ""fr"")"),"tir à l'arc")</f>
        <v>tir à l'arc</v>
      </c>
      <c r="G412" s="8" t="str">
        <f>IFERROR(__xludf.DUMMYFUNCTION("GOOGLETRANSLATE(C412, ""en"", ""de"")"),"Bogenschießen")</f>
        <v>Bogenschießen</v>
      </c>
      <c r="H412" s="8" t="str">
        <f>IFERROR(__xludf.DUMMYFUNCTION("GOOGLETRANSLATE(C412, ""en"", ""ru"")"),"стрельба из лука")</f>
        <v>стрельба из лука</v>
      </c>
      <c r="I412" s="8" t="str">
        <f>IFERROR(__xludf.DUMMYFUNCTION("GOOGLETRANSLATE(C412, ""en"", ""ar"")"),"الرماية")</f>
        <v>الرماية</v>
      </c>
      <c r="J412" s="8"/>
      <c r="K412" s="7" t="str">
        <f>IFERROR(__xludf.DUMMYFUNCTION("CONCAT(REGEXREPLACE(C412,""[ ,]+"",""_""),"".mp3"")"),"archery.mp3")</f>
        <v>archery.mp3</v>
      </c>
      <c r="M412" s="4" t="s">
        <v>10</v>
      </c>
    </row>
    <row r="413" ht="15.75" customHeight="1">
      <c r="A413" s="1">
        <v>1781.0</v>
      </c>
      <c r="B413" s="3">
        <v>143.0</v>
      </c>
      <c r="C413" s="7" t="s">
        <v>466</v>
      </c>
      <c r="D413" s="8" t="str">
        <f>IFERROR(__xludf.DUMMYFUNCTION("GOOGLETRANSLATE(C413, ""en"", ""pt"")"),"tiroteio")</f>
        <v>tiroteio</v>
      </c>
      <c r="E413" s="8" t="str">
        <f>IFERROR(__xludf.DUMMYFUNCTION("GOOGLETRANSLATE(C413, ""en"", ""es"")"),"tiroteo")</f>
        <v>tiroteo</v>
      </c>
      <c r="F413" s="8" t="str">
        <f>IFERROR(__xludf.DUMMYFUNCTION("GOOGLETRANSLATE(C413, ""en"", ""fr"")"),"tournage")</f>
        <v>tournage</v>
      </c>
      <c r="G413" s="8" t="str">
        <f>IFERROR(__xludf.DUMMYFUNCTION("GOOGLETRANSLATE(C413, ""en"", ""de"")"),"Schießen")</f>
        <v>Schießen</v>
      </c>
      <c r="H413" s="8" t="str">
        <f>IFERROR(__xludf.DUMMYFUNCTION("GOOGLETRANSLATE(C413, ""en"", ""ru"")"),"стрельба")</f>
        <v>стрельба</v>
      </c>
      <c r="I413" s="8" t="str">
        <f>IFERROR(__xludf.DUMMYFUNCTION("GOOGLETRANSLATE(C413, ""en"", ""ar"")"),"إطلاق نار")</f>
        <v>إطلاق نار</v>
      </c>
      <c r="J413" s="8"/>
      <c r="K413" s="7" t="str">
        <f>IFERROR(__xludf.DUMMYFUNCTION("CONCAT(REGEXREPLACE(C413,""[ ,]+"",""_""),"".mp3"")"),"shooting.mp3")</f>
        <v>shooting.mp3</v>
      </c>
      <c r="M413" s="4" t="s">
        <v>10</v>
      </c>
    </row>
    <row r="414" ht="15.75" customHeight="1">
      <c r="A414" s="1">
        <v>1782.0</v>
      </c>
      <c r="B414" s="3">
        <v>143.0</v>
      </c>
      <c r="C414" s="7" t="s">
        <v>467</v>
      </c>
      <c r="D414" s="8" t="str">
        <f>IFERROR(__xludf.DUMMYFUNCTION("GOOGLETRANSLATE(C414, ""en"", ""pt"")"),"tiro ao prato")</f>
        <v>tiro ao prato</v>
      </c>
      <c r="E414" s="8" t="str">
        <f>IFERROR(__xludf.DUMMYFUNCTION("GOOGLETRANSLATE(C414, ""en"", ""es"")"),"tiro al plato")</f>
        <v>tiro al plato</v>
      </c>
      <c r="F414" s="8" t="str">
        <f>IFERROR(__xludf.DUMMYFUNCTION("GOOGLETRANSLATE(C414, ""en"", ""fr"")"),"tir au skeet")</f>
        <v>tir au skeet</v>
      </c>
      <c r="G414" s="8" t="str">
        <f>IFERROR(__xludf.DUMMYFUNCTION("GOOGLETRANSLATE(C414, ""en"", ""de"")"),"Tontaubenschießen")</f>
        <v>Tontaubenschießen</v>
      </c>
      <c r="H414" s="8" t="str">
        <f>IFERROR(__xludf.DUMMYFUNCTION("GOOGLETRANSLATE(C414, ""en"", ""ru"")"),"стендовая стрельба")</f>
        <v>стендовая стрельба</v>
      </c>
      <c r="I414" s="8" t="str">
        <f>IFERROR(__xludf.DUMMYFUNCTION("GOOGLETRANSLATE(C414, ""en"", ""ar"")"),"الرماية على الأطباق الطائرة")</f>
        <v>الرماية على الأطباق الطائرة</v>
      </c>
      <c r="J414" s="8"/>
      <c r="K414" s="7" t="str">
        <f>IFERROR(__xludf.DUMMYFUNCTION("CONCAT(REGEXREPLACE(C414,""[ ,]+"",""_""),"".mp3"")"),"skeet_shooting.mp3")</f>
        <v>skeet_shooting.mp3</v>
      </c>
      <c r="M414" s="4" t="s">
        <v>10</v>
      </c>
    </row>
    <row r="415" ht="15.75" customHeight="1">
      <c r="A415" s="1">
        <v>1783.0</v>
      </c>
      <c r="B415" s="3">
        <v>143.0</v>
      </c>
      <c r="C415" s="7" t="s">
        <v>468</v>
      </c>
      <c r="D415" s="8" t="str">
        <f>IFERROR(__xludf.DUMMYFUNCTION("GOOGLETRANSLATE(C415, ""en"", ""pt"")"),"tiro ao prato")</f>
        <v>tiro ao prato</v>
      </c>
      <c r="E415" s="8" t="str">
        <f>IFERROR(__xludf.DUMMYFUNCTION("GOOGLETRANSLATE(C415, ""en"", ""es"")"),"tiro al plato")</f>
        <v>tiro al plato</v>
      </c>
      <c r="F415" s="8" t="str">
        <f>IFERROR(__xludf.DUMMYFUNCTION("GOOGLETRANSLATE(C415, ""en"", ""fr"")"),"tir au pigeon d'argile")</f>
        <v>tir au pigeon d'argile</v>
      </c>
      <c r="G415" s="8" t="str">
        <f>IFERROR(__xludf.DUMMYFUNCTION("GOOGLETRANSLATE(C415, ""en"", ""de"")"),"Tontaubenschießen")</f>
        <v>Tontaubenschießen</v>
      </c>
      <c r="H415" s="8" t="str">
        <f>IFERROR(__xludf.DUMMYFUNCTION("GOOGLETRANSLATE(C415, ""en"", ""ru"")"),"стендовая стрельба")</f>
        <v>стендовая стрельба</v>
      </c>
      <c r="I415" s="8" t="str">
        <f>IFERROR(__xludf.DUMMYFUNCTION("GOOGLETRANSLATE(C415, ""en"", ""ar"")"),"الرماية على الأطباق الطائرة")</f>
        <v>الرماية على الأطباق الطائرة</v>
      </c>
      <c r="J415" s="8"/>
      <c r="K415" s="7" t="str">
        <f>IFERROR(__xludf.DUMMYFUNCTION("CONCAT(REGEXREPLACE(C415,""[ ,]+"",""_""),"".mp3"")"),"trap_shooting.mp3")</f>
        <v>trap_shooting.mp3</v>
      </c>
      <c r="M415" s="4" t="s">
        <v>10</v>
      </c>
    </row>
    <row r="416" ht="15.75" customHeight="1">
      <c r="A416" s="1">
        <v>1784.0</v>
      </c>
      <c r="B416" s="3">
        <v>143.0</v>
      </c>
      <c r="C416" s="7" t="s">
        <v>469</v>
      </c>
      <c r="D416" s="8" t="str">
        <f>IFERROR(__xludf.DUMMYFUNCTION("GOOGLETRANSLATE(C416, ""en"", ""pt"")"),"dardos")</f>
        <v>dardos</v>
      </c>
      <c r="E416" s="8" t="str">
        <f>IFERROR(__xludf.DUMMYFUNCTION("GOOGLETRANSLATE(C416, ""en"", ""es"")"),"dardos")</f>
        <v>dardos</v>
      </c>
      <c r="F416" s="8" t="str">
        <f>IFERROR(__xludf.DUMMYFUNCTION("GOOGLETRANSLATE(C416, ""en"", ""fr"")"),"fléchettes")</f>
        <v>fléchettes</v>
      </c>
      <c r="G416" s="8" t="str">
        <f>IFERROR(__xludf.DUMMYFUNCTION("GOOGLETRANSLATE(C416, ""en"", ""de"")"),"Darts")</f>
        <v>Darts</v>
      </c>
      <c r="H416" s="8" t="str">
        <f>IFERROR(__xludf.DUMMYFUNCTION("GOOGLETRANSLATE(C416, ""en"", ""ru"")"),"дартс")</f>
        <v>дартс</v>
      </c>
      <c r="I416" s="8" t="str">
        <f>IFERROR(__xludf.DUMMYFUNCTION("GOOGLETRANSLATE(C416, ""en"", ""ar"")"),"رمي السهام")</f>
        <v>رمي السهام</v>
      </c>
      <c r="J416" s="8"/>
      <c r="K416" s="7" t="str">
        <f>IFERROR(__xludf.DUMMYFUNCTION("CONCAT(REGEXREPLACE(C416,""[ ,]+"",""_""),"".mp3"")"),"darts.mp3")</f>
        <v>darts.mp3</v>
      </c>
      <c r="M416" s="4" t="s">
        <v>10</v>
      </c>
    </row>
    <row r="417" ht="15.75" customHeight="1">
      <c r="A417" s="1">
        <v>1785.0</v>
      </c>
      <c r="B417" s="3">
        <v>143.0</v>
      </c>
      <c r="C417" s="7" t="s">
        <v>470</v>
      </c>
      <c r="D417" s="8" t="str">
        <f>IFERROR(__xludf.DUMMYFUNCTION("GOOGLETRANSLATE(C417, ""en"", ""pt"")"),"boliche")</f>
        <v>boliche</v>
      </c>
      <c r="E417" s="8" t="str">
        <f>IFERROR(__xludf.DUMMYFUNCTION("GOOGLETRANSLATE(C417, ""en"", ""es"")"),"bolos")</f>
        <v>bolos</v>
      </c>
      <c r="F417" s="8" t="str">
        <f>IFERROR(__xludf.DUMMYFUNCTION("GOOGLETRANSLATE(C417, ""en"", ""fr"")"),"bowling")</f>
        <v>bowling</v>
      </c>
      <c r="G417" s="8" t="str">
        <f>IFERROR(__xludf.DUMMYFUNCTION("GOOGLETRANSLATE(C417, ""en"", ""de"")"),"Bowling")</f>
        <v>Bowling</v>
      </c>
      <c r="H417" s="8" t="str">
        <f>IFERROR(__xludf.DUMMYFUNCTION("GOOGLETRANSLATE(C417, ""en"", ""ru"")"),"боулинг")</f>
        <v>боулинг</v>
      </c>
      <c r="I417" s="8" t="str">
        <f>IFERROR(__xludf.DUMMYFUNCTION("GOOGLETRANSLATE(C417, ""en"", ""ar"")"),"البولينج")</f>
        <v>البولينج</v>
      </c>
      <c r="J417" s="8"/>
      <c r="K417" s="7" t="str">
        <f>IFERROR(__xludf.DUMMYFUNCTION("CONCAT(REGEXREPLACE(C417,""[ ,]+"",""_""),"".mp3"")"),"bowling.mp3")</f>
        <v>bowling.mp3</v>
      </c>
      <c r="M417" s="4" t="s">
        <v>10</v>
      </c>
    </row>
    <row r="418" ht="15.75" customHeight="1">
      <c r="A418" s="1">
        <v>1786.0</v>
      </c>
      <c r="B418" s="3">
        <v>143.0</v>
      </c>
      <c r="C418" s="7" t="s">
        <v>471</v>
      </c>
      <c r="D418" s="8" t="str">
        <f>IFERROR(__xludf.DUMMYFUNCTION("GOOGLETRANSLATE(C418, ""en"", ""pt"")"),"bocha")</f>
        <v>bocha</v>
      </c>
      <c r="E418" s="8" t="str">
        <f>IFERROR(__xludf.DUMMYFUNCTION("GOOGLETRANSLATE(C418, ""en"", ""es"")"),"bochas")</f>
        <v>bochas</v>
      </c>
      <c r="F418" s="8" t="str">
        <f>IFERROR(__xludf.DUMMYFUNCTION("GOOGLETRANSLATE(C418, ""en"", ""fr"")"),"pétanque")</f>
        <v>pétanque</v>
      </c>
      <c r="G418" s="8" t="str">
        <f>IFERROR(__xludf.DUMMYFUNCTION("GOOGLETRANSLATE(C418, ""en"", ""de"")"),"Boccia")</f>
        <v>Boccia</v>
      </c>
      <c r="H418" s="8" t="str">
        <f>IFERROR(__xludf.DUMMYFUNCTION("GOOGLETRANSLATE(C418, ""en"", ""ru"")"),"бочче")</f>
        <v>бочче</v>
      </c>
      <c r="I418" s="8" t="str">
        <f>IFERROR(__xludf.DUMMYFUNCTION("GOOGLETRANSLATE(C418, ""en"", ""ar"")"),"البوتشي")</f>
        <v>البوتشي</v>
      </c>
      <c r="J418" s="8"/>
      <c r="K418" s="7" t="str">
        <f>IFERROR(__xludf.DUMMYFUNCTION("CONCAT(REGEXREPLACE(C418,""[ ,]+"",""_""),"".mp3"")"),"bocce.mp3")</f>
        <v>bocce.mp3</v>
      </c>
      <c r="M418" s="4" t="s">
        <v>10</v>
      </c>
    </row>
    <row r="419" ht="15.75" customHeight="1">
      <c r="A419" s="1">
        <v>1787.0</v>
      </c>
      <c r="B419" s="3">
        <v>143.0</v>
      </c>
      <c r="C419" s="7" t="s">
        <v>472</v>
      </c>
      <c r="D419" s="8" t="str">
        <f>IFERROR(__xludf.DUMMYFUNCTION("GOOGLETRANSLATE(C419, ""en"", ""pt"")"),"petanca")</f>
        <v>petanca</v>
      </c>
      <c r="E419" s="8" t="str">
        <f>IFERROR(__xludf.DUMMYFUNCTION("GOOGLETRANSLATE(C419, ""en"", ""es"")"),"petanca")</f>
        <v>petanca</v>
      </c>
      <c r="F419" s="8" t="str">
        <f>IFERROR(__xludf.DUMMYFUNCTION("GOOGLETRANSLATE(C419, ""en"", ""fr"")"),"pétanque")</f>
        <v>pétanque</v>
      </c>
      <c r="G419" s="8" t="str">
        <f>IFERROR(__xludf.DUMMYFUNCTION("GOOGLETRANSLATE(C419, ""en"", ""de"")"),"Boule")</f>
        <v>Boule</v>
      </c>
      <c r="H419" s="8" t="str">
        <f>IFERROR(__xludf.DUMMYFUNCTION("GOOGLETRANSLATE(C419, ""en"", ""ru"")"),"петанк")</f>
        <v>петанк</v>
      </c>
      <c r="I419" s="8" t="str">
        <f>IFERROR(__xludf.DUMMYFUNCTION("GOOGLETRANSLATE(C419, ""en"", ""ar"")"),"لعبة البوتشي")</f>
        <v>لعبة البوتشي</v>
      </c>
      <c r="J419" s="8"/>
      <c r="K419" s="7" t="str">
        <f>IFERROR(__xludf.DUMMYFUNCTION("CONCAT(REGEXREPLACE(C419,""[ ,]+"",""_""),"".mp3"")"),"pétanque.mp3")</f>
        <v>pétanque.mp3</v>
      </c>
      <c r="M419" s="4" t="s">
        <v>10</v>
      </c>
    </row>
    <row r="420" ht="15.75" customHeight="1">
      <c r="A420" s="1">
        <v>1788.0</v>
      </c>
      <c r="B420" s="3">
        <v>143.0</v>
      </c>
      <c r="C420" s="7" t="s">
        <v>460</v>
      </c>
      <c r="D420" s="8" t="str">
        <f>IFERROR(__xludf.DUMMYFUNCTION("GOOGLETRANSLATE(C420, ""en"", ""pt"")"),"ondulação")</f>
        <v>ondulação</v>
      </c>
      <c r="E420" s="8" t="str">
        <f>IFERROR(__xludf.DUMMYFUNCTION("GOOGLETRANSLATE(C420, ""en"", ""es"")"),"curling")</f>
        <v>curling</v>
      </c>
      <c r="F420" s="8" t="str">
        <f>IFERROR(__xludf.DUMMYFUNCTION("GOOGLETRANSLATE(C420, ""en"", ""fr"")"),"curling")</f>
        <v>curling</v>
      </c>
      <c r="G420" s="8" t="str">
        <f>IFERROR(__xludf.DUMMYFUNCTION("GOOGLETRANSLATE(C420, ""en"", ""de"")"),"Curling")</f>
        <v>Curling</v>
      </c>
      <c r="H420" s="8" t="str">
        <f>IFERROR(__xludf.DUMMYFUNCTION("GOOGLETRANSLATE(C420, ""en"", ""ru"")"),"вьющийся")</f>
        <v>вьющийся</v>
      </c>
      <c r="I420" s="8" t="str">
        <f>IFERROR(__xludf.DUMMYFUNCTION("GOOGLETRANSLATE(C420, ""en"", ""ar"")"),"تجعيد الشعر")</f>
        <v>تجعيد الشعر</v>
      </c>
      <c r="J420" s="8"/>
      <c r="K420" s="7" t="str">
        <f>IFERROR(__xludf.DUMMYFUNCTION("CONCAT(REGEXREPLACE(C420,""[ ,]+"",""_""),"".mp3"")"),"curling.mp3")</f>
        <v>curling.mp3</v>
      </c>
      <c r="M420" s="4" t="s">
        <v>10</v>
      </c>
    </row>
    <row r="421" ht="15.75" customHeight="1">
      <c r="A421" s="1">
        <v>1789.0</v>
      </c>
      <c r="B421" s="3">
        <v>143.0</v>
      </c>
      <c r="C421" s="7" t="s">
        <v>473</v>
      </c>
      <c r="D421" s="8" t="str">
        <f>IFERROR(__xludf.DUMMYFUNCTION("GOOGLETRANSLATE(C421, ""en"", ""pt"")"),"disc golf")</f>
        <v>disc golf</v>
      </c>
      <c r="E421" s="8" t="str">
        <f>IFERROR(__xludf.DUMMYFUNCTION("GOOGLETRANSLATE(C421, ""en"", ""es"")"),"disc golf")</f>
        <v>disc golf</v>
      </c>
      <c r="F421" s="8" t="str">
        <f>IFERROR(__xludf.DUMMYFUNCTION("GOOGLETRANSLATE(C421, ""en"", ""fr"")"),"disc golf")</f>
        <v>disc golf</v>
      </c>
      <c r="G421" s="8" t="str">
        <f>IFERROR(__xludf.DUMMYFUNCTION("GOOGLETRANSLATE(C421, ""en"", ""de"")"),"Disc Golf")</f>
        <v>Disc Golf</v>
      </c>
      <c r="H421" s="8" t="str">
        <f>IFERROR(__xludf.DUMMYFUNCTION("GOOGLETRANSLATE(C421, ""en"", ""ru"")"),"диск-гольф")</f>
        <v>диск-гольф</v>
      </c>
      <c r="I421" s="8" t="str">
        <f>IFERROR(__xludf.DUMMYFUNCTION("GOOGLETRANSLATE(C421, ""en"", ""ar"")"),"لعبة غولف القرص")</f>
        <v>لعبة غولف القرص</v>
      </c>
      <c r="J421" s="8"/>
      <c r="K421" s="7" t="str">
        <f>IFERROR(__xludf.DUMMYFUNCTION("CONCAT(REGEXREPLACE(C421,""[ ,]+"",""_""),"".mp3"")"),"disc_golf.mp3")</f>
        <v>disc_golf.mp3</v>
      </c>
      <c r="M421" s="4" t="s">
        <v>10</v>
      </c>
    </row>
    <row r="422" ht="15.75" customHeight="1">
      <c r="A422" s="1">
        <v>1790.0</v>
      </c>
      <c r="B422" s="3">
        <v>143.0</v>
      </c>
      <c r="C422" s="7" t="s">
        <v>474</v>
      </c>
      <c r="D422" s="8" t="str">
        <f>IFERROR(__xludf.DUMMYFUNCTION("GOOGLETRANSLATE(C422, ""en"", ""pt"")"),"corridas de cavalos")</f>
        <v>corridas de cavalos</v>
      </c>
      <c r="E422" s="8" t="str">
        <f>IFERROR(__xludf.DUMMYFUNCTION("GOOGLETRANSLATE(C422, ""en"", ""es"")"),"carreras de caballos")</f>
        <v>carreras de caballos</v>
      </c>
      <c r="F422" s="8" t="str">
        <f>IFERROR(__xludf.DUMMYFUNCTION("GOOGLETRANSLATE(C422, ""en"", ""fr"")"),"course de chevaux")</f>
        <v>course de chevaux</v>
      </c>
      <c r="G422" s="8" t="str">
        <f>IFERROR(__xludf.DUMMYFUNCTION("GOOGLETRANSLATE(C422, ""en"", ""de"")"),"Pferderennen")</f>
        <v>Pferderennen</v>
      </c>
      <c r="H422" s="8" t="str">
        <f>IFERROR(__xludf.DUMMYFUNCTION("GOOGLETRANSLATE(C422, ""en"", ""ru"")"),"скачки")</f>
        <v>скачки</v>
      </c>
      <c r="I422" s="8" t="str">
        <f>IFERROR(__xludf.DUMMYFUNCTION("GOOGLETRANSLATE(C422, ""en"", ""ar"")"),"سباق الخيل")</f>
        <v>سباق الخيل</v>
      </c>
      <c r="J422" s="8"/>
      <c r="K422" s="7" t="str">
        <f>IFERROR(__xludf.DUMMYFUNCTION("CONCAT(REGEXREPLACE(C422,""[ ,]+"",""_""),"".mp3"")"),"horse_racing.mp3")</f>
        <v>horse_racing.mp3</v>
      </c>
      <c r="M422" s="4" t="s">
        <v>10</v>
      </c>
    </row>
    <row r="423" ht="15.75" customHeight="1">
      <c r="A423" s="1">
        <v>1791.0</v>
      </c>
      <c r="B423" s="3">
        <v>143.0</v>
      </c>
      <c r="C423" s="7" t="s">
        <v>475</v>
      </c>
      <c r="D423" s="8" t="str">
        <f>IFERROR(__xludf.DUMMYFUNCTION("GOOGLETRANSLATE(C423, ""en"", ""pt"")"),"salto de obstáculos")</f>
        <v>salto de obstáculos</v>
      </c>
      <c r="E423" s="8" t="str">
        <f>IFERROR(__xludf.DUMMYFUNCTION("GOOGLETRANSLATE(C423, ""en"", ""es"")"),"concurso hípico")</f>
        <v>concurso hípico</v>
      </c>
      <c r="F423" s="8" t="str">
        <f>IFERROR(__xludf.DUMMYFUNCTION("GOOGLETRANSLATE(C423, ""en"", ""fr"")"),"jumping")</f>
        <v>jumping</v>
      </c>
      <c r="G423" s="8" t="str">
        <f>IFERROR(__xludf.DUMMYFUNCTION("GOOGLETRANSLATE(C423, ""en"", ""de"")"),"Springreiten")</f>
        <v>Springreiten</v>
      </c>
      <c r="H423" s="8" t="str">
        <f>IFERROR(__xludf.DUMMYFUNCTION("GOOGLETRANSLATE(C423, ""en"", ""ru"")"),"конкур")</f>
        <v>конкур</v>
      </c>
      <c r="I423" s="8" t="str">
        <f>IFERROR(__xludf.DUMMYFUNCTION("GOOGLETRANSLATE(C423, ""en"", ""ar"")"),"عرض قفز الحواجز")</f>
        <v>عرض قفز الحواجز</v>
      </c>
      <c r="J423" s="8"/>
      <c r="K423" s="7" t="str">
        <f>IFERROR(__xludf.DUMMYFUNCTION("CONCAT(REGEXREPLACE(C423,""[ ,]+"",""_""),"".mp3"")"),"show_jumping.mp3")</f>
        <v>show_jumping.mp3</v>
      </c>
      <c r="M423" s="4" t="s">
        <v>10</v>
      </c>
    </row>
    <row r="424" ht="15.75" customHeight="1">
      <c r="A424" s="1">
        <v>1792.0</v>
      </c>
      <c r="B424" s="3">
        <v>143.0</v>
      </c>
      <c r="C424" s="7" t="s">
        <v>476</v>
      </c>
      <c r="D424" s="8" t="str">
        <f>IFERROR(__xludf.DUMMYFUNCTION("GOOGLETRANSLATE(C424, ""en"", ""pt"")"),"adestramento")</f>
        <v>adestramento</v>
      </c>
      <c r="E424" s="8" t="str">
        <f>IFERROR(__xludf.DUMMYFUNCTION("GOOGLETRANSLATE(C424, ""en"", ""es"")"),"entrenamiento de caballos")</f>
        <v>entrenamiento de caballos</v>
      </c>
      <c r="F424" s="8" t="str">
        <f>IFERROR(__xludf.DUMMYFUNCTION("GOOGLETRANSLATE(C424, ""en"", ""fr"")"),"dressage")</f>
        <v>dressage</v>
      </c>
      <c r="G424" s="8" t="str">
        <f>IFERROR(__xludf.DUMMYFUNCTION("GOOGLETRANSLATE(C424, ""en"", ""de"")"),"Dressur")</f>
        <v>Dressur</v>
      </c>
      <c r="H424" s="8" t="str">
        <f>IFERROR(__xludf.DUMMYFUNCTION("GOOGLETRANSLATE(C424, ""en"", ""ru"")"),"выездка")</f>
        <v>выездка</v>
      </c>
      <c r="I424" s="8" t="str">
        <f>IFERROR(__xludf.DUMMYFUNCTION("GOOGLETRANSLATE(C424, ""en"", ""ar"")"),"الترويض")</f>
        <v>الترويض</v>
      </c>
      <c r="J424" s="8"/>
      <c r="K424" s="7" t="str">
        <f>IFERROR(__xludf.DUMMYFUNCTION("CONCAT(REGEXREPLACE(C424,""[ ,]+"",""_""),"".mp3"")"),"dressage.mp3")</f>
        <v>dressage.mp3</v>
      </c>
      <c r="M424" s="4" t="s">
        <v>10</v>
      </c>
    </row>
    <row r="425" ht="15.75" customHeight="1">
      <c r="A425" s="1">
        <v>1793.0</v>
      </c>
      <c r="B425" s="3">
        <v>143.0</v>
      </c>
      <c r="C425" s="7" t="s">
        <v>477</v>
      </c>
      <c r="D425" s="8" t="str">
        <f>IFERROR(__xludf.DUMMYFUNCTION("GOOGLETRANSLATE(C425, ""en"", ""pt"")"),"eventos")</f>
        <v>eventos</v>
      </c>
      <c r="E425" s="8" t="str">
        <f>IFERROR(__xludf.DUMMYFUNCTION("GOOGLETRANSLATE(C425, ""en"", ""es"")"),"concurso completo")</f>
        <v>concurso completo</v>
      </c>
      <c r="F425" s="8" t="str">
        <f>IFERROR(__xludf.DUMMYFUNCTION("GOOGLETRANSLATE(C425, ""en"", ""fr"")"),"concours complet")</f>
        <v>concours complet</v>
      </c>
      <c r="G425" s="8" t="str">
        <f>IFERROR(__xludf.DUMMYFUNCTION("GOOGLETRANSLATE(C425, ""en"", ""de"")"),"Vielseitigkeit")</f>
        <v>Vielseitigkeit</v>
      </c>
      <c r="H425" s="8" t="str">
        <f>IFERROR(__xludf.DUMMYFUNCTION("GOOGLETRANSLATE(C425, ""en"", ""ru"")"),"конный спорт")</f>
        <v>конный спорт</v>
      </c>
      <c r="I425" s="8" t="str">
        <f>IFERROR(__xludf.DUMMYFUNCTION("GOOGLETRANSLATE(C425, ""en"", ""ar"")"),"رياضة الفروسية")</f>
        <v>رياضة الفروسية</v>
      </c>
      <c r="J425" s="8"/>
      <c r="K425" s="7" t="str">
        <f>IFERROR(__xludf.DUMMYFUNCTION("CONCAT(REGEXREPLACE(C425,""[ ,]+"",""_""),"".mp3"")"),"eventing.mp3")</f>
        <v>eventing.mp3</v>
      </c>
      <c r="M425" s="4" t="s">
        <v>10</v>
      </c>
    </row>
    <row r="426" ht="15.75" customHeight="1">
      <c r="A426" s="1">
        <v>1794.0</v>
      </c>
      <c r="B426" s="3">
        <v>143.0</v>
      </c>
      <c r="C426" s="7" t="s">
        <v>478</v>
      </c>
      <c r="D426" s="8" t="str">
        <f>IFERROR(__xludf.DUMMYFUNCTION("GOOGLETRANSLATE(C426, ""en"", ""pt"")"),"ciclismo de resistência")</f>
        <v>ciclismo de resistência</v>
      </c>
      <c r="E426" s="8" t="str">
        <f>IFERROR(__xludf.DUMMYFUNCTION("GOOGLETRANSLATE(C426, ""en"", ""es"")"),"equitación de resistencia")</f>
        <v>equitación de resistencia</v>
      </c>
      <c r="F426" s="8" t="str">
        <f>IFERROR(__xludf.DUMMYFUNCTION("GOOGLETRANSLATE(C426, ""en"", ""fr"")"),"équitation d'endurance")</f>
        <v>équitation d'endurance</v>
      </c>
      <c r="G426" s="8" t="str">
        <f>IFERROR(__xludf.DUMMYFUNCTION("GOOGLETRANSLATE(C426, ""en"", ""de"")"),"Distanzreiten")</f>
        <v>Distanzreiten</v>
      </c>
      <c r="H426" s="8" t="str">
        <f>IFERROR(__xludf.DUMMYFUNCTION("GOOGLETRANSLATE(C426, ""en"", ""ru"")"),"конные пробеги")</f>
        <v>конные пробеги</v>
      </c>
      <c r="I426" s="8" t="str">
        <f>IFERROR(__xludf.DUMMYFUNCTION("GOOGLETRANSLATE(C426, ""en"", ""ar"")"),"ركوب الدراجات لمسافات طويلة")</f>
        <v>ركوب الدراجات لمسافات طويلة</v>
      </c>
      <c r="J426" s="8"/>
      <c r="K426" s="7" t="str">
        <f>IFERROR(__xludf.DUMMYFUNCTION("CONCAT(REGEXREPLACE(C426,""[ ,]+"",""_""),"".mp3"")"),"endurance_riding.mp3")</f>
        <v>endurance_riding.mp3</v>
      </c>
      <c r="M426" s="4" t="s">
        <v>10</v>
      </c>
    </row>
    <row r="427" ht="15.75" customHeight="1">
      <c r="A427" s="1">
        <v>1795.0</v>
      </c>
      <c r="B427" s="3">
        <v>143.0</v>
      </c>
      <c r="C427" s="7" t="s">
        <v>479</v>
      </c>
      <c r="D427" s="8" t="str">
        <f>IFERROR(__xludf.DUMMYFUNCTION("GOOGLETRANSLATE(C427, ""en"", ""pt"")"),"rodeio")</f>
        <v>rodeio</v>
      </c>
      <c r="E427" s="8" t="str">
        <f>IFERROR(__xludf.DUMMYFUNCTION("GOOGLETRANSLATE(C427, ""en"", ""es"")"),"rodeo")</f>
        <v>rodeo</v>
      </c>
      <c r="F427" s="8" t="str">
        <f>IFERROR(__xludf.DUMMYFUNCTION("GOOGLETRANSLATE(C427, ""en"", ""fr"")"),"rodeo")</f>
        <v>rodeo</v>
      </c>
      <c r="G427" s="8" t="str">
        <f>IFERROR(__xludf.DUMMYFUNCTION("GOOGLETRANSLATE(C427, ""en"", ""de"")"),"Rodeo")</f>
        <v>Rodeo</v>
      </c>
      <c r="H427" s="8" t="str">
        <f>IFERROR(__xludf.DUMMYFUNCTION("GOOGLETRANSLATE(C427, ""en"", ""ru"")"),"родео")</f>
        <v>родео</v>
      </c>
      <c r="I427" s="8" t="str">
        <f>IFERROR(__xludf.DUMMYFUNCTION("GOOGLETRANSLATE(C427, ""en"", ""ar"")"),"روديو")</f>
        <v>روديو</v>
      </c>
      <c r="J427" s="8"/>
      <c r="K427" s="7" t="str">
        <f>IFERROR(__xludf.DUMMYFUNCTION("CONCAT(REGEXREPLACE(C427,""[ ,]+"",""_""),"".mp3"")"),"rodeo.mp3")</f>
        <v>rodeo.mp3</v>
      </c>
      <c r="M427" s="4" t="s">
        <v>10</v>
      </c>
    </row>
    <row r="428" ht="15.75" customHeight="1">
      <c r="A428" s="1">
        <v>1796.0</v>
      </c>
      <c r="B428" s="3">
        <v>143.0</v>
      </c>
      <c r="C428" s="7" t="s">
        <v>378</v>
      </c>
      <c r="D428" s="8" t="str">
        <f>IFERROR(__xludf.DUMMYFUNCTION("GOOGLETRANSLATE(C428, ""en"", ""pt"")"),"pólo")</f>
        <v>pólo</v>
      </c>
      <c r="E428" s="8" t="str">
        <f>IFERROR(__xludf.DUMMYFUNCTION("GOOGLETRANSLATE(C428, ""en"", ""es"")"),"polo")</f>
        <v>polo</v>
      </c>
      <c r="F428" s="8" t="str">
        <f>IFERROR(__xludf.DUMMYFUNCTION("GOOGLETRANSLATE(C428, ""en"", ""fr"")"),"polo")</f>
        <v>polo</v>
      </c>
      <c r="G428" s="8" t="str">
        <f>IFERROR(__xludf.DUMMYFUNCTION("GOOGLETRANSLATE(C428, ""en"", ""de"")"),"Polo")</f>
        <v>Polo</v>
      </c>
      <c r="H428" s="8" t="str">
        <f>IFERROR(__xludf.DUMMYFUNCTION("GOOGLETRANSLATE(C428, ""en"", ""ru"")"),"поло")</f>
        <v>поло</v>
      </c>
      <c r="I428" s="8" t="str">
        <f>IFERROR(__xludf.DUMMYFUNCTION("GOOGLETRANSLATE(C428, ""en"", ""ar"")"),"بولو")</f>
        <v>بولو</v>
      </c>
      <c r="J428" s="8"/>
      <c r="K428" s="7" t="str">
        <f>IFERROR(__xludf.DUMMYFUNCTION("CONCAT(REGEXREPLACE(C428,""[ ,]+"",""_""),"".mp3"")"),"polo.mp3")</f>
        <v>polo.mp3</v>
      </c>
      <c r="M428" s="4" t="s">
        <v>10</v>
      </c>
    </row>
    <row r="429" ht="15.75" customHeight="1">
      <c r="A429" s="1">
        <v>1797.0</v>
      </c>
      <c r="B429" s="3">
        <v>143.0</v>
      </c>
      <c r="C429" s="7" t="s">
        <v>480</v>
      </c>
      <c r="D429" s="8" t="str">
        <f>IFERROR(__xludf.DUMMYFUNCTION("GOOGLETRANSLATE(C429, ""en"", ""pt"")"),"agachamentos")</f>
        <v>agachamentos</v>
      </c>
      <c r="E429" s="8" t="str">
        <f>IFERROR(__xludf.DUMMYFUNCTION("GOOGLETRANSLATE(C429, ""en"", ""es"")"),"abovedado")</f>
        <v>abovedado</v>
      </c>
      <c r="F429" s="8" t="str">
        <f>IFERROR(__xludf.DUMMYFUNCTION("GOOGLETRANSLATE(C429, ""en"", ""fr"")"),"voûte")</f>
        <v>voûte</v>
      </c>
      <c r="G429" s="8" t="str">
        <f>IFERROR(__xludf.DUMMYFUNCTION("GOOGLETRANSLATE(C429, ""en"", ""de"")"),"Gewölbe")</f>
        <v>Gewölbe</v>
      </c>
      <c r="H429" s="8" t="str">
        <f>IFERROR(__xludf.DUMMYFUNCTION("GOOGLETRANSLATE(C429, ""en"", ""ru"")"),"свод")</f>
        <v>свод</v>
      </c>
      <c r="I429" s="8" t="str">
        <f>IFERROR(__xludf.DUMMYFUNCTION("GOOGLETRANSLATE(C429, ""en"", ""ar"")"),"القفز")</f>
        <v>القفز</v>
      </c>
      <c r="J429" s="8"/>
      <c r="K429" s="7" t="str">
        <f>IFERROR(__xludf.DUMMYFUNCTION("CONCAT(REGEXREPLACE(C429,""[ ,]+"",""_""),"".mp3"")"),"vaulting.mp3")</f>
        <v>vaulting.mp3</v>
      </c>
      <c r="M429" s="4" t="s">
        <v>10</v>
      </c>
    </row>
    <row r="430" ht="15.75" customHeight="1">
      <c r="A430" s="1">
        <v>1798.0</v>
      </c>
      <c r="B430" s="3">
        <v>143.0</v>
      </c>
      <c r="C430" s="7" t="s">
        <v>481</v>
      </c>
      <c r="D430" s="8" t="str">
        <f>IFERROR(__xludf.DUMMYFUNCTION("GOOGLETRANSLATE(C430, ""en"", ""pt"")"),"escalada")</f>
        <v>escalada</v>
      </c>
      <c r="E430" s="8" t="str">
        <f>IFERROR(__xludf.DUMMYFUNCTION("GOOGLETRANSLATE(C430, ""en"", ""es"")"),"escalada de roca")</f>
        <v>escalada de roca</v>
      </c>
      <c r="F430" s="8" t="str">
        <f>IFERROR(__xludf.DUMMYFUNCTION("GOOGLETRANSLATE(C430, ""en"", ""fr"")"),"escalade")</f>
        <v>escalade</v>
      </c>
      <c r="G430" s="8" t="str">
        <f>IFERROR(__xludf.DUMMYFUNCTION("GOOGLETRANSLATE(C430, ""en"", ""de"")"),"Klettern")</f>
        <v>Klettern</v>
      </c>
      <c r="H430" s="8" t="str">
        <f>IFERROR(__xludf.DUMMYFUNCTION("GOOGLETRANSLATE(C430, ""en"", ""ru"")"),"скалолазание")</f>
        <v>скалолазание</v>
      </c>
      <c r="I430" s="8" t="str">
        <f>IFERROR(__xludf.DUMMYFUNCTION("GOOGLETRANSLATE(C430, ""en"", ""ar"")"),"تسلق الصخور")</f>
        <v>تسلق الصخور</v>
      </c>
      <c r="J430" s="8"/>
      <c r="K430" s="7" t="str">
        <f>IFERROR(__xludf.DUMMYFUNCTION("CONCAT(REGEXREPLACE(C430,""[ ,]+"",""_""),"".mp3"")"),"rock_climbing.mp3")</f>
        <v>rock_climbing.mp3</v>
      </c>
      <c r="M430" s="4" t="s">
        <v>10</v>
      </c>
    </row>
    <row r="431" ht="15.75" customHeight="1">
      <c r="A431" s="1">
        <v>1799.0</v>
      </c>
      <c r="B431" s="3">
        <v>143.0</v>
      </c>
      <c r="C431" s="7" t="s">
        <v>482</v>
      </c>
      <c r="D431" s="8" t="str">
        <f>IFERROR(__xludf.DUMMYFUNCTION("GOOGLETRANSLATE(C431, ""en"", ""pt"")"),"escalada esportiva")</f>
        <v>escalada esportiva</v>
      </c>
      <c r="E431" s="8" t="str">
        <f>IFERROR(__xludf.DUMMYFUNCTION("GOOGLETRANSLATE(C431, ""en"", ""es"")"),"escalada deportiva")</f>
        <v>escalada deportiva</v>
      </c>
      <c r="F431" s="8" t="str">
        <f>IFERROR(__xludf.DUMMYFUNCTION("GOOGLETRANSLATE(C431, ""en"", ""fr"")"),"escalade sportive")</f>
        <v>escalade sportive</v>
      </c>
      <c r="G431" s="8" t="str">
        <f>IFERROR(__xludf.DUMMYFUNCTION("GOOGLETRANSLATE(C431, ""en"", ""de"")"),"Sportklettern")</f>
        <v>Sportklettern</v>
      </c>
      <c r="H431" s="8" t="str">
        <f>IFERROR(__xludf.DUMMYFUNCTION("GOOGLETRANSLATE(C431, ""en"", ""ru"")"),"спортивное скалолазание")</f>
        <v>спортивное скалолазание</v>
      </c>
      <c r="I431" s="8" t="str">
        <f>IFERROR(__xludf.DUMMYFUNCTION("GOOGLETRANSLATE(C431, ""en"", ""ar"")"),"تسلق الصخور الرياضي")</f>
        <v>تسلق الصخور الرياضي</v>
      </c>
      <c r="J431" s="8"/>
      <c r="K431" s="7" t="str">
        <f>IFERROR(__xludf.DUMMYFUNCTION("CONCAT(REGEXREPLACE(C431,""[ ,]+"",""_""),"".mp3"")"),"sport_climbing.mp3")</f>
        <v>sport_climbing.mp3</v>
      </c>
      <c r="M431" s="4" t="s">
        <v>10</v>
      </c>
    </row>
    <row r="432" ht="15.75" customHeight="1">
      <c r="A432" s="1">
        <v>1800.0</v>
      </c>
      <c r="B432" s="3">
        <v>143.0</v>
      </c>
      <c r="C432" s="7" t="s">
        <v>483</v>
      </c>
      <c r="D432" s="8" t="str">
        <f>IFERROR(__xludf.DUMMYFUNCTION("GOOGLETRANSLATE(C432, ""en"", ""pt"")"),"escalada em rocha")</f>
        <v>escalada em rocha</v>
      </c>
      <c r="E432" s="8" t="str">
        <f>IFERROR(__xludf.DUMMYFUNCTION("GOOGLETRANSLATE(C432, ""en"", ""es"")"),"escalada en bloque")</f>
        <v>escalada en bloque</v>
      </c>
      <c r="F432" s="8" t="str">
        <f>IFERROR(__xludf.DUMMYFUNCTION("GOOGLETRANSLATE(C432, ""en"", ""fr"")"),"escalade de bloc")</f>
        <v>escalade de bloc</v>
      </c>
      <c r="G432" s="8" t="str">
        <f>IFERROR(__xludf.DUMMYFUNCTION("GOOGLETRANSLATE(C432, ""en"", ""de"")"),"Bouldern")</f>
        <v>Bouldern</v>
      </c>
      <c r="H432" s="8" t="str">
        <f>IFERROR(__xludf.DUMMYFUNCTION("GOOGLETRANSLATE(C432, ""en"", ""ru"")"),"боулдеринг")</f>
        <v>боулдеринг</v>
      </c>
      <c r="I432" s="8" t="str">
        <f>IFERROR(__xludf.DUMMYFUNCTION("GOOGLETRANSLATE(C432, ""en"", ""ar"")"),"تسلق الصخور")</f>
        <v>تسلق الصخور</v>
      </c>
      <c r="J432" s="8"/>
      <c r="K432" s="7" t="str">
        <f>IFERROR(__xludf.DUMMYFUNCTION("CONCAT(REGEXREPLACE(C432,""[ ,]+"",""_""),"".mp3"")"),"bouldering.mp3")</f>
        <v>bouldering.mp3</v>
      </c>
      <c r="M432" s="4" t="s">
        <v>10</v>
      </c>
    </row>
    <row r="433" ht="15.75" customHeight="1">
      <c r="A433" s="1">
        <v>1801.0</v>
      </c>
      <c r="B433" s="3">
        <v>143.0</v>
      </c>
      <c r="C433" s="7" t="s">
        <v>484</v>
      </c>
      <c r="D433" s="8" t="str">
        <f>IFERROR(__xludf.DUMMYFUNCTION("GOOGLETRANSLATE(C433, ""en"", ""pt"")"),"montanhismo")</f>
        <v>montanhismo</v>
      </c>
      <c r="E433" s="8" t="str">
        <f>IFERROR(__xludf.DUMMYFUNCTION("GOOGLETRANSLATE(C433, ""en"", ""es"")"),"montañismo")</f>
        <v>montañismo</v>
      </c>
      <c r="F433" s="8" t="str">
        <f>IFERROR(__xludf.DUMMYFUNCTION("GOOGLETRANSLATE(C433, ""en"", ""fr"")"),"alpinisme")</f>
        <v>alpinisme</v>
      </c>
      <c r="G433" s="8" t="str">
        <f>IFERROR(__xludf.DUMMYFUNCTION("GOOGLETRANSLATE(C433, ""en"", ""de"")"),"Bergsteigen")</f>
        <v>Bergsteigen</v>
      </c>
      <c r="H433" s="8" t="str">
        <f>IFERROR(__xludf.DUMMYFUNCTION("GOOGLETRANSLATE(C433, ""en"", ""ru"")"),"альпинизм")</f>
        <v>альпинизм</v>
      </c>
      <c r="I433" s="8" t="str">
        <f>IFERROR(__xludf.DUMMYFUNCTION("GOOGLETRANSLATE(C433, ""en"", ""ar"")"),"تسلق الجبال")</f>
        <v>تسلق الجبال</v>
      </c>
      <c r="J433" s="8"/>
      <c r="K433" s="7" t="str">
        <f>IFERROR(__xludf.DUMMYFUNCTION("CONCAT(REGEXREPLACE(C433,""[ ,]+"",""_""),"".mp3"")"),"mountaineering.mp3")</f>
        <v>mountaineering.mp3</v>
      </c>
      <c r="M433" s="4" t="s">
        <v>10</v>
      </c>
    </row>
    <row r="434" ht="15.75" customHeight="1">
      <c r="A434" s="1">
        <v>1802.0</v>
      </c>
      <c r="B434" s="3">
        <v>143.0</v>
      </c>
      <c r="C434" s="7" t="s">
        <v>485</v>
      </c>
      <c r="D434" s="8" t="str">
        <f>IFERROR(__xludf.DUMMYFUNCTION("GOOGLETRANSLATE(C434, ""en"", ""pt"")"),"caminhada")</f>
        <v>caminhada</v>
      </c>
      <c r="E434" s="8" t="str">
        <f>IFERROR(__xludf.DUMMYFUNCTION("GOOGLETRANSLATE(C434, ""en"", ""es"")"),"senderismo")</f>
        <v>senderismo</v>
      </c>
      <c r="F434" s="8" t="str">
        <f>IFERROR(__xludf.DUMMYFUNCTION("GOOGLETRANSLATE(C434, ""en"", ""fr"")"),"randonnée")</f>
        <v>randonnée</v>
      </c>
      <c r="G434" s="8" t="str">
        <f>IFERROR(__xludf.DUMMYFUNCTION("GOOGLETRANSLATE(C434, ""en"", ""de"")"),"wandern")</f>
        <v>wandern</v>
      </c>
      <c r="H434" s="8" t="str">
        <f>IFERROR(__xludf.DUMMYFUNCTION("GOOGLETRANSLATE(C434, ""en"", ""ru"")"),"пеший туризм")</f>
        <v>пеший туризм</v>
      </c>
      <c r="I434" s="8" t="str">
        <f>IFERROR(__xludf.DUMMYFUNCTION("GOOGLETRANSLATE(C434, ""en"", ""ar"")"),"جولة على الأقدام")</f>
        <v>جولة على الأقدام</v>
      </c>
      <c r="J434" s="8"/>
      <c r="K434" s="7" t="str">
        <f>IFERROR(__xludf.DUMMYFUNCTION("CONCAT(REGEXREPLACE(C434,""[ ,]+"",""_""),"".mp3"")"),"hiking.mp3")</f>
        <v>hiking.mp3</v>
      </c>
      <c r="M434" s="4" t="s">
        <v>10</v>
      </c>
    </row>
    <row r="435" ht="15.75" customHeight="1">
      <c r="A435" s="1">
        <v>1803.0</v>
      </c>
      <c r="B435" s="3">
        <v>143.0</v>
      </c>
      <c r="C435" s="7" t="s">
        <v>486</v>
      </c>
      <c r="D435" s="8" t="str">
        <f>IFERROR(__xludf.DUMMYFUNCTION("GOOGLETRANSLATE(C435, ""en"", ""pt"")"),"orientação")</f>
        <v>orientação</v>
      </c>
      <c r="E435" s="8" t="str">
        <f>IFERROR(__xludf.DUMMYFUNCTION("GOOGLETRANSLATE(C435, ""en"", ""es"")"),"orientación")</f>
        <v>orientación</v>
      </c>
      <c r="F435" s="8" t="str">
        <f>IFERROR(__xludf.DUMMYFUNCTION("GOOGLETRANSLATE(C435, ""en"", ""fr"")"),"course d'orientation")</f>
        <v>course d'orientation</v>
      </c>
      <c r="G435" s="8" t="str">
        <f>IFERROR(__xludf.DUMMYFUNCTION("GOOGLETRANSLATE(C435, ""en"", ""de"")"),"Orientierungslauf")</f>
        <v>Orientierungslauf</v>
      </c>
      <c r="H435" s="8" t="str">
        <f>IFERROR(__xludf.DUMMYFUNCTION("GOOGLETRANSLATE(C435, ""en"", ""ru"")"),"спортивное ориентирование")</f>
        <v>спортивное ориентирование</v>
      </c>
      <c r="I435" s="8" t="str">
        <f>IFERROR(__xludf.DUMMYFUNCTION("GOOGLETRANSLATE(C435, ""en"", ""ar"")"),"التوجيه")</f>
        <v>التوجيه</v>
      </c>
      <c r="J435" s="8"/>
      <c r="K435" s="7" t="str">
        <f>IFERROR(__xludf.DUMMYFUNCTION("CONCAT(REGEXREPLACE(C435,""[ ,]+"",""_""),"".mp3"")"),"orienteering.mp3")</f>
        <v>orienteering.mp3</v>
      </c>
      <c r="M435" s="4" t="s">
        <v>10</v>
      </c>
    </row>
    <row r="436" ht="15.75" customHeight="1">
      <c r="A436" s="1">
        <v>1804.0</v>
      </c>
      <c r="B436" s="3">
        <v>143.0</v>
      </c>
      <c r="C436" s="7" t="s">
        <v>487</v>
      </c>
      <c r="D436" s="8" t="str">
        <f>IFERROR(__xludf.DUMMYFUNCTION("GOOGLETRANSLATE(C436, ""en"", ""pt"")"),"parkour")</f>
        <v>parkour</v>
      </c>
      <c r="E436" s="8" t="str">
        <f>IFERROR(__xludf.DUMMYFUNCTION("GOOGLETRANSLATE(C436, ""en"", ""es"")"),"parkour")</f>
        <v>parkour</v>
      </c>
      <c r="F436" s="8" t="str">
        <f>IFERROR(__xludf.DUMMYFUNCTION("GOOGLETRANSLATE(C436, ""en"", ""fr"")"),"parkour")</f>
        <v>parkour</v>
      </c>
      <c r="G436" s="8" t="str">
        <f>IFERROR(__xludf.DUMMYFUNCTION("GOOGLETRANSLATE(C436, ""en"", ""de"")"),"Parkour")</f>
        <v>Parkour</v>
      </c>
      <c r="H436" s="8" t="str">
        <f>IFERROR(__xludf.DUMMYFUNCTION("GOOGLETRANSLATE(C436, ""en"", ""ru"")"),"паркур")</f>
        <v>паркур</v>
      </c>
      <c r="I436" s="8" t="str">
        <f>IFERROR(__xludf.DUMMYFUNCTION("GOOGLETRANSLATE(C436, ""en"", ""ar"")"),"باركور")</f>
        <v>باركور</v>
      </c>
      <c r="J436" s="8"/>
      <c r="K436" s="7" t="str">
        <f>IFERROR(__xludf.DUMMYFUNCTION("CONCAT(REGEXREPLACE(C436,""[ ,]+"",""_""),"".mp3"")"),"parkour.mp3")</f>
        <v>parkour.mp3</v>
      </c>
      <c r="M436" s="4" t="s">
        <v>10</v>
      </c>
    </row>
    <row r="437" ht="15.75" customHeight="1">
      <c r="A437" s="1">
        <v>1805.0</v>
      </c>
      <c r="B437" s="3">
        <v>143.0</v>
      </c>
      <c r="C437" s="7" t="s">
        <v>488</v>
      </c>
      <c r="D437" s="8" t="str">
        <f>IFERROR(__xludf.DUMMYFUNCTION("GOOGLETRANSLATE(C437, ""en"", ""pt"")"),"parkour")</f>
        <v>parkour</v>
      </c>
      <c r="E437" s="8" t="str">
        <f>IFERROR(__xludf.DUMMYFUNCTION("GOOGLETRANSLATE(C437, ""en"", ""es"")"),"parkour")</f>
        <v>parkour</v>
      </c>
      <c r="F437" s="8" t="str">
        <f>IFERROR(__xludf.DUMMYFUNCTION("GOOGLETRANSLATE(C437, ""en"", ""fr"")"),"course libre")</f>
        <v>course libre</v>
      </c>
      <c r="G437" s="8" t="str">
        <f>IFERROR(__xludf.DUMMYFUNCTION("GOOGLETRANSLATE(C437, ""en"", ""de"")"),"Freilauf")</f>
        <v>Freilauf</v>
      </c>
      <c r="H437" s="8" t="str">
        <f>IFERROR(__xludf.DUMMYFUNCTION("GOOGLETRANSLATE(C437, ""en"", ""ru"")"),"фрираннинг")</f>
        <v>фрираннинг</v>
      </c>
      <c r="I437" s="8" t="str">
        <f>IFERROR(__xludf.DUMMYFUNCTION("GOOGLETRANSLATE(C437, ""en"", ""ar"")"),"الجري الحر")</f>
        <v>الجري الحر</v>
      </c>
      <c r="J437" s="8"/>
      <c r="K437" s="7" t="str">
        <f>IFERROR(__xludf.DUMMYFUNCTION("CONCAT(REGEXREPLACE(C437,""[ ,]+"",""_""),"".mp3"")"),"freerunning.mp3")</f>
        <v>freerunning.mp3</v>
      </c>
      <c r="M437" s="4" t="s">
        <v>10</v>
      </c>
    </row>
    <row r="438" ht="15.75" customHeight="1">
      <c r="A438" s="1">
        <v>1806.0</v>
      </c>
      <c r="B438" s="3">
        <v>143.0</v>
      </c>
      <c r="C438" s="7" t="s">
        <v>489</v>
      </c>
      <c r="D438" s="8" t="str">
        <f>IFERROR(__xludf.DUMMYFUNCTION("GOOGLETRANSLATE(C438, ""en"", ""pt"")"),"skate")</f>
        <v>skate</v>
      </c>
      <c r="E438" s="8" t="str">
        <f>IFERROR(__xludf.DUMMYFUNCTION("GOOGLETRANSLATE(C438, ""en"", ""es"")"),"patineta")</f>
        <v>patineta</v>
      </c>
      <c r="F438" s="8" t="str">
        <f>IFERROR(__xludf.DUMMYFUNCTION("GOOGLETRANSLATE(C438, ""en"", ""fr"")"),"skateboard")</f>
        <v>skateboard</v>
      </c>
      <c r="G438" s="8" t="str">
        <f>IFERROR(__xludf.DUMMYFUNCTION("GOOGLETRANSLATE(C438, ""en"", ""de"")"),"Skateboarden")</f>
        <v>Skateboarden</v>
      </c>
      <c r="H438" s="8" t="str">
        <f>IFERROR(__xludf.DUMMYFUNCTION("GOOGLETRANSLATE(C438, ""en"", ""ru"")"),"скейтбординг")</f>
        <v>скейтбординг</v>
      </c>
      <c r="I438" s="8" t="str">
        <f>IFERROR(__xludf.DUMMYFUNCTION("GOOGLETRANSLATE(C438, ""en"", ""ar"")"),"التزلج على الألواح")</f>
        <v>التزلج على الألواح</v>
      </c>
      <c r="J438" s="8"/>
      <c r="K438" s="7" t="str">
        <f>IFERROR(__xludf.DUMMYFUNCTION("CONCAT(REGEXREPLACE(C438,""[ ,]+"",""_""),"".mp3"")"),"skateboarding.mp3")</f>
        <v>skateboarding.mp3</v>
      </c>
      <c r="M438" s="4" t="s">
        <v>10</v>
      </c>
    </row>
    <row r="439" ht="15.75" customHeight="1">
      <c r="A439" s="1">
        <v>1807.0</v>
      </c>
      <c r="B439" s="3">
        <v>143.0</v>
      </c>
      <c r="C439" s="7" t="s">
        <v>490</v>
      </c>
      <c r="D439" s="8" t="str">
        <f>IFERROR(__xludf.DUMMYFUNCTION("GOOGLETRANSLATE(C439, ""en"", ""pt"")"),"longboard")</f>
        <v>longboard</v>
      </c>
      <c r="E439" s="8" t="str">
        <f>IFERROR(__xludf.DUMMYFUNCTION("GOOGLETRANSLATE(C439, ""en"", ""es"")"),"longboard")</f>
        <v>longboard</v>
      </c>
      <c r="F439" s="8" t="str">
        <f>IFERROR(__xludf.DUMMYFUNCTION("GOOGLETRANSLATE(C439, ""en"", ""fr"")"),"longboard")</f>
        <v>longboard</v>
      </c>
      <c r="G439" s="8" t="str">
        <f>IFERROR(__xludf.DUMMYFUNCTION("GOOGLETRANSLATE(C439, ""en"", ""de"")"),"Longboarden")</f>
        <v>Longboarden</v>
      </c>
      <c r="H439" s="8" t="str">
        <f>IFERROR(__xludf.DUMMYFUNCTION("GOOGLETRANSLATE(C439, ""en"", ""ru"")"),"лонгбординг")</f>
        <v>лонгбординг</v>
      </c>
      <c r="I439" s="8" t="str">
        <f>IFERROR(__xludf.DUMMYFUNCTION("GOOGLETRANSLATE(C439, ""en"", ""ar"")"),"التزلج على اللوح الطويل")</f>
        <v>التزلج على اللوح الطويل</v>
      </c>
      <c r="J439" s="8"/>
      <c r="K439" s="7" t="str">
        <f>IFERROR(__xludf.DUMMYFUNCTION("CONCAT(REGEXREPLACE(C439,""[ ,]+"",""_""),"".mp3"")"),"longboarding.mp3")</f>
        <v>longboarding.mp3</v>
      </c>
      <c r="M439" s="4" t="s">
        <v>10</v>
      </c>
    </row>
    <row r="440" ht="15.75" customHeight="1">
      <c r="A440" s="1">
        <v>1808.0</v>
      </c>
      <c r="B440" s="3">
        <v>143.0</v>
      </c>
      <c r="C440" s="3" t="s">
        <v>491</v>
      </c>
      <c r="D440" s="8" t="str">
        <f>IFERROR(__xludf.DUMMYFUNCTION("GOOGLETRANSLATE(C440, ""en"", ""pt"")"),"surfe, ondas gigantes")</f>
        <v>surfe, ondas gigantes</v>
      </c>
      <c r="E440" s="8" t="str">
        <f>IFERROR(__xludf.DUMMYFUNCTION("GOOGLETRANSLATE(C440, ""en"", ""es"")"),"surf, olas grandes")</f>
        <v>surf, olas grandes</v>
      </c>
      <c r="F440" s="8" t="str">
        <f>IFERROR(__xludf.DUMMYFUNCTION("GOOGLETRANSLATE(C440, ""en"", ""fr"")"),"surf, grosses vagues")</f>
        <v>surf, grosses vagues</v>
      </c>
      <c r="G440" s="8" t="str">
        <f>IFERROR(__xludf.DUMMYFUNCTION("GOOGLETRANSLATE(C440, ""en"", ""de"")"),"Surfen, Big-Wave")</f>
        <v>Surfen, Big-Wave</v>
      </c>
      <c r="H440" s="8" t="str">
        <f>IFERROR(__xludf.DUMMYFUNCTION("GOOGLETRANSLATE(C440, ""en"", ""ru"")"),"серфинг, большие волны")</f>
        <v>серфинг, большие волны</v>
      </c>
      <c r="I440" s="8" t="str">
        <f>IFERROR(__xludf.DUMMYFUNCTION("GOOGLETRANSLATE(C440, ""en"", ""ar"")"),"ركوب الأمواج، الأمواج العاتية")</f>
        <v>ركوب الأمواج، الأمواج العاتية</v>
      </c>
      <c r="J440" s="8"/>
      <c r="K440" s="7" t="str">
        <f>IFERROR(__xludf.DUMMYFUNCTION("CONCAT(REGEXREPLACE(C440,""[ ,]+"",""_""),"".mp3"")"),"surfing_big‑wave.mp3")</f>
        <v>surfing_big‑wave.mp3</v>
      </c>
      <c r="M440" s="4" t="s">
        <v>10</v>
      </c>
    </row>
    <row r="441" ht="15.75" customHeight="1">
      <c r="A441" s="1">
        <v>1809.0</v>
      </c>
      <c r="B441" s="3">
        <v>143.0</v>
      </c>
      <c r="C441" s="7" t="s">
        <v>492</v>
      </c>
      <c r="D441" s="8" t="str">
        <f>IFERROR(__xludf.DUMMYFUNCTION("GOOGLETRANSLATE(C441, ""en"", ""pt"")"),"paraquedismo")</f>
        <v>paraquedismo</v>
      </c>
      <c r="E441" s="8" t="str">
        <f>IFERROR(__xludf.DUMMYFUNCTION("GOOGLETRANSLATE(C441, ""en"", ""es"")"),"paracaidismo")</f>
        <v>paracaidismo</v>
      </c>
      <c r="F441" s="8" t="str">
        <f>IFERROR(__xludf.DUMMYFUNCTION("GOOGLETRANSLATE(C441, ""en"", ""fr"")"),"parachutisme")</f>
        <v>parachutisme</v>
      </c>
      <c r="G441" s="8" t="str">
        <f>IFERROR(__xludf.DUMMYFUNCTION("GOOGLETRANSLATE(C441, ""en"", ""de"")"),"Fallschirmspringen")</f>
        <v>Fallschirmspringen</v>
      </c>
      <c r="H441" s="8" t="str">
        <f>IFERROR(__xludf.DUMMYFUNCTION("GOOGLETRANSLATE(C441, ""en"", ""ru"")"),"прыжки с парашютом")</f>
        <v>прыжки с парашютом</v>
      </c>
      <c r="I441" s="8" t="str">
        <f>IFERROR(__xludf.DUMMYFUNCTION("GOOGLETRANSLATE(C441, ""en"", ""ar"")"),"القفز بالمظلات")</f>
        <v>القفز بالمظلات</v>
      </c>
      <c r="J441" s="8"/>
      <c r="K441" s="7" t="str">
        <f>IFERROR(__xludf.DUMMYFUNCTION("CONCAT(REGEXREPLACE(C441,""[ ,]+"",""_""),"".mp3"")"),"skydiving.mp3")</f>
        <v>skydiving.mp3</v>
      </c>
      <c r="M441" s="4" t="s">
        <v>10</v>
      </c>
    </row>
    <row r="442" ht="15.75" customHeight="1">
      <c r="A442" s="1">
        <v>1810.0</v>
      </c>
      <c r="B442" s="3">
        <v>143.0</v>
      </c>
      <c r="C442" s="7" t="s">
        <v>493</v>
      </c>
      <c r="D442" s="8" t="str">
        <f>IFERROR(__xludf.DUMMYFUNCTION("GOOGLETRANSLATE(C442, ""en"", ""pt"")"),"salto base")</f>
        <v>salto base</v>
      </c>
      <c r="E442" s="8" t="str">
        <f>IFERROR(__xludf.DUMMYFUNCTION("GOOGLETRANSLATE(C442, ""en"", ""es"")"),"salto base")</f>
        <v>salto base</v>
      </c>
      <c r="F442" s="8" t="str">
        <f>IFERROR(__xludf.DUMMYFUNCTION("GOOGLETRANSLATE(C442, ""en"", ""fr"")"),"base jump")</f>
        <v>base jump</v>
      </c>
      <c r="G442" s="8" t="str">
        <f>IFERROR(__xludf.DUMMYFUNCTION("GOOGLETRANSLATE(C442, ""en"", ""de"")"),"Base-Jumping")</f>
        <v>Base-Jumping</v>
      </c>
      <c r="H442" s="8" t="str">
        <f>IFERROR(__xludf.DUMMYFUNCTION("GOOGLETRANSLATE(C442, ""en"", ""ru"")"),"бейсджампинг")</f>
        <v>бейсджампинг</v>
      </c>
      <c r="I442" s="8" t="str">
        <f>IFERROR(__xludf.DUMMYFUNCTION("GOOGLETRANSLATE(C442, ""en"", ""ar"")"),"القفز المظلي")</f>
        <v>القفز المظلي</v>
      </c>
      <c r="J442" s="8"/>
      <c r="K442" s="7" t="str">
        <f>IFERROR(__xludf.DUMMYFUNCTION("CONCAT(REGEXREPLACE(C442,""[ ,]+"",""_""),"".mp3"")"),"base_jumping.mp3")</f>
        <v>base_jumping.mp3</v>
      </c>
      <c r="M442" s="4" t="s">
        <v>10</v>
      </c>
    </row>
    <row r="443" ht="15.75" customHeight="1">
      <c r="A443" s="1">
        <v>1811.0</v>
      </c>
      <c r="B443" s="3">
        <v>143.0</v>
      </c>
      <c r="C443" s="7" t="s">
        <v>494</v>
      </c>
      <c r="D443" s="8" t="str">
        <f>IFERROR(__xludf.DUMMYFUNCTION("GOOGLETRANSLATE(C443, ""en"", ""pt"")"),"parapente")</f>
        <v>parapente</v>
      </c>
      <c r="E443" s="8" t="str">
        <f>IFERROR(__xludf.DUMMYFUNCTION("GOOGLETRANSLATE(C443, ""en"", ""es"")"),"parapente")</f>
        <v>parapente</v>
      </c>
      <c r="F443" s="8" t="str">
        <f>IFERROR(__xludf.DUMMYFUNCTION("GOOGLETRANSLATE(C443, ""en"", ""fr"")"),"parapente")</f>
        <v>parapente</v>
      </c>
      <c r="G443" s="8" t="str">
        <f>IFERROR(__xludf.DUMMYFUNCTION("GOOGLETRANSLATE(C443, ""en"", ""de"")"),"Gleitschirmfliegen")</f>
        <v>Gleitschirmfliegen</v>
      </c>
      <c r="H443" s="8" t="str">
        <f>IFERROR(__xludf.DUMMYFUNCTION("GOOGLETRANSLATE(C443, ""en"", ""ru"")"),"парапланеризм")</f>
        <v>парапланеризм</v>
      </c>
      <c r="I443" s="8" t="str">
        <f>IFERROR(__xludf.DUMMYFUNCTION("GOOGLETRANSLATE(C443, ""en"", ""ar"")"),"الطيران الشراعي")</f>
        <v>الطيران الشراعي</v>
      </c>
      <c r="J443" s="8"/>
      <c r="K443" s="7" t="str">
        <f>IFERROR(__xludf.DUMMYFUNCTION("CONCAT(REGEXREPLACE(C443,""[ ,]+"",""_""),"".mp3"")"),"paragliding.mp3")</f>
        <v>paragliding.mp3</v>
      </c>
      <c r="M443" s="4" t="s">
        <v>10</v>
      </c>
    </row>
    <row r="444" ht="15.75" customHeight="1">
      <c r="A444" s="1">
        <v>1812.0</v>
      </c>
      <c r="B444" s="3">
        <v>143.0</v>
      </c>
      <c r="C444" s="7" t="s">
        <v>495</v>
      </c>
      <c r="D444" s="8" t="str">
        <f>IFERROR(__xludf.DUMMYFUNCTION("GOOGLETRANSLATE(C444, ""en"", ""pt"")"),"bungee jumping")</f>
        <v>bungee jumping</v>
      </c>
      <c r="E444" s="8" t="str">
        <f>IFERROR(__xludf.DUMMYFUNCTION("GOOGLETRANSLATE(C444, ""en"", ""es"")"),"salto en bungee")</f>
        <v>salto en bungee</v>
      </c>
      <c r="F444" s="8" t="str">
        <f>IFERROR(__xludf.DUMMYFUNCTION("GOOGLETRANSLATE(C444, ""en"", ""fr"")"),"saut à l'élastique")</f>
        <v>saut à l'élastique</v>
      </c>
      <c r="G444" s="8" t="str">
        <f>IFERROR(__xludf.DUMMYFUNCTION("GOOGLETRANSLATE(C444, ""en"", ""de"")"),"Bungee-Jumping")</f>
        <v>Bungee-Jumping</v>
      </c>
      <c r="H444" s="8" t="str">
        <f>IFERROR(__xludf.DUMMYFUNCTION("GOOGLETRANSLATE(C444, ""en"", ""ru"")"),"банджи-джампинг")</f>
        <v>банджи-джампинг</v>
      </c>
      <c r="I444" s="8" t="str">
        <f>IFERROR(__xludf.DUMMYFUNCTION("GOOGLETRANSLATE(C444, ""en"", ""ar"")"),"القفز بالحبل المطاطي")</f>
        <v>القفز بالحبل المطاطي</v>
      </c>
      <c r="J444" s="8"/>
      <c r="K444" s="7" t="str">
        <f>IFERROR(__xludf.DUMMYFUNCTION("CONCAT(REGEXREPLACE(C444,""[ ,]+"",""_""),"".mp3"")"),"bungee_jumping.mp3")</f>
        <v>bungee_jumping.mp3</v>
      </c>
      <c r="M444" s="4" t="s">
        <v>10</v>
      </c>
    </row>
    <row r="445" ht="15.75" customHeight="1">
      <c r="A445" s="1">
        <v>1813.0</v>
      </c>
      <c r="B445" s="3">
        <v>143.0</v>
      </c>
      <c r="C445" s="7" t="s">
        <v>496</v>
      </c>
      <c r="D445" s="8" t="str">
        <f>IFERROR(__xludf.DUMMYFUNCTION("GOOGLETRANSLATE(C445, ""en"", ""pt"")"),"Fórmula 1")</f>
        <v>Fórmula 1</v>
      </c>
      <c r="E445" s="8" t="str">
        <f>IFERROR(__xludf.DUMMYFUNCTION("GOOGLETRANSLATE(C445, ""en"", ""es"")"),"Fórmula 1")</f>
        <v>Fórmula 1</v>
      </c>
      <c r="F445" s="8" t="str">
        <f>IFERROR(__xludf.DUMMYFUNCTION("GOOGLETRANSLATE(C445, ""en"", ""fr"")"),"Formule 1")</f>
        <v>Formule 1</v>
      </c>
      <c r="G445" s="8" t="str">
        <f>IFERROR(__xludf.DUMMYFUNCTION("GOOGLETRANSLATE(C445, ""en"", ""de"")"),"Formel 1")</f>
        <v>Formel 1</v>
      </c>
      <c r="H445" s="8" t="str">
        <f>IFERROR(__xludf.DUMMYFUNCTION("GOOGLETRANSLATE(C445, ""en"", ""ru"")"),"Формула 1")</f>
        <v>Формула 1</v>
      </c>
      <c r="I445" s="8" t="str">
        <f>IFERROR(__xludf.DUMMYFUNCTION("GOOGLETRANSLATE(C445, ""en"", ""ar"")"),"الفورمولا 1")</f>
        <v>الفورمولا 1</v>
      </c>
      <c r="J445" s="8"/>
      <c r="K445" s="7" t="str">
        <f>IFERROR(__xludf.DUMMYFUNCTION("CONCAT(REGEXREPLACE(C445,""[ ,]+"",""_""),"".mp3"")"),"Formula_1.mp3")</f>
        <v>Formula_1.mp3</v>
      </c>
      <c r="M445" s="4" t="s">
        <v>10</v>
      </c>
    </row>
    <row r="446" ht="15.75" customHeight="1">
      <c r="A446" s="1">
        <v>1814.0</v>
      </c>
      <c r="B446" s="3">
        <v>143.0</v>
      </c>
      <c r="C446" s="7" t="s">
        <v>497</v>
      </c>
      <c r="D446" s="8" t="str">
        <f>IFERROR(__xludf.DUMMYFUNCTION("GOOGLETRANSLATE(C446, ""en"", ""pt"")"),"corrida de kart")</f>
        <v>corrida de kart</v>
      </c>
      <c r="E446" s="8" t="str">
        <f>IFERROR(__xludf.DUMMYFUNCTION("GOOGLETRANSLATE(C446, ""en"", ""es"")"),"carreras de karts")</f>
        <v>carreras de karts</v>
      </c>
      <c r="F446" s="8" t="str">
        <f>IFERROR(__xludf.DUMMYFUNCTION("GOOGLETRANSLATE(C446, ""en"", ""fr"")"),"course de karting")</f>
        <v>course de karting</v>
      </c>
      <c r="G446" s="8" t="str">
        <f>IFERROR(__xludf.DUMMYFUNCTION("GOOGLETRANSLATE(C446, ""en"", ""de"")"),"Kartrennen")</f>
        <v>Kartrennen</v>
      </c>
      <c r="H446" s="8" t="str">
        <f>IFERROR(__xludf.DUMMYFUNCTION("GOOGLETRANSLATE(C446, ""en"", ""ru"")"),"картинг")</f>
        <v>картинг</v>
      </c>
      <c r="I446" s="8" t="str">
        <f>IFERROR(__xludf.DUMMYFUNCTION("GOOGLETRANSLATE(C446, ""en"", ""ar"")"),"سباق الكارتينج")</f>
        <v>سباق الكارتينج</v>
      </c>
      <c r="J446" s="8"/>
      <c r="K446" s="7" t="str">
        <f>IFERROR(__xludf.DUMMYFUNCTION("CONCAT(REGEXREPLACE(C446,""[ ,]+"",""_""),"".mp3"")"),"kart_racing.mp3")</f>
        <v>kart_racing.mp3</v>
      </c>
      <c r="M446" s="4" t="s">
        <v>10</v>
      </c>
    </row>
    <row r="447" ht="15.75" customHeight="1">
      <c r="A447" s="1">
        <v>1815.0</v>
      </c>
      <c r="B447" s="3">
        <v>143.0</v>
      </c>
      <c r="C447" s="7" t="s">
        <v>498</v>
      </c>
      <c r="D447" s="8" t="str">
        <f>IFERROR(__xludf.DUMMYFUNCTION("GOOGLETRANSLATE(C447, ""en"", ""pt"")"),"motocross")</f>
        <v>motocross</v>
      </c>
      <c r="E447" s="8" t="str">
        <f>IFERROR(__xludf.DUMMYFUNCTION("GOOGLETRANSLATE(C447, ""en"", ""es"")"),"motocross")</f>
        <v>motocross</v>
      </c>
      <c r="F447" s="8" t="str">
        <f>IFERROR(__xludf.DUMMYFUNCTION("GOOGLETRANSLATE(C447, ""en"", ""fr"")"),"motocross")</f>
        <v>motocross</v>
      </c>
      <c r="G447" s="8" t="str">
        <f>IFERROR(__xludf.DUMMYFUNCTION("GOOGLETRANSLATE(C447, ""en"", ""de"")"),"Moto-Cross")</f>
        <v>Moto-Cross</v>
      </c>
      <c r="H447" s="8" t="str">
        <f>IFERROR(__xludf.DUMMYFUNCTION("GOOGLETRANSLATE(C447, ""en"", ""ru"")"),"мотокросс")</f>
        <v>мотокросс</v>
      </c>
      <c r="I447" s="8" t="str">
        <f>IFERROR(__xludf.DUMMYFUNCTION("GOOGLETRANSLATE(C447, ""en"", ""ar"")"),"موتوكروس")</f>
        <v>موتوكروس</v>
      </c>
      <c r="J447" s="8"/>
      <c r="K447" s="7" t="str">
        <f>IFERROR(__xludf.DUMMYFUNCTION("CONCAT(REGEXREPLACE(C447,""[ ,]+"",""_""),"".mp3"")"),"motocross.mp3")</f>
        <v>motocross.mp3</v>
      </c>
      <c r="M447" s="4" t="s">
        <v>10</v>
      </c>
    </row>
    <row r="448" ht="15.75" customHeight="1">
      <c r="A448" s="1">
        <v>1816.0</v>
      </c>
      <c r="B448" s="3">
        <v>143.0</v>
      </c>
      <c r="C448" s="7" t="s">
        <v>499</v>
      </c>
      <c r="D448" s="8" t="str">
        <f>IFERROR(__xludf.DUMMYFUNCTION("GOOGLETRANSLATE(C448, ""en"", ""pt"")"),"rali")</f>
        <v>rali</v>
      </c>
      <c r="E448" s="8" t="str">
        <f>IFERROR(__xludf.DUMMYFUNCTION("GOOGLETRANSLATE(C448, ""en"", ""es"")"),"carreras de rally")</f>
        <v>carreras de rally</v>
      </c>
      <c r="F448" s="8" t="str">
        <f>IFERROR(__xludf.DUMMYFUNCTION("GOOGLETRANSLATE(C448, ""en"", ""fr"")"),"rallye")</f>
        <v>rallye</v>
      </c>
      <c r="G448" s="8" t="str">
        <f>IFERROR(__xludf.DUMMYFUNCTION("GOOGLETRANSLATE(C448, ""en"", ""de"")"),"Rallye-Rennen")</f>
        <v>Rallye-Rennen</v>
      </c>
      <c r="H448" s="8" t="str">
        <f>IFERROR(__xludf.DUMMYFUNCTION("GOOGLETRANSLATE(C448, ""en"", ""ru"")"),"раллийные гонки")</f>
        <v>раллийные гонки</v>
      </c>
      <c r="I448" s="8" t="str">
        <f>IFERROR(__xludf.DUMMYFUNCTION("GOOGLETRANSLATE(C448, ""en"", ""ar"")"),"سباقات الرالي")</f>
        <v>سباقات الرالي</v>
      </c>
      <c r="J448" s="8"/>
      <c r="K448" s="7" t="str">
        <f>IFERROR(__xludf.DUMMYFUNCTION("CONCAT(REGEXREPLACE(C448,""[ ,]+"",""_""),"".mp3"")"),"rally_racing.mp3")</f>
        <v>rally_racing.mp3</v>
      </c>
      <c r="M448" s="4" t="s">
        <v>10</v>
      </c>
    </row>
    <row r="449" ht="15.75" customHeight="1">
      <c r="A449" s="1">
        <v>1817.0</v>
      </c>
      <c r="B449" s="3">
        <v>143.0</v>
      </c>
      <c r="C449" s="7" t="s">
        <v>500</v>
      </c>
      <c r="D449" s="8" t="str">
        <f>IFERROR(__xludf.DUMMYFUNCTION("GOOGLETRANSLATE(C449, ""en"", ""pt"")"),"corridas de resistência")</f>
        <v>corridas de resistência</v>
      </c>
      <c r="E449" s="8" t="str">
        <f>IFERROR(__xludf.DUMMYFUNCTION("GOOGLETRANSLATE(C449, ""en"", ""es"")"),"carreras de resistencia")</f>
        <v>carreras de resistencia</v>
      </c>
      <c r="F449" s="8" t="str">
        <f>IFERROR(__xludf.DUMMYFUNCTION("GOOGLETRANSLATE(C449, ""en"", ""fr"")"),"courses d'endurance")</f>
        <v>courses d'endurance</v>
      </c>
      <c r="G449" s="8" t="str">
        <f>IFERROR(__xludf.DUMMYFUNCTION("GOOGLETRANSLATE(C449, ""en"", ""de"")"),"Langstreckenrennen")</f>
        <v>Langstreckenrennen</v>
      </c>
      <c r="H449" s="8" t="str">
        <f>IFERROR(__xludf.DUMMYFUNCTION("GOOGLETRANSLATE(C449, ""en"", ""ru"")"),"гонки на выносливость")</f>
        <v>гонки на выносливость</v>
      </c>
      <c r="I449" s="8" t="str">
        <f>IFERROR(__xludf.DUMMYFUNCTION("GOOGLETRANSLATE(C449, ""en"", ""ar"")"),"سباقات التحمل")</f>
        <v>سباقات التحمل</v>
      </c>
      <c r="J449" s="8"/>
      <c r="K449" s="7" t="str">
        <f>IFERROR(__xludf.DUMMYFUNCTION("CONCAT(REGEXREPLACE(C449,""[ ,]+"",""_""),"".mp3"")"),"endurance_racing.mp3")</f>
        <v>endurance_racing.mp3</v>
      </c>
      <c r="M449" s="4" t="s">
        <v>10</v>
      </c>
    </row>
    <row r="450" ht="15.75" customHeight="1">
      <c r="A450" s="1">
        <v>1818.0</v>
      </c>
      <c r="B450" s="3">
        <v>143.0</v>
      </c>
      <c r="C450" s="7" t="s">
        <v>501</v>
      </c>
      <c r="D450" s="8" t="str">
        <f>IFERROR(__xludf.DUMMYFUNCTION("GOOGLETRANSLATE(C450, ""en"", ""pt"")"),"corrida de arrancada")</f>
        <v>corrida de arrancada</v>
      </c>
      <c r="E450" s="8" t="str">
        <f>IFERROR(__xludf.DUMMYFUNCTION("GOOGLETRANSLATE(C450, ""en"", ""es"")"),"carreras de aceleración")</f>
        <v>carreras de aceleración</v>
      </c>
      <c r="F450" s="8" t="str">
        <f>IFERROR(__xludf.DUMMYFUNCTION("GOOGLETRANSLATE(C450, ""en"", ""fr"")"),"courses d'accélération")</f>
        <v>courses d'accélération</v>
      </c>
      <c r="G450" s="8" t="str">
        <f>IFERROR(__xludf.DUMMYFUNCTION("GOOGLETRANSLATE(C450, ""en"", ""de"")"),"Drag Racing")</f>
        <v>Drag Racing</v>
      </c>
      <c r="H450" s="8" t="str">
        <f>IFERROR(__xludf.DUMMYFUNCTION("GOOGLETRANSLATE(C450, ""en"", ""ru"")"),"дрэг-рейсинг")</f>
        <v>дрэг-рейсинг</v>
      </c>
      <c r="I450" s="8" t="str">
        <f>IFERROR(__xludf.DUMMYFUNCTION("GOOGLETRANSLATE(C450, ""en"", ""ar"")"),"سباقات السرعة")</f>
        <v>سباقات السرعة</v>
      </c>
      <c r="J450" s="8"/>
      <c r="K450" s="7" t="str">
        <f>IFERROR(__xludf.DUMMYFUNCTION("CONCAT(REGEXREPLACE(C450,""[ ,]+"",""_""),"".mp3"")"),"drag_racing.mp3")</f>
        <v>drag_racing.mp3</v>
      </c>
      <c r="M450" s="4" t="s">
        <v>10</v>
      </c>
    </row>
    <row r="451" ht="15.75" customHeight="1">
      <c r="A451" s="1">
        <v>1819.0</v>
      </c>
      <c r="B451" s="3">
        <v>143.0</v>
      </c>
      <c r="C451" s="7" t="s">
        <v>502</v>
      </c>
      <c r="D451" s="8" t="str">
        <f>IFERROR(__xludf.DUMMYFUNCTION("GOOGLETRANSLATE(C451, ""en"", ""pt"")"),"corrida de superbikes")</f>
        <v>corrida de superbikes</v>
      </c>
      <c r="E451" s="8" t="str">
        <f>IFERROR(__xludf.DUMMYFUNCTION("GOOGLETRANSLATE(C451, ""en"", ""es"")"),"carreras de superbikes")</f>
        <v>carreras de superbikes</v>
      </c>
      <c r="F451" s="8" t="str">
        <f>IFERROR(__xludf.DUMMYFUNCTION("GOOGLETRANSLATE(C451, ""en"", ""fr"")"),"course de superbike")</f>
        <v>course de superbike</v>
      </c>
      <c r="G451" s="8" t="str">
        <f>IFERROR(__xludf.DUMMYFUNCTION("GOOGLETRANSLATE(C451, ""en"", ""de"")"),"Superbike-Rennen")</f>
        <v>Superbike-Rennen</v>
      </c>
      <c r="H451" s="8" t="str">
        <f>IFERROR(__xludf.DUMMYFUNCTION("GOOGLETRANSLATE(C451, ""en"", ""ru"")"),"гонки супербайков")</f>
        <v>гонки супербайков</v>
      </c>
      <c r="I451" s="8" t="str">
        <f>IFERROR(__xludf.DUMMYFUNCTION("GOOGLETRANSLATE(C451, ""en"", ""ar"")"),"سباقات الدراجات النارية الخارقة")</f>
        <v>سباقات الدراجات النارية الخارقة</v>
      </c>
      <c r="J451" s="8"/>
      <c r="K451" s="7" t="str">
        <f>IFERROR(__xludf.DUMMYFUNCTION("CONCAT(REGEXREPLACE(C451,""[ ,]+"",""_""),"".mp3"")"),"superbike_racing.mp3")</f>
        <v>superbike_racing.mp3</v>
      </c>
      <c r="M451" s="4" t="s">
        <v>10</v>
      </c>
    </row>
    <row r="452" ht="15.75" customHeight="1">
      <c r="A452" s="1">
        <v>1820.0</v>
      </c>
      <c r="B452" s="3">
        <v>143.0</v>
      </c>
      <c r="C452" s="7" t="s">
        <v>503</v>
      </c>
      <c r="D452" s="8" t="str">
        <f>IFERROR(__xludf.DUMMYFUNCTION("GOOGLETRANSLATE(C452, ""en"", ""pt"")"),"xadrez")</f>
        <v>xadrez</v>
      </c>
      <c r="E452" s="8" t="str">
        <f>IFERROR(__xludf.DUMMYFUNCTION("GOOGLETRANSLATE(C452, ""en"", ""es"")"),"ajedrez")</f>
        <v>ajedrez</v>
      </c>
      <c r="F452" s="8" t="str">
        <f>IFERROR(__xludf.DUMMYFUNCTION("GOOGLETRANSLATE(C452, ""en"", ""fr"")"),"échecs")</f>
        <v>échecs</v>
      </c>
      <c r="G452" s="8" t="str">
        <f>IFERROR(__xludf.DUMMYFUNCTION("GOOGLETRANSLATE(C452, ""en"", ""de"")"),"Schach")</f>
        <v>Schach</v>
      </c>
      <c r="H452" s="8" t="str">
        <f>IFERROR(__xludf.DUMMYFUNCTION("GOOGLETRANSLATE(C452, ""en"", ""ru"")"),"шахматы")</f>
        <v>шахматы</v>
      </c>
      <c r="I452" s="8" t="str">
        <f>IFERROR(__xludf.DUMMYFUNCTION("GOOGLETRANSLATE(C452, ""en"", ""ar"")"),"الشطرنج")</f>
        <v>الشطرنج</v>
      </c>
      <c r="J452" s="8"/>
      <c r="K452" s="7" t="str">
        <f>IFERROR(__xludf.DUMMYFUNCTION("CONCAT(REGEXREPLACE(C452,""[ ,]+"",""_""),"".mp3"")"),"chess.mp3")</f>
        <v>chess.mp3</v>
      </c>
      <c r="M452" s="4" t="s">
        <v>10</v>
      </c>
    </row>
    <row r="453" ht="15.75" customHeight="1">
      <c r="A453" s="1">
        <v>1821.0</v>
      </c>
      <c r="B453" s="3">
        <v>143.0</v>
      </c>
      <c r="C453" s="7" t="s">
        <v>504</v>
      </c>
      <c r="D453" s="8" t="str">
        <f>IFERROR(__xludf.DUMMYFUNCTION("GOOGLETRANSLATE(C453, ""en"", ""pt"")"),"sinuca")</f>
        <v>sinuca</v>
      </c>
      <c r="E453" s="8" t="str">
        <f>IFERROR(__xludf.DUMMYFUNCTION("GOOGLETRANSLATE(C453, ""en"", ""es"")"),"snooker")</f>
        <v>snooker</v>
      </c>
      <c r="F453" s="8" t="str">
        <f>IFERROR(__xludf.DUMMYFUNCTION("GOOGLETRANSLATE(C453, ""en"", ""fr"")"),"snooker")</f>
        <v>snooker</v>
      </c>
      <c r="G453" s="8" t="str">
        <f>IFERROR(__xludf.DUMMYFUNCTION("GOOGLETRANSLATE(C453, ""en"", ""de"")"),"Snooker")</f>
        <v>Snooker</v>
      </c>
      <c r="H453" s="8" t="str">
        <f>IFERROR(__xludf.DUMMYFUNCTION("GOOGLETRANSLATE(C453, ""en"", ""ru"")"),"снукер")</f>
        <v>снукер</v>
      </c>
      <c r="I453" s="8" t="str">
        <f>IFERROR(__xludf.DUMMYFUNCTION("GOOGLETRANSLATE(C453, ""en"", ""ar"")"),"السنوكر")</f>
        <v>السنوكر</v>
      </c>
      <c r="J453" s="8"/>
      <c r="K453" s="7" t="str">
        <f>IFERROR(__xludf.DUMMYFUNCTION("CONCAT(REGEXREPLACE(C453,""[ ,]+"",""_""),"".mp3"")"),"snooker.mp3")</f>
        <v>snooker.mp3</v>
      </c>
      <c r="M453" s="4" t="s">
        <v>10</v>
      </c>
    </row>
    <row r="454" ht="15.75" customHeight="1">
      <c r="A454" s="1">
        <v>1822.0</v>
      </c>
      <c r="B454" s="3">
        <v>143.0</v>
      </c>
      <c r="C454" s="7" t="s">
        <v>505</v>
      </c>
      <c r="D454" s="8" t="str">
        <f>IFERROR(__xludf.DUMMYFUNCTION("GOOGLETRANSLATE(C454, ""en"", ""pt"")"),"bilhar")</f>
        <v>bilhar</v>
      </c>
      <c r="E454" s="8" t="str">
        <f>IFERROR(__xludf.DUMMYFUNCTION("GOOGLETRANSLATE(C454, ""en"", ""es"")"),"billar")</f>
        <v>billar</v>
      </c>
      <c r="F454" s="8" t="str">
        <f>IFERROR(__xludf.DUMMYFUNCTION("GOOGLETRANSLATE(C454, ""en"", ""fr"")"),"billard")</f>
        <v>billard</v>
      </c>
      <c r="G454" s="8" t="str">
        <f>IFERROR(__xludf.DUMMYFUNCTION("GOOGLETRANSLATE(C454, ""en"", ""de"")"),"Billard")</f>
        <v>Billard</v>
      </c>
      <c r="H454" s="8" t="str">
        <f>IFERROR(__xludf.DUMMYFUNCTION("GOOGLETRANSLATE(C454, ""en"", ""ru"")"),"бильярд")</f>
        <v>бильярд</v>
      </c>
      <c r="I454" s="8" t="str">
        <f>IFERROR(__xludf.DUMMYFUNCTION("GOOGLETRANSLATE(C454, ""en"", ""ar"")"),"البلياردو")</f>
        <v>البلياردو</v>
      </c>
      <c r="J454" s="8"/>
      <c r="K454" s="7" t="str">
        <f>IFERROR(__xludf.DUMMYFUNCTION("CONCAT(REGEXREPLACE(C454,""[ ,]+"",""_""),"".mp3"")"),"billiards.mp3")</f>
        <v>billiards.mp3</v>
      </c>
      <c r="M454" s="4" t="s">
        <v>10</v>
      </c>
    </row>
    <row r="455" ht="15.75" customHeight="1">
      <c r="A455" s="1">
        <v>1823.0</v>
      </c>
      <c r="B455" s="3">
        <v>143.0</v>
      </c>
      <c r="C455" s="7" t="s">
        <v>506</v>
      </c>
      <c r="D455" s="8" t="str">
        <f>IFERROR(__xludf.DUMMYFUNCTION("GOOGLETRANSLATE(C455, ""en"", ""pt"")"),"piscina")</f>
        <v>piscina</v>
      </c>
      <c r="E455" s="8" t="str">
        <f>IFERROR(__xludf.DUMMYFUNCTION("GOOGLETRANSLATE(C455, ""en"", ""es"")"),"piscina")</f>
        <v>piscina</v>
      </c>
      <c r="F455" s="8" t="str">
        <f>IFERROR(__xludf.DUMMYFUNCTION("GOOGLETRANSLATE(C455, ""en"", ""fr"")"),"piscine")</f>
        <v>piscine</v>
      </c>
      <c r="G455" s="8" t="str">
        <f>IFERROR(__xludf.DUMMYFUNCTION("GOOGLETRANSLATE(C455, ""en"", ""de"")"),"Pool")</f>
        <v>Pool</v>
      </c>
      <c r="H455" s="8" t="str">
        <f>IFERROR(__xludf.DUMMYFUNCTION("GOOGLETRANSLATE(C455, ""en"", ""ru"")"),"бассейн")</f>
        <v>бассейн</v>
      </c>
      <c r="I455" s="8" t="str">
        <f>IFERROR(__xludf.DUMMYFUNCTION("GOOGLETRANSLATE(C455, ""en"", ""ar"")"),"حمام سباحة")</f>
        <v>حمام سباحة</v>
      </c>
      <c r="J455" s="8"/>
      <c r="K455" s="7" t="str">
        <f>IFERROR(__xludf.DUMMYFUNCTION("CONCAT(REGEXREPLACE(C455,""[ ,]+"",""_""),"".mp3"")"),"pool.mp3")</f>
        <v>pool.mp3</v>
      </c>
      <c r="M455" s="4" t="s">
        <v>10</v>
      </c>
    </row>
    <row r="456" ht="15.75" customHeight="1">
      <c r="A456" s="1">
        <v>1824.0</v>
      </c>
      <c r="B456" s="3">
        <v>143.0</v>
      </c>
      <c r="C456" s="7" t="s">
        <v>469</v>
      </c>
      <c r="D456" s="8" t="str">
        <f>IFERROR(__xludf.DUMMYFUNCTION("GOOGLETRANSLATE(C456, ""en"", ""pt"")"),"dardos")</f>
        <v>dardos</v>
      </c>
      <c r="E456" s="8" t="str">
        <f>IFERROR(__xludf.DUMMYFUNCTION("GOOGLETRANSLATE(C456, ""en"", ""es"")"),"dardos")</f>
        <v>dardos</v>
      </c>
      <c r="F456" s="8" t="str">
        <f>IFERROR(__xludf.DUMMYFUNCTION("GOOGLETRANSLATE(C456, ""en"", ""fr"")"),"fléchettes")</f>
        <v>fléchettes</v>
      </c>
      <c r="G456" s="8" t="str">
        <f>IFERROR(__xludf.DUMMYFUNCTION("GOOGLETRANSLATE(C456, ""en"", ""de"")"),"Darts")</f>
        <v>Darts</v>
      </c>
      <c r="H456" s="8" t="str">
        <f>IFERROR(__xludf.DUMMYFUNCTION("GOOGLETRANSLATE(C456, ""en"", ""ru"")"),"дартс")</f>
        <v>дартс</v>
      </c>
      <c r="I456" s="8" t="str">
        <f>IFERROR(__xludf.DUMMYFUNCTION("GOOGLETRANSLATE(C456, ""en"", ""ar"")"),"رمي السهام")</f>
        <v>رمي السهام</v>
      </c>
      <c r="J456" s="8"/>
      <c r="K456" s="7" t="str">
        <f>IFERROR(__xludf.DUMMYFUNCTION("CONCAT(REGEXREPLACE(C456,""[ ,]+"",""_""),"".mp3"")"),"darts.mp3")</f>
        <v>darts.mp3</v>
      </c>
      <c r="M456" s="4" t="s">
        <v>10</v>
      </c>
    </row>
    <row r="457" ht="15.75" customHeight="1">
      <c r="A457" s="1">
        <v>1825.0</v>
      </c>
      <c r="B457" s="3">
        <v>143.0</v>
      </c>
      <c r="C457" s="7" t="s">
        <v>196</v>
      </c>
      <c r="D457" s="8" t="str">
        <f>IFERROR(__xludf.DUMMYFUNCTION("GOOGLETRANSLATE(C457, ""en"", ""pt"")"),"ponte")</f>
        <v>ponte</v>
      </c>
      <c r="E457" s="8" t="str">
        <f>IFERROR(__xludf.DUMMYFUNCTION("GOOGLETRANSLATE(C457, ""en"", ""es"")"),"puente")</f>
        <v>puente</v>
      </c>
      <c r="F457" s="8" t="str">
        <f>IFERROR(__xludf.DUMMYFUNCTION("GOOGLETRANSLATE(C457, ""en"", ""fr"")"),"pont")</f>
        <v>pont</v>
      </c>
      <c r="G457" s="8" t="str">
        <f>IFERROR(__xludf.DUMMYFUNCTION("GOOGLETRANSLATE(C457, ""en"", ""de"")"),"Brücke")</f>
        <v>Brücke</v>
      </c>
      <c r="H457" s="8" t="str">
        <f>IFERROR(__xludf.DUMMYFUNCTION("GOOGLETRANSLATE(C457, ""en"", ""ru"")"),"мост")</f>
        <v>мост</v>
      </c>
      <c r="I457" s="8" t="str">
        <f>IFERROR(__xludf.DUMMYFUNCTION("GOOGLETRANSLATE(C457, ""en"", ""ar"")"),"كوبري")</f>
        <v>كوبري</v>
      </c>
      <c r="J457" s="8"/>
      <c r="K457" s="7" t="str">
        <f>IFERROR(__xludf.DUMMYFUNCTION("CONCAT(REGEXREPLACE(C457,""[ ,]+"",""_""),"".mp3"")"),"bridge.mp3")</f>
        <v>bridge.mp3</v>
      </c>
      <c r="M457" s="4" t="s">
        <v>10</v>
      </c>
    </row>
    <row r="458" ht="15.75" customHeight="1">
      <c r="A458" s="1">
        <v>1826.0</v>
      </c>
      <c r="B458" s="3">
        <v>143.0</v>
      </c>
      <c r="C458" s="7" t="s">
        <v>507</v>
      </c>
      <c r="D458" s="8" t="str">
        <f>IFERROR(__xludf.DUMMYFUNCTION("GOOGLETRANSLATE(C458, ""en"", ""pt"")"),"esports")</f>
        <v>esports</v>
      </c>
      <c r="E458" s="8" t="str">
        <f>IFERROR(__xludf.DUMMYFUNCTION("GOOGLETRANSLATE(C458, ""en"", ""es"")"),"deportes electrónicos")</f>
        <v>deportes electrónicos</v>
      </c>
      <c r="F458" s="8" t="str">
        <f>IFERROR(__xludf.DUMMYFUNCTION("GOOGLETRANSLATE(C458, ""en"", ""fr"")"),"e-sport")</f>
        <v>e-sport</v>
      </c>
      <c r="G458" s="8" t="str">
        <f>IFERROR(__xludf.DUMMYFUNCTION("GOOGLETRANSLATE(C458, ""en"", ""de"")"),"E-Sport")</f>
        <v>E-Sport</v>
      </c>
      <c r="H458" s="8" t="str">
        <f>IFERROR(__xludf.DUMMYFUNCTION("GOOGLETRANSLATE(C458, ""en"", ""ru"")"),"киберспорт")</f>
        <v>киберспорт</v>
      </c>
      <c r="I458" s="8" t="str">
        <f>IFERROR(__xludf.DUMMYFUNCTION("GOOGLETRANSLATE(C458, ""en"", ""ar"")"),"الرياضات الإلكترونية")</f>
        <v>الرياضات الإلكترونية</v>
      </c>
      <c r="J458" s="8"/>
      <c r="K458" s="7" t="str">
        <f>IFERROR(__xludf.DUMMYFUNCTION("CONCAT(REGEXREPLACE(C458,""[ ,]+"",""_""),"".mp3"")"),"esports.mp3")</f>
        <v>esports.mp3</v>
      </c>
      <c r="M458" s="4" t="s">
        <v>10</v>
      </c>
    </row>
    <row r="459" ht="15.75" customHeight="1">
      <c r="A459" s="1">
        <v>1827.0</v>
      </c>
      <c r="B459" s="3">
        <v>144.0</v>
      </c>
      <c r="C459" s="7" t="s">
        <v>508</v>
      </c>
      <c r="D459" s="8" t="str">
        <f>IFERROR(__xludf.DUMMYFUNCTION("GOOGLETRANSLATE(C459, ""en"", ""pt"")"),"violino")</f>
        <v>violino</v>
      </c>
      <c r="E459" s="8" t="str">
        <f>IFERROR(__xludf.DUMMYFUNCTION("GOOGLETRANSLATE(C459, ""en"", ""es"")"),"violín")</f>
        <v>violín</v>
      </c>
      <c r="F459" s="8" t="str">
        <f>IFERROR(__xludf.DUMMYFUNCTION("GOOGLETRANSLATE(C459, ""en"", ""fr"")"),"violon")</f>
        <v>violon</v>
      </c>
      <c r="G459" s="8" t="str">
        <f>IFERROR(__xludf.DUMMYFUNCTION("GOOGLETRANSLATE(C459, ""en"", ""de"")"),"Violine")</f>
        <v>Violine</v>
      </c>
      <c r="H459" s="8" t="str">
        <f>IFERROR(__xludf.DUMMYFUNCTION("GOOGLETRANSLATE(C459, ""en"", ""ru"")"),"скрипка")</f>
        <v>скрипка</v>
      </c>
      <c r="I459" s="8" t="str">
        <f>IFERROR(__xludf.DUMMYFUNCTION("GOOGLETRANSLATE(C459, ""en"", ""ar"")"),"الكمان")</f>
        <v>الكمان</v>
      </c>
      <c r="J459" s="8"/>
      <c r="K459" s="7" t="str">
        <f>IFERROR(__xludf.DUMMYFUNCTION("CONCAT(REGEXREPLACE(C459,""[ ,]+"",""_""),"".mp3"")"),"violin.mp3")</f>
        <v>violin.mp3</v>
      </c>
      <c r="M459" s="4" t="s">
        <v>10</v>
      </c>
    </row>
    <row r="460" ht="15.75" customHeight="1">
      <c r="A460" s="1">
        <v>1828.0</v>
      </c>
      <c r="B460" s="3">
        <v>144.0</v>
      </c>
      <c r="C460" s="7" t="s">
        <v>509</v>
      </c>
      <c r="D460" s="8" t="str">
        <f>IFERROR(__xludf.DUMMYFUNCTION("GOOGLETRANSLATE(C460, ""en"", ""pt"")"),"viola")</f>
        <v>viola</v>
      </c>
      <c r="E460" s="8" t="str">
        <f>IFERROR(__xludf.DUMMYFUNCTION("GOOGLETRANSLATE(C460, ""en"", ""es"")"),"viola")</f>
        <v>viola</v>
      </c>
      <c r="F460" s="8" t="str">
        <f>IFERROR(__xludf.DUMMYFUNCTION("GOOGLETRANSLATE(C460, ""en"", ""fr"")"),"alto")</f>
        <v>alto</v>
      </c>
      <c r="G460" s="8" t="str">
        <f>IFERROR(__xludf.DUMMYFUNCTION("GOOGLETRANSLATE(C460, ""en"", ""de"")"),"Viola")</f>
        <v>Viola</v>
      </c>
      <c r="H460" s="8" t="str">
        <f>IFERROR(__xludf.DUMMYFUNCTION("GOOGLETRANSLATE(C460, ""en"", ""ru"")"),"альт")</f>
        <v>альт</v>
      </c>
      <c r="I460" s="8" t="str">
        <f>IFERROR(__xludf.DUMMYFUNCTION("GOOGLETRANSLATE(C460, ""en"", ""ar"")"),"الفيولا")</f>
        <v>الفيولا</v>
      </c>
      <c r="J460" s="8"/>
      <c r="K460" s="7" t="str">
        <f>IFERROR(__xludf.DUMMYFUNCTION("CONCAT(REGEXREPLACE(C460,""[ ,]+"",""_""),"".mp3"")"),"viola.mp3")</f>
        <v>viola.mp3</v>
      </c>
      <c r="M460" s="4" t="s">
        <v>10</v>
      </c>
    </row>
    <row r="461" ht="15.75" customHeight="1">
      <c r="A461" s="1">
        <v>1829.0</v>
      </c>
      <c r="B461" s="3">
        <v>144.0</v>
      </c>
      <c r="C461" s="7" t="s">
        <v>510</v>
      </c>
      <c r="D461" s="8" t="str">
        <f>IFERROR(__xludf.DUMMYFUNCTION("GOOGLETRANSLATE(C461, ""en"", ""pt"")"),"violoncelo")</f>
        <v>violoncelo</v>
      </c>
      <c r="E461" s="8" t="str">
        <f>IFERROR(__xludf.DUMMYFUNCTION("GOOGLETRANSLATE(C461, ""en"", ""es"")"),"violonchelo")</f>
        <v>violonchelo</v>
      </c>
      <c r="F461" s="8" t="str">
        <f>IFERROR(__xludf.DUMMYFUNCTION("GOOGLETRANSLATE(C461, ""en"", ""fr"")"),"violoncelle")</f>
        <v>violoncelle</v>
      </c>
      <c r="G461" s="8" t="str">
        <f>IFERROR(__xludf.DUMMYFUNCTION("GOOGLETRANSLATE(C461, ""en"", ""de"")"),"Cello")</f>
        <v>Cello</v>
      </c>
      <c r="H461" s="8" t="str">
        <f>IFERROR(__xludf.DUMMYFUNCTION("GOOGLETRANSLATE(C461, ""en"", ""ru"")"),"виолончель")</f>
        <v>виолончель</v>
      </c>
      <c r="I461" s="8" t="str">
        <f>IFERROR(__xludf.DUMMYFUNCTION("GOOGLETRANSLATE(C461, ""en"", ""ar"")"),"تشيلو")</f>
        <v>تشيلو</v>
      </c>
      <c r="J461" s="8"/>
      <c r="K461" s="7" t="str">
        <f>IFERROR(__xludf.DUMMYFUNCTION("CONCAT(REGEXREPLACE(C461,""[ ,]+"",""_""),"".mp3"")"),"cello.mp3")</f>
        <v>cello.mp3</v>
      </c>
      <c r="M461" s="4" t="s">
        <v>10</v>
      </c>
    </row>
    <row r="462" ht="15.75" customHeight="1">
      <c r="A462" s="1">
        <v>1830.0</v>
      </c>
      <c r="B462" s="3">
        <v>144.0</v>
      </c>
      <c r="C462" s="7" t="s">
        <v>511</v>
      </c>
      <c r="D462" s="8" t="str">
        <f>IFERROR(__xludf.DUMMYFUNCTION("GOOGLETRANSLATE(C462, ""en"", ""pt"")"),"contrabaixo")</f>
        <v>contrabaixo</v>
      </c>
      <c r="E462" s="8" t="str">
        <f>IFERROR(__xludf.DUMMYFUNCTION("GOOGLETRANSLATE(C462, ""en"", ""es"")"),"contrabajo")</f>
        <v>contrabajo</v>
      </c>
      <c r="F462" s="8" t="str">
        <f>IFERROR(__xludf.DUMMYFUNCTION("GOOGLETRANSLATE(C462, ""en"", ""fr"")"),"contrebasse")</f>
        <v>contrebasse</v>
      </c>
      <c r="G462" s="8" t="str">
        <f>IFERROR(__xludf.DUMMYFUNCTION("GOOGLETRANSLATE(C462, ""en"", ""de"")"),"Kontrabass")</f>
        <v>Kontrabass</v>
      </c>
      <c r="H462" s="8" t="str">
        <f>IFERROR(__xludf.DUMMYFUNCTION("GOOGLETRANSLATE(C462, ""en"", ""ru"")"),"контрабас")</f>
        <v>контрабас</v>
      </c>
      <c r="I462" s="8" t="str">
        <f>IFERROR(__xludf.DUMMYFUNCTION("GOOGLETRANSLATE(C462, ""en"", ""ar"")"),"كونترباس")</f>
        <v>كونترباس</v>
      </c>
      <c r="J462" s="8"/>
      <c r="K462" s="7" t="str">
        <f>IFERROR(__xludf.DUMMYFUNCTION("CONCAT(REGEXREPLACE(C462,""[ ,]+"",""_""),"".mp3"")"),"double_bass.mp3")</f>
        <v>double_bass.mp3</v>
      </c>
      <c r="M462" s="4" t="s">
        <v>10</v>
      </c>
    </row>
    <row r="463" ht="15.75" customHeight="1">
      <c r="A463" s="1">
        <v>1831.0</v>
      </c>
      <c r="B463" s="3">
        <v>144.0</v>
      </c>
      <c r="C463" s="7" t="s">
        <v>512</v>
      </c>
      <c r="D463" s="8" t="str">
        <f>IFERROR(__xludf.DUMMYFUNCTION("GOOGLETRANSLATE(C463, ""en"", ""pt"")"),"viola da gamba")</f>
        <v>viola da gamba</v>
      </c>
      <c r="E463" s="8" t="str">
        <f>IFERROR(__xludf.DUMMYFUNCTION("GOOGLETRANSLATE(C463, ""en"", ""es"")"),"viola da gamba")</f>
        <v>viola da gamba</v>
      </c>
      <c r="F463" s="8" t="str">
        <f>IFERROR(__xludf.DUMMYFUNCTION("GOOGLETRANSLATE(C463, ""en"", ""fr"")"),"viole de gambe")</f>
        <v>viole de gambe</v>
      </c>
      <c r="G463" s="8" t="str">
        <f>IFERROR(__xludf.DUMMYFUNCTION("GOOGLETRANSLATE(C463, ""en"", ""de"")"),"Viola da Gamba")</f>
        <v>Viola da Gamba</v>
      </c>
      <c r="H463" s="8" t="str">
        <f>IFERROR(__xludf.DUMMYFUNCTION("GOOGLETRANSLATE(C463, ""en"", ""ru"")"),"виола да гамба")</f>
        <v>виола да гамба</v>
      </c>
      <c r="I463" s="8" t="str">
        <f>IFERROR(__xludf.DUMMYFUNCTION("GOOGLETRANSLATE(C463, ""en"", ""ar"")"),"فيولا دا غامبا")</f>
        <v>فيولا دا غامبا</v>
      </c>
      <c r="J463" s="8"/>
      <c r="K463" s="7" t="str">
        <f>IFERROR(__xludf.DUMMYFUNCTION("CONCAT(REGEXREPLACE(C463,""[ ,]+"",""_""),"".mp3"")"),"viola_da_gamba.mp3")</f>
        <v>viola_da_gamba.mp3</v>
      </c>
      <c r="M463" s="4" t="s">
        <v>10</v>
      </c>
    </row>
    <row r="464" ht="15.75" customHeight="1">
      <c r="A464" s="1">
        <v>1832.0</v>
      </c>
      <c r="B464" s="3">
        <v>144.0</v>
      </c>
      <c r="C464" s="7" t="s">
        <v>513</v>
      </c>
      <c r="D464" s="8" t="str">
        <f>IFERROR(__xludf.DUMMYFUNCTION("GOOGLETRANSLATE(C464, ""en"", ""pt"")"),"nyckelharpa")</f>
        <v>nyckelharpa</v>
      </c>
      <c r="E464" s="8" t="str">
        <f>IFERROR(__xludf.DUMMYFUNCTION("GOOGLETRANSLATE(C464, ""en"", ""es"")"),"nyckelharpa")</f>
        <v>nyckelharpa</v>
      </c>
      <c r="F464" s="8" t="str">
        <f>IFERROR(__xludf.DUMMYFUNCTION("GOOGLETRANSLATE(C464, ""en"", ""fr"")"),"nyckelharpa")</f>
        <v>nyckelharpa</v>
      </c>
      <c r="G464" s="8" t="str">
        <f>IFERROR(__xludf.DUMMYFUNCTION("GOOGLETRANSLATE(C464, ""en"", ""de"")"),"Nyckelharpa")</f>
        <v>Nyckelharpa</v>
      </c>
      <c r="H464" s="8" t="str">
        <f>IFERROR(__xludf.DUMMYFUNCTION("GOOGLETRANSLATE(C464, ""en"", ""ru"")"),"никельхарпа")</f>
        <v>никельхарпа</v>
      </c>
      <c r="I464" s="8" t="str">
        <f>IFERROR(__xludf.DUMMYFUNCTION("GOOGLETRANSLATE(C464, ""en"", ""ar"")"),"نيكيل هاربا")</f>
        <v>نيكيل هاربا</v>
      </c>
      <c r="J464" s="8"/>
      <c r="K464" s="7" t="str">
        <f>IFERROR(__xludf.DUMMYFUNCTION("CONCAT(REGEXREPLACE(C464,""[ ,]+"",""_""),"".mp3"")"),"nyckelharpa.mp3")</f>
        <v>nyckelharpa.mp3</v>
      </c>
      <c r="M464" s="4" t="s">
        <v>10</v>
      </c>
    </row>
    <row r="465" ht="15.75" customHeight="1">
      <c r="A465" s="1">
        <v>1833.0</v>
      </c>
      <c r="B465" s="3">
        <v>144.0</v>
      </c>
      <c r="C465" s="7" t="s">
        <v>514</v>
      </c>
      <c r="D465" s="8" t="str">
        <f>IFERROR(__xludf.DUMMYFUNCTION("GOOGLETRANSLATE(C465, ""en"", ""pt"")"),"erhu")</f>
        <v>erhu</v>
      </c>
      <c r="E465" s="8" t="str">
        <f>IFERROR(__xludf.DUMMYFUNCTION("GOOGLETRANSLATE(C465, ""en"", ""es"")"),"erhu")</f>
        <v>erhu</v>
      </c>
      <c r="F465" s="8" t="str">
        <f>IFERROR(__xludf.DUMMYFUNCTION("GOOGLETRANSLATE(C465, ""en"", ""fr"")"),"erhu")</f>
        <v>erhu</v>
      </c>
      <c r="G465" s="8" t="str">
        <f>IFERROR(__xludf.DUMMYFUNCTION("GOOGLETRANSLATE(C465, ""en"", ""de"")"),"Erhu")</f>
        <v>Erhu</v>
      </c>
      <c r="H465" s="8" t="str">
        <f>IFERROR(__xludf.DUMMYFUNCTION("GOOGLETRANSLATE(C465, ""en"", ""ru"")"),"эрху")</f>
        <v>эрху</v>
      </c>
      <c r="I465" s="8" t="str">
        <f>IFERROR(__xludf.DUMMYFUNCTION("GOOGLETRANSLATE(C465, ""en"", ""ar"")"),"إرهو")</f>
        <v>إرهو</v>
      </c>
      <c r="J465" s="8"/>
      <c r="K465" s="7" t="str">
        <f>IFERROR(__xludf.DUMMYFUNCTION("CONCAT(REGEXREPLACE(C465,""[ ,]+"",""_""),"".mp3"")"),"erhu.mp3")</f>
        <v>erhu.mp3</v>
      </c>
      <c r="M465" s="4" t="s">
        <v>10</v>
      </c>
    </row>
    <row r="466" ht="15.75" customHeight="1">
      <c r="A466" s="1">
        <v>1834.0</v>
      </c>
      <c r="B466" s="3">
        <v>144.0</v>
      </c>
      <c r="C466" s="7" t="s">
        <v>515</v>
      </c>
      <c r="D466" s="8" t="str">
        <f>IFERROR(__xludf.DUMMYFUNCTION("GOOGLETRANSLATE(C466, ""en"", ""pt"")"),"rebab")</f>
        <v>rebab</v>
      </c>
      <c r="E466" s="8" t="str">
        <f>IFERROR(__xludf.DUMMYFUNCTION("GOOGLETRANSLATE(C466, ""en"", ""es"")"),"rebab")</f>
        <v>rebab</v>
      </c>
      <c r="F466" s="8" t="str">
        <f>IFERROR(__xludf.DUMMYFUNCTION("GOOGLETRANSLATE(C466, ""en"", ""fr"")"),"rebab")</f>
        <v>rebab</v>
      </c>
      <c r="G466" s="8" t="str">
        <f>IFERROR(__xludf.DUMMYFUNCTION("GOOGLETRANSLATE(C466, ""en"", ""de"")"),"Rebab")</f>
        <v>Rebab</v>
      </c>
      <c r="H466" s="8" t="str">
        <f>IFERROR(__xludf.DUMMYFUNCTION("GOOGLETRANSLATE(C466, ""en"", ""ru"")"),"ребаб")</f>
        <v>ребаб</v>
      </c>
      <c r="I466" s="8" t="str">
        <f>IFERROR(__xludf.DUMMYFUNCTION("GOOGLETRANSLATE(C466, ""en"", ""ar"")"),"إعادة باب")</f>
        <v>إعادة باب</v>
      </c>
      <c r="J466" s="8"/>
      <c r="K466" s="7" t="str">
        <f>IFERROR(__xludf.DUMMYFUNCTION("CONCAT(REGEXREPLACE(C466,""[ ,]+"",""_""),"".mp3"")"),"rebab.mp3")</f>
        <v>rebab.mp3</v>
      </c>
      <c r="M466" s="4" t="s">
        <v>10</v>
      </c>
    </row>
    <row r="467" ht="15.75" customHeight="1">
      <c r="A467" s="1">
        <v>1835.0</v>
      </c>
      <c r="B467" s="3">
        <v>144.0</v>
      </c>
      <c r="C467" s="7" t="s">
        <v>516</v>
      </c>
      <c r="D467" s="8" t="str">
        <f>IFERROR(__xludf.DUMMYFUNCTION("GOOGLETRANSLATE(C467, ""en"", ""pt"")"),"morin khuur")</f>
        <v>morin khuur</v>
      </c>
      <c r="E467" s="8" t="str">
        <f>IFERROR(__xludf.DUMMYFUNCTION("GOOGLETRANSLATE(C467, ""en"", ""es"")"),"Morin Khuur")</f>
        <v>Morin Khuur</v>
      </c>
      <c r="F467" s="8" t="str">
        <f>IFERROR(__xludf.DUMMYFUNCTION("GOOGLETRANSLATE(C467, ""en"", ""fr"")"),"morin khuur")</f>
        <v>morin khuur</v>
      </c>
      <c r="G467" s="8" t="str">
        <f>IFERROR(__xludf.DUMMYFUNCTION("GOOGLETRANSLATE(C467, ""en"", ""de"")"),"morin khuur")</f>
        <v>morin khuur</v>
      </c>
      <c r="H467" s="8" t="str">
        <f>IFERROR(__xludf.DUMMYFUNCTION("GOOGLETRANSLATE(C467, ""en"", ""ru"")"),"морин хуур")</f>
        <v>морин хуур</v>
      </c>
      <c r="I467" s="8" t="str">
        <f>IFERROR(__xludf.DUMMYFUNCTION("GOOGLETRANSLATE(C467, ""en"", ""ar"")"),"مورين خور")</f>
        <v>مورين خور</v>
      </c>
      <c r="J467" s="8"/>
      <c r="K467" s="7" t="str">
        <f>IFERROR(__xludf.DUMMYFUNCTION("CONCAT(REGEXREPLACE(C467,""[ ,]+"",""_""),"".mp3"")"),"morin_khuur.mp3")</f>
        <v>morin_khuur.mp3</v>
      </c>
      <c r="M467" s="4" t="s">
        <v>10</v>
      </c>
    </row>
    <row r="468" ht="15.75" customHeight="1">
      <c r="A468" s="1">
        <v>1836.0</v>
      </c>
      <c r="B468" s="3">
        <v>144.0</v>
      </c>
      <c r="C468" s="7" t="s">
        <v>517</v>
      </c>
      <c r="D468" s="8" t="str">
        <f>IFERROR(__xludf.DUMMYFUNCTION("GOOGLETRANSLATE(C468, ""en"", ""pt"")"),"guitarra")</f>
        <v>guitarra</v>
      </c>
      <c r="E468" s="8" t="str">
        <f>IFERROR(__xludf.DUMMYFUNCTION("GOOGLETRANSLATE(C468, ""en"", ""es"")"),"guitarra")</f>
        <v>guitarra</v>
      </c>
      <c r="F468" s="8" t="str">
        <f>IFERROR(__xludf.DUMMYFUNCTION("GOOGLETRANSLATE(C468, ""en"", ""fr"")"),"guitare")</f>
        <v>guitare</v>
      </c>
      <c r="G468" s="8" t="str">
        <f>IFERROR(__xludf.DUMMYFUNCTION("GOOGLETRANSLATE(C468, ""en"", ""de"")"),"Gitarre")</f>
        <v>Gitarre</v>
      </c>
      <c r="H468" s="8" t="str">
        <f>IFERROR(__xludf.DUMMYFUNCTION("GOOGLETRANSLATE(C468, ""en"", ""ru"")"),"гитара")</f>
        <v>гитара</v>
      </c>
      <c r="I468" s="8" t="str">
        <f>IFERROR(__xludf.DUMMYFUNCTION("GOOGLETRANSLATE(C468, ""en"", ""ar"")"),"غيتار")</f>
        <v>غيتار</v>
      </c>
      <c r="J468" s="8"/>
      <c r="K468" s="7" t="str">
        <f>IFERROR(__xludf.DUMMYFUNCTION("CONCAT(REGEXREPLACE(C468,""[ ,]+"",""_""),"".mp3"")"),"guitar.mp3")</f>
        <v>guitar.mp3</v>
      </c>
      <c r="M468" s="4" t="s">
        <v>10</v>
      </c>
    </row>
    <row r="469" ht="15.75" customHeight="1">
      <c r="A469" s="1">
        <v>1837.0</v>
      </c>
      <c r="B469" s="3">
        <v>144.0</v>
      </c>
      <c r="C469" s="7" t="s">
        <v>518</v>
      </c>
      <c r="D469" s="8" t="str">
        <f>IFERROR(__xludf.DUMMYFUNCTION("GOOGLETRANSLATE(C469, ""en"", ""pt"")"),"guitarra elétrica")</f>
        <v>guitarra elétrica</v>
      </c>
      <c r="E469" s="8" t="str">
        <f>IFERROR(__xludf.DUMMYFUNCTION("GOOGLETRANSLATE(C469, ""en"", ""es"")"),"guitarra eléctrica")</f>
        <v>guitarra eléctrica</v>
      </c>
      <c r="F469" s="8" t="str">
        <f>IFERROR(__xludf.DUMMYFUNCTION("GOOGLETRANSLATE(C469, ""en"", ""fr"")"),"guitare électrique")</f>
        <v>guitare électrique</v>
      </c>
      <c r="G469" s="8" t="str">
        <f>IFERROR(__xludf.DUMMYFUNCTION("GOOGLETRANSLATE(C469, ""en"", ""de"")"),"elektrische Gitarre")</f>
        <v>elektrische Gitarre</v>
      </c>
      <c r="H469" s="8" t="str">
        <f>IFERROR(__xludf.DUMMYFUNCTION("GOOGLETRANSLATE(C469, ""en"", ""ru"")"),"электрогитара")</f>
        <v>электрогитара</v>
      </c>
      <c r="I469" s="8" t="str">
        <f>IFERROR(__xludf.DUMMYFUNCTION("GOOGLETRANSLATE(C469, ""en"", ""ar"")"),"غيتار كهربائي")</f>
        <v>غيتار كهربائي</v>
      </c>
      <c r="J469" s="8"/>
      <c r="K469" s="7" t="str">
        <f>IFERROR(__xludf.DUMMYFUNCTION("CONCAT(REGEXREPLACE(C469,""[ ,]+"",""_""),"".mp3"")"),"electric_guitar.mp3")</f>
        <v>electric_guitar.mp3</v>
      </c>
      <c r="M469" s="4" t="s">
        <v>10</v>
      </c>
    </row>
    <row r="470" ht="15.75" customHeight="1">
      <c r="A470" s="1">
        <v>1838.0</v>
      </c>
      <c r="B470" s="3">
        <v>144.0</v>
      </c>
      <c r="C470" s="7" t="s">
        <v>519</v>
      </c>
      <c r="D470" s="8" t="str">
        <f>IFERROR(__xludf.DUMMYFUNCTION("GOOGLETRANSLATE(C470, ""en"", ""pt"")"),"baixo")</f>
        <v>baixo</v>
      </c>
      <c r="E470" s="8" t="str">
        <f>IFERROR(__xludf.DUMMYFUNCTION("GOOGLETRANSLATE(C470, ""en"", ""es"")"),"bajo")</f>
        <v>bajo</v>
      </c>
      <c r="F470" s="8" t="str">
        <f>IFERROR(__xludf.DUMMYFUNCTION("GOOGLETRANSLATE(C470, ""en"", ""fr"")"),"guitare basse")</f>
        <v>guitare basse</v>
      </c>
      <c r="G470" s="8" t="str">
        <f>IFERROR(__xludf.DUMMYFUNCTION("GOOGLETRANSLATE(C470, ""en"", ""de"")"),"Bassgitarre")</f>
        <v>Bassgitarre</v>
      </c>
      <c r="H470" s="8" t="str">
        <f>IFERROR(__xludf.DUMMYFUNCTION("GOOGLETRANSLATE(C470, ""en"", ""ru"")"),"бас-гитара")</f>
        <v>бас-гитара</v>
      </c>
      <c r="I470" s="8" t="str">
        <f>IFERROR(__xludf.DUMMYFUNCTION("GOOGLETRANSLATE(C470, ""en"", ""ar"")"),"غيتار البيس")</f>
        <v>غيتار البيس</v>
      </c>
      <c r="J470" s="8"/>
      <c r="K470" s="7" t="str">
        <f>IFERROR(__xludf.DUMMYFUNCTION("CONCAT(REGEXREPLACE(C470,""[ ,]+"",""_""),"".mp3"")"),"bass_guitar.mp3")</f>
        <v>bass_guitar.mp3</v>
      </c>
      <c r="M470" s="4" t="s">
        <v>10</v>
      </c>
    </row>
    <row r="471" ht="15.75" customHeight="1">
      <c r="A471" s="1">
        <v>1839.0</v>
      </c>
      <c r="B471" s="3">
        <v>144.0</v>
      </c>
      <c r="C471" s="7" t="s">
        <v>520</v>
      </c>
      <c r="D471" s="8" t="str">
        <f>IFERROR(__xludf.DUMMYFUNCTION("GOOGLETRANSLATE(C471, ""en"", ""pt"")"),"violão")</f>
        <v>violão</v>
      </c>
      <c r="E471" s="8" t="str">
        <f>IFERROR(__xludf.DUMMYFUNCTION("GOOGLETRANSLATE(C471, ""en"", ""es"")"),"guitarra acústica")</f>
        <v>guitarra acústica</v>
      </c>
      <c r="F471" s="8" t="str">
        <f>IFERROR(__xludf.DUMMYFUNCTION("GOOGLETRANSLATE(C471, ""en"", ""fr"")"),"guitare acoustique")</f>
        <v>guitare acoustique</v>
      </c>
      <c r="G471" s="8" t="str">
        <f>IFERROR(__xludf.DUMMYFUNCTION("GOOGLETRANSLATE(C471, ""en"", ""de"")"),"Akustikgitarre")</f>
        <v>Akustikgitarre</v>
      </c>
      <c r="H471" s="8" t="str">
        <f>IFERROR(__xludf.DUMMYFUNCTION("GOOGLETRANSLATE(C471, ""en"", ""ru"")"),"акустическая гитара")</f>
        <v>акустическая гитара</v>
      </c>
      <c r="I471" s="8" t="str">
        <f>IFERROR(__xludf.DUMMYFUNCTION("GOOGLETRANSLATE(C471, ""en"", ""ar"")"),"غيتار صوتي")</f>
        <v>غيتار صوتي</v>
      </c>
      <c r="J471" s="8"/>
      <c r="K471" s="7" t="str">
        <f>IFERROR(__xludf.DUMMYFUNCTION("CONCAT(REGEXREPLACE(C471,""[ ,]+"",""_""),"".mp3"")"),"acoustic_guitar.mp3")</f>
        <v>acoustic_guitar.mp3</v>
      </c>
      <c r="M471" s="4" t="s">
        <v>10</v>
      </c>
    </row>
    <row r="472" ht="15.75" customHeight="1">
      <c r="A472" s="1">
        <v>1840.0</v>
      </c>
      <c r="B472" s="3">
        <v>144.0</v>
      </c>
      <c r="C472" s="7" t="s">
        <v>521</v>
      </c>
      <c r="D472" s="8" t="str">
        <f>IFERROR(__xludf.DUMMYFUNCTION("GOOGLETRANSLATE(C472, ""en"", ""pt"")"),"violão clássico")</f>
        <v>violão clássico</v>
      </c>
      <c r="E472" s="8" t="str">
        <f>IFERROR(__xludf.DUMMYFUNCTION("GOOGLETRANSLATE(C472, ""en"", ""es"")"),"guitarra clásica")</f>
        <v>guitarra clásica</v>
      </c>
      <c r="F472" s="8" t="str">
        <f>IFERROR(__xludf.DUMMYFUNCTION("GOOGLETRANSLATE(C472, ""en"", ""fr"")"),"guitare classique")</f>
        <v>guitare classique</v>
      </c>
      <c r="G472" s="8" t="str">
        <f>IFERROR(__xludf.DUMMYFUNCTION("GOOGLETRANSLATE(C472, ""en"", ""de"")"),"klassische Gitarre")</f>
        <v>klassische Gitarre</v>
      </c>
      <c r="H472" s="8" t="str">
        <f>IFERROR(__xludf.DUMMYFUNCTION("GOOGLETRANSLATE(C472, ""en"", ""ru"")"),"классическая гитара")</f>
        <v>классическая гитара</v>
      </c>
      <c r="I472" s="8" t="str">
        <f>IFERROR(__xludf.DUMMYFUNCTION("GOOGLETRANSLATE(C472, ""en"", ""ar"")"),"غيتار كلاسيكي")</f>
        <v>غيتار كلاسيكي</v>
      </c>
      <c r="J472" s="8"/>
      <c r="K472" s="7" t="str">
        <f>IFERROR(__xludf.DUMMYFUNCTION("CONCAT(REGEXREPLACE(C472,""[ ,]+"",""_""),"".mp3"")"),"classical_guitar.mp3")</f>
        <v>classical_guitar.mp3</v>
      </c>
      <c r="M472" s="4" t="s">
        <v>10</v>
      </c>
    </row>
    <row r="473" ht="15.75" customHeight="1">
      <c r="A473" s="1">
        <v>1841.0</v>
      </c>
      <c r="B473" s="3">
        <v>144.0</v>
      </c>
      <c r="C473" s="7" t="s">
        <v>522</v>
      </c>
      <c r="D473" s="8" t="str">
        <f>IFERROR(__xludf.DUMMYFUNCTION("GOOGLETRANSLATE(C473, ""en"", ""pt"")"),"harpa")</f>
        <v>harpa</v>
      </c>
      <c r="E473" s="8" t="str">
        <f>IFERROR(__xludf.DUMMYFUNCTION("GOOGLETRANSLATE(C473, ""en"", ""es"")"),"arpa")</f>
        <v>arpa</v>
      </c>
      <c r="F473" s="8" t="str">
        <f>IFERROR(__xludf.DUMMYFUNCTION("GOOGLETRANSLATE(C473, ""en"", ""fr"")"),"harpe")</f>
        <v>harpe</v>
      </c>
      <c r="G473" s="8" t="str">
        <f>IFERROR(__xludf.DUMMYFUNCTION("GOOGLETRANSLATE(C473, ""en"", ""de"")"),"Harfe")</f>
        <v>Harfe</v>
      </c>
      <c r="H473" s="8" t="str">
        <f>IFERROR(__xludf.DUMMYFUNCTION("GOOGLETRANSLATE(C473, ""en"", ""ru"")"),"арфа")</f>
        <v>арфа</v>
      </c>
      <c r="I473" s="8" t="str">
        <f>IFERROR(__xludf.DUMMYFUNCTION("GOOGLETRANSLATE(C473, ""en"", ""ar"")"),"القيثارة")</f>
        <v>القيثارة</v>
      </c>
      <c r="J473" s="8"/>
      <c r="K473" s="7" t="str">
        <f>IFERROR(__xludf.DUMMYFUNCTION("CONCAT(REGEXREPLACE(C473,""[ ,]+"",""_""),"".mp3"")"),"harp.mp3")</f>
        <v>harp.mp3</v>
      </c>
      <c r="M473" s="4" t="s">
        <v>10</v>
      </c>
    </row>
    <row r="474" ht="15.75" customHeight="1">
      <c r="A474" s="1">
        <v>1842.0</v>
      </c>
      <c r="B474" s="3">
        <v>144.0</v>
      </c>
      <c r="C474" s="7" t="s">
        <v>523</v>
      </c>
      <c r="D474" s="8" t="str">
        <f>IFERROR(__xludf.DUMMYFUNCTION("GOOGLETRANSLATE(C474, ""en"", ""pt"")"),"lira")</f>
        <v>lira</v>
      </c>
      <c r="E474" s="8" t="str">
        <f>IFERROR(__xludf.DUMMYFUNCTION("GOOGLETRANSLATE(C474, ""en"", ""es"")"),"lira")</f>
        <v>lira</v>
      </c>
      <c r="F474" s="8" t="str">
        <f>IFERROR(__xludf.DUMMYFUNCTION("GOOGLETRANSLATE(C474, ""en"", ""fr"")"),"lyre")</f>
        <v>lyre</v>
      </c>
      <c r="G474" s="8" t="str">
        <f>IFERROR(__xludf.DUMMYFUNCTION("GOOGLETRANSLATE(C474, ""en"", ""de"")"),"Leier")</f>
        <v>Leier</v>
      </c>
      <c r="H474" s="8" t="str">
        <f>IFERROR(__xludf.DUMMYFUNCTION("GOOGLETRANSLATE(C474, ""en"", ""ru"")"),"лира")</f>
        <v>лира</v>
      </c>
      <c r="I474" s="8" t="str">
        <f>IFERROR(__xludf.DUMMYFUNCTION("GOOGLETRANSLATE(C474, ""en"", ""ar"")"),"قيثارة")</f>
        <v>قيثارة</v>
      </c>
      <c r="J474" s="8"/>
      <c r="K474" s="7" t="str">
        <f>IFERROR(__xludf.DUMMYFUNCTION("CONCAT(REGEXREPLACE(C474,""[ ,]+"",""_""),"".mp3"")"),"lyre.mp3")</f>
        <v>lyre.mp3</v>
      </c>
      <c r="M474" s="4" t="s">
        <v>10</v>
      </c>
    </row>
    <row r="475" ht="15.75" customHeight="1">
      <c r="A475" s="1">
        <v>1843.0</v>
      </c>
      <c r="B475" s="3">
        <v>144.0</v>
      </c>
      <c r="C475" s="7" t="s">
        <v>524</v>
      </c>
      <c r="D475" s="8" t="str">
        <f>IFERROR(__xludf.DUMMYFUNCTION("GOOGLETRANSLATE(C475, ""en"", ""pt"")"),"alaúde")</f>
        <v>alaúde</v>
      </c>
      <c r="E475" s="8" t="str">
        <f>IFERROR(__xludf.DUMMYFUNCTION("GOOGLETRANSLATE(C475, ""en"", ""es"")"),"laúd")</f>
        <v>laúd</v>
      </c>
      <c r="F475" s="8" t="str">
        <f>IFERROR(__xludf.DUMMYFUNCTION("GOOGLETRANSLATE(C475, ""en"", ""fr"")"),"luth")</f>
        <v>luth</v>
      </c>
      <c r="G475" s="8" t="str">
        <f>IFERROR(__xludf.DUMMYFUNCTION("GOOGLETRANSLATE(C475, ""en"", ""de"")"),"Laute")</f>
        <v>Laute</v>
      </c>
      <c r="H475" s="8" t="str">
        <f>IFERROR(__xludf.DUMMYFUNCTION("GOOGLETRANSLATE(C475, ""en"", ""ru"")"),"лютня")</f>
        <v>лютня</v>
      </c>
      <c r="I475" s="8" t="str">
        <f>IFERROR(__xludf.DUMMYFUNCTION("GOOGLETRANSLATE(C475, ""en"", ""ar"")"),"العود")</f>
        <v>العود</v>
      </c>
      <c r="J475" s="8"/>
      <c r="K475" s="7" t="str">
        <f>IFERROR(__xludf.DUMMYFUNCTION("CONCAT(REGEXREPLACE(C475,""[ ,]+"",""_""),"".mp3"")"),"lute.mp3")</f>
        <v>lute.mp3</v>
      </c>
      <c r="M475" s="4" t="s">
        <v>10</v>
      </c>
    </row>
    <row r="476" ht="15.75" customHeight="1">
      <c r="A476" s="1">
        <v>1844.0</v>
      </c>
      <c r="B476" s="3">
        <v>144.0</v>
      </c>
      <c r="C476" s="7" t="s">
        <v>525</v>
      </c>
      <c r="D476" s="8" t="str">
        <f>IFERROR(__xludf.DUMMYFUNCTION("GOOGLETRANSLATE(C476, ""en"", ""pt"")"),"oud")</f>
        <v>oud</v>
      </c>
      <c r="E476" s="8" t="str">
        <f>IFERROR(__xludf.DUMMYFUNCTION("GOOGLETRANSLATE(C476, ""en"", ""es"")"),"oud")</f>
        <v>oud</v>
      </c>
      <c r="F476" s="8" t="str">
        <f>IFERROR(__xludf.DUMMYFUNCTION("GOOGLETRANSLATE(C476, ""en"", ""fr"")"),"oud")</f>
        <v>oud</v>
      </c>
      <c r="G476" s="8" t="str">
        <f>IFERROR(__xludf.DUMMYFUNCTION("GOOGLETRANSLATE(C476, ""en"", ""de"")"),"Oud")</f>
        <v>Oud</v>
      </c>
      <c r="H476" s="8" t="str">
        <f>IFERROR(__xludf.DUMMYFUNCTION("GOOGLETRANSLATE(C476, ""en"", ""ru"")"),"уд")</f>
        <v>уд</v>
      </c>
      <c r="I476" s="8" t="str">
        <f>IFERROR(__xludf.DUMMYFUNCTION("GOOGLETRANSLATE(C476, ""en"", ""ar"")"),"عود")</f>
        <v>عود</v>
      </c>
      <c r="J476" s="8"/>
      <c r="K476" s="7" t="str">
        <f>IFERROR(__xludf.DUMMYFUNCTION("CONCAT(REGEXREPLACE(C476,""[ ,]+"",""_""),"".mp3"")"),"oud.mp3")</f>
        <v>oud.mp3</v>
      </c>
      <c r="M476" s="4" t="s">
        <v>10</v>
      </c>
    </row>
    <row r="477" ht="15.75" customHeight="1">
      <c r="A477" s="1">
        <v>1845.0</v>
      </c>
      <c r="B477" s="3">
        <v>144.0</v>
      </c>
      <c r="C477" s="7" t="s">
        <v>526</v>
      </c>
      <c r="D477" s="8" t="str">
        <f>IFERROR(__xludf.DUMMYFUNCTION("GOOGLETRANSLATE(C477, ""en"", ""pt"")"),"cítara")</f>
        <v>cítara</v>
      </c>
      <c r="E477" s="8" t="str">
        <f>IFERROR(__xludf.DUMMYFUNCTION("GOOGLETRANSLATE(C477, ""en"", ""es"")"),"sitar")</f>
        <v>sitar</v>
      </c>
      <c r="F477" s="8" t="str">
        <f>IFERROR(__xludf.DUMMYFUNCTION("GOOGLETRANSLATE(C477, ""en"", ""fr"")"),"sitar")</f>
        <v>sitar</v>
      </c>
      <c r="G477" s="8" t="str">
        <f>IFERROR(__xludf.DUMMYFUNCTION("GOOGLETRANSLATE(C477, ""en"", ""de"")"),"Sitar")</f>
        <v>Sitar</v>
      </c>
      <c r="H477" s="8" t="str">
        <f>IFERROR(__xludf.DUMMYFUNCTION("GOOGLETRANSLATE(C477, ""en"", ""ru"")"),"ситар")</f>
        <v>ситар</v>
      </c>
      <c r="I477" s="8" t="str">
        <f>IFERROR(__xludf.DUMMYFUNCTION("GOOGLETRANSLATE(C477, ""en"", ""ar"")"),"السيتار")</f>
        <v>السيتار</v>
      </c>
      <c r="J477" s="8"/>
      <c r="K477" s="7" t="str">
        <f>IFERROR(__xludf.DUMMYFUNCTION("CONCAT(REGEXREPLACE(C477,""[ ,]+"",""_""),"".mp3"")"),"sitar.mp3")</f>
        <v>sitar.mp3</v>
      </c>
      <c r="M477" s="4" t="s">
        <v>10</v>
      </c>
    </row>
    <row r="478" ht="15.75" customHeight="1">
      <c r="A478" s="1">
        <v>1846.0</v>
      </c>
      <c r="B478" s="3">
        <v>144.0</v>
      </c>
      <c r="C478" s="7" t="s">
        <v>527</v>
      </c>
      <c r="D478" s="8" t="str">
        <f>IFERROR(__xludf.DUMMYFUNCTION("GOOGLETRANSLATE(C478, ""en"", ""pt"")"),"tanpura")</f>
        <v>tanpura</v>
      </c>
      <c r="E478" s="8" t="str">
        <f>IFERROR(__xludf.DUMMYFUNCTION("GOOGLETRANSLATE(C478, ""en"", ""es"")"),"tanpura")</f>
        <v>tanpura</v>
      </c>
      <c r="F478" s="8" t="str">
        <f>IFERROR(__xludf.DUMMYFUNCTION("GOOGLETRANSLATE(C478, ""en"", ""fr"")"),"tanpura")</f>
        <v>tanpura</v>
      </c>
      <c r="G478" s="8" t="str">
        <f>IFERROR(__xludf.DUMMYFUNCTION("GOOGLETRANSLATE(C478, ""en"", ""de"")"),"Tanpura")</f>
        <v>Tanpura</v>
      </c>
      <c r="H478" s="8" t="str">
        <f>IFERROR(__xludf.DUMMYFUNCTION("GOOGLETRANSLATE(C478, ""en"", ""ru"")"),"танпура")</f>
        <v>танпура</v>
      </c>
      <c r="I478" s="8" t="str">
        <f>IFERROR(__xludf.DUMMYFUNCTION("GOOGLETRANSLATE(C478, ""en"", ""ar"")"),"تنبورا")</f>
        <v>تنبورا</v>
      </c>
      <c r="J478" s="8"/>
      <c r="K478" s="7" t="str">
        <f>IFERROR(__xludf.DUMMYFUNCTION("CONCAT(REGEXREPLACE(C478,""[ ,]+"",""_""),"".mp3"")"),"tanpura.mp3")</f>
        <v>tanpura.mp3</v>
      </c>
      <c r="M478" s="4" t="s">
        <v>10</v>
      </c>
    </row>
    <row r="479" ht="15.75" customHeight="1">
      <c r="A479" s="1">
        <v>1847.0</v>
      </c>
      <c r="B479" s="3">
        <v>144.0</v>
      </c>
      <c r="C479" s="7" t="s">
        <v>528</v>
      </c>
      <c r="D479" s="8" t="str">
        <f>IFERROR(__xludf.DUMMYFUNCTION("GOOGLETRANSLATE(C479, ""en"", ""pt"")"),"vina")</f>
        <v>vina</v>
      </c>
      <c r="E479" s="8" t="str">
        <f>IFERROR(__xludf.DUMMYFUNCTION("GOOGLETRANSLATE(C479, ""en"", ""es"")"),"Veena")</f>
        <v>Veena</v>
      </c>
      <c r="F479" s="8" t="str">
        <f>IFERROR(__xludf.DUMMYFUNCTION("GOOGLETRANSLATE(C479, ""en"", ""fr"")"),"veena")</f>
        <v>veena</v>
      </c>
      <c r="G479" s="8" t="str">
        <f>IFERROR(__xludf.DUMMYFUNCTION("GOOGLETRANSLATE(C479, ""en"", ""de"")"),"Veena")</f>
        <v>Veena</v>
      </c>
      <c r="H479" s="8" t="str">
        <f>IFERROR(__xludf.DUMMYFUNCTION("GOOGLETRANSLATE(C479, ""en"", ""ru"")"),"вина")</f>
        <v>вина</v>
      </c>
      <c r="I479" s="8" t="str">
        <f>IFERROR(__xludf.DUMMYFUNCTION("GOOGLETRANSLATE(C479, ""en"", ""ar"")"),"فينا")</f>
        <v>فينا</v>
      </c>
      <c r="J479" s="8"/>
      <c r="K479" s="7" t="str">
        <f>IFERROR(__xludf.DUMMYFUNCTION("CONCAT(REGEXREPLACE(C479,""[ ,]+"",""_""),"".mp3"")"),"veena.mp3")</f>
        <v>veena.mp3</v>
      </c>
      <c r="M479" s="4" t="s">
        <v>10</v>
      </c>
    </row>
    <row r="480" ht="15.75" customHeight="1">
      <c r="A480" s="1">
        <v>1848.0</v>
      </c>
      <c r="B480" s="3">
        <v>144.0</v>
      </c>
      <c r="C480" s="7" t="s">
        <v>529</v>
      </c>
      <c r="D480" s="8" t="str">
        <f>IFERROR(__xludf.DUMMYFUNCTION("GOOGLETRANSLATE(C480, ""en"", ""pt"")"),"ukulele")</f>
        <v>ukulele</v>
      </c>
      <c r="E480" s="8" t="str">
        <f>IFERROR(__xludf.DUMMYFUNCTION("GOOGLETRANSLATE(C480, ""en"", ""es"")"),"ukelele")</f>
        <v>ukelele</v>
      </c>
      <c r="F480" s="8" t="str">
        <f>IFERROR(__xludf.DUMMYFUNCTION("GOOGLETRANSLATE(C480, ""en"", ""fr"")"),"ukulélé")</f>
        <v>ukulélé</v>
      </c>
      <c r="G480" s="8" t="str">
        <f>IFERROR(__xludf.DUMMYFUNCTION("GOOGLETRANSLATE(C480, ""en"", ""de"")"),"Ukulele")</f>
        <v>Ukulele</v>
      </c>
      <c r="H480" s="8" t="str">
        <f>IFERROR(__xludf.DUMMYFUNCTION("GOOGLETRANSLATE(C480, ""en"", ""ru"")"),"укулеле")</f>
        <v>укулеле</v>
      </c>
      <c r="I480" s="8" t="str">
        <f>IFERROR(__xludf.DUMMYFUNCTION("GOOGLETRANSLATE(C480, ""en"", ""ar"")"),"يوكوليلي")</f>
        <v>يوكوليلي</v>
      </c>
      <c r="J480" s="8"/>
      <c r="K480" s="7" t="str">
        <f>IFERROR(__xludf.DUMMYFUNCTION("CONCAT(REGEXREPLACE(C480,""[ ,]+"",""_""),"".mp3"")"),"ukulele.mp3")</f>
        <v>ukulele.mp3</v>
      </c>
      <c r="M480" s="4" t="s">
        <v>10</v>
      </c>
    </row>
    <row r="481" ht="15.75" customHeight="1">
      <c r="A481" s="1">
        <v>1849.0</v>
      </c>
      <c r="B481" s="3">
        <v>144.0</v>
      </c>
      <c r="C481" s="7" t="s">
        <v>530</v>
      </c>
      <c r="D481" s="8" t="str">
        <f>IFERROR(__xludf.DUMMYFUNCTION("GOOGLETRANSLATE(C481, ""en"", ""pt"")"),"bandolim")</f>
        <v>bandolim</v>
      </c>
      <c r="E481" s="8" t="str">
        <f>IFERROR(__xludf.DUMMYFUNCTION("GOOGLETRANSLATE(C481, ""en"", ""es"")"),"mandolina")</f>
        <v>mandolina</v>
      </c>
      <c r="F481" s="8" t="str">
        <f>IFERROR(__xludf.DUMMYFUNCTION("GOOGLETRANSLATE(C481, ""en"", ""fr"")"),"mandoline")</f>
        <v>mandoline</v>
      </c>
      <c r="G481" s="8" t="str">
        <f>IFERROR(__xludf.DUMMYFUNCTION("GOOGLETRANSLATE(C481, ""en"", ""de"")"),"Mandoline")</f>
        <v>Mandoline</v>
      </c>
      <c r="H481" s="8" t="str">
        <f>IFERROR(__xludf.DUMMYFUNCTION("GOOGLETRANSLATE(C481, ""en"", ""ru"")"),"мандолина")</f>
        <v>мандолина</v>
      </c>
      <c r="I481" s="8" t="str">
        <f>IFERROR(__xludf.DUMMYFUNCTION("GOOGLETRANSLATE(C481, ""en"", ""ar"")"),"المندولين")</f>
        <v>المندولين</v>
      </c>
      <c r="J481" s="8"/>
      <c r="K481" s="7" t="str">
        <f>IFERROR(__xludf.DUMMYFUNCTION("CONCAT(REGEXREPLACE(C481,""[ ,]+"",""_""),"".mp3"")"),"mandolin.mp3")</f>
        <v>mandolin.mp3</v>
      </c>
      <c r="M481" s="4" t="s">
        <v>10</v>
      </c>
    </row>
    <row r="482" ht="15.75" customHeight="1">
      <c r="A482" s="1">
        <v>1850.0</v>
      </c>
      <c r="B482" s="3">
        <v>144.0</v>
      </c>
      <c r="C482" s="7" t="s">
        <v>531</v>
      </c>
      <c r="D482" s="8" t="str">
        <f>IFERROR(__xludf.DUMMYFUNCTION("GOOGLETRANSLATE(C482, ""en"", ""pt"")"),"banjo")</f>
        <v>banjo</v>
      </c>
      <c r="E482" s="8" t="str">
        <f>IFERROR(__xludf.DUMMYFUNCTION("GOOGLETRANSLATE(C482, ""en"", ""es"")"),"banjo")</f>
        <v>banjo</v>
      </c>
      <c r="F482" s="8" t="str">
        <f>IFERROR(__xludf.DUMMYFUNCTION("GOOGLETRANSLATE(C482, ""en"", ""fr"")"),"banjo")</f>
        <v>banjo</v>
      </c>
      <c r="G482" s="8" t="str">
        <f>IFERROR(__xludf.DUMMYFUNCTION("GOOGLETRANSLATE(C482, ""en"", ""de"")"),"Banjo")</f>
        <v>Banjo</v>
      </c>
      <c r="H482" s="8" t="str">
        <f>IFERROR(__xludf.DUMMYFUNCTION("GOOGLETRANSLATE(C482, ""en"", ""ru"")"),"банджо")</f>
        <v>банджо</v>
      </c>
      <c r="I482" s="8" t="str">
        <f>IFERROR(__xludf.DUMMYFUNCTION("GOOGLETRANSLATE(C482, ""en"", ""ar"")"),"البانجو")</f>
        <v>البانجو</v>
      </c>
      <c r="J482" s="8"/>
      <c r="K482" s="7" t="str">
        <f>IFERROR(__xludf.DUMMYFUNCTION("CONCAT(REGEXREPLACE(C482,""[ ,]+"",""_""),"".mp3"")"),"banjo.mp3")</f>
        <v>banjo.mp3</v>
      </c>
      <c r="M482" s="4" t="s">
        <v>10</v>
      </c>
    </row>
    <row r="483" ht="15.75" customHeight="1">
      <c r="A483" s="1">
        <v>1851.0</v>
      </c>
      <c r="B483" s="3">
        <v>144.0</v>
      </c>
      <c r="C483" s="7" t="s">
        <v>532</v>
      </c>
      <c r="D483" s="8" t="str">
        <f>IFERROR(__xludf.DUMMYFUNCTION("GOOGLETRANSLATE(C483, ""en"", ""pt"")"),"bouzouki")</f>
        <v>bouzouki</v>
      </c>
      <c r="E483" s="8" t="str">
        <f>IFERROR(__xludf.DUMMYFUNCTION("GOOGLETRANSLATE(C483, ""en"", ""es"")"),"bouzouki")</f>
        <v>bouzouki</v>
      </c>
      <c r="F483" s="8" t="str">
        <f>IFERROR(__xludf.DUMMYFUNCTION("GOOGLETRANSLATE(C483, ""en"", ""fr"")"),"bouzouki")</f>
        <v>bouzouki</v>
      </c>
      <c r="G483" s="8" t="str">
        <f>IFERROR(__xludf.DUMMYFUNCTION("GOOGLETRANSLATE(C483, ""en"", ""de"")"),"Bouzouki")</f>
        <v>Bouzouki</v>
      </c>
      <c r="H483" s="8" t="str">
        <f>IFERROR(__xludf.DUMMYFUNCTION("GOOGLETRANSLATE(C483, ""en"", ""ru"")"),"бузуки")</f>
        <v>бузуки</v>
      </c>
      <c r="I483" s="8" t="str">
        <f>IFERROR(__xludf.DUMMYFUNCTION("GOOGLETRANSLATE(C483, ""en"", ""ar"")"),"بوزوكي")</f>
        <v>بوزوكي</v>
      </c>
      <c r="J483" s="8"/>
      <c r="K483" s="7" t="str">
        <f>IFERROR(__xludf.DUMMYFUNCTION("CONCAT(REGEXREPLACE(C483,""[ ,]+"",""_""),"".mp3"")"),"bouzouki.mp3")</f>
        <v>bouzouki.mp3</v>
      </c>
      <c r="M483" s="4" t="s">
        <v>10</v>
      </c>
    </row>
    <row r="484" ht="15.75" customHeight="1">
      <c r="A484" s="1">
        <v>1852.0</v>
      </c>
      <c r="B484" s="3">
        <v>144.0</v>
      </c>
      <c r="C484" s="7" t="s">
        <v>533</v>
      </c>
      <c r="D484" s="8" t="str">
        <f>IFERROR(__xludf.DUMMYFUNCTION("GOOGLETRANSLATE(C484, ""en"", ""pt"")"),"balalaica")</f>
        <v>balalaica</v>
      </c>
      <c r="E484" s="8" t="str">
        <f>IFERROR(__xludf.DUMMYFUNCTION("GOOGLETRANSLATE(C484, ""en"", ""es"")"),"balalaica")</f>
        <v>balalaica</v>
      </c>
      <c r="F484" s="8" t="str">
        <f>IFERROR(__xludf.DUMMYFUNCTION("GOOGLETRANSLATE(C484, ""en"", ""fr"")"),"balalaika")</f>
        <v>balalaika</v>
      </c>
      <c r="G484" s="8" t="str">
        <f>IFERROR(__xludf.DUMMYFUNCTION("GOOGLETRANSLATE(C484, ""en"", ""de"")"),"Balalaika")</f>
        <v>Balalaika</v>
      </c>
      <c r="H484" s="8" t="str">
        <f>IFERROR(__xludf.DUMMYFUNCTION("GOOGLETRANSLATE(C484, ""en"", ""ru"")"),"балалайка")</f>
        <v>балалайка</v>
      </c>
      <c r="I484" s="8" t="str">
        <f>IFERROR(__xludf.DUMMYFUNCTION("GOOGLETRANSLATE(C484, ""en"", ""ar"")"),"بالالايكا")</f>
        <v>بالالايكا</v>
      </c>
      <c r="J484" s="8"/>
      <c r="K484" s="7" t="str">
        <f>IFERROR(__xludf.DUMMYFUNCTION("CONCAT(REGEXREPLACE(C484,""[ ,]+"",""_""),"".mp3"")"),"balalaika.mp3")</f>
        <v>balalaika.mp3</v>
      </c>
      <c r="M484" s="4" t="s">
        <v>10</v>
      </c>
    </row>
    <row r="485" ht="15.75" customHeight="1">
      <c r="A485" s="1">
        <v>1853.0</v>
      </c>
      <c r="B485" s="3">
        <v>144.0</v>
      </c>
      <c r="C485" s="7" t="s">
        <v>534</v>
      </c>
      <c r="D485" s="8" t="str">
        <f>IFERROR(__xludf.DUMMYFUNCTION("GOOGLETRANSLATE(C485, ""en"", ""pt"")"),"charango")</f>
        <v>charango</v>
      </c>
      <c r="E485" s="8" t="str">
        <f>IFERROR(__xludf.DUMMYFUNCTION("GOOGLETRANSLATE(C485, ""en"", ""es"")"),"charango")</f>
        <v>charango</v>
      </c>
      <c r="F485" s="8" t="str">
        <f>IFERROR(__xludf.DUMMYFUNCTION("GOOGLETRANSLATE(C485, ""en"", ""fr"")"),"charango")</f>
        <v>charango</v>
      </c>
      <c r="G485" s="8" t="str">
        <f>IFERROR(__xludf.DUMMYFUNCTION("GOOGLETRANSLATE(C485, ""en"", ""de"")"),"Charango")</f>
        <v>Charango</v>
      </c>
      <c r="H485" s="8" t="str">
        <f>IFERROR(__xludf.DUMMYFUNCTION("GOOGLETRANSLATE(C485, ""en"", ""ru"")"),"чаранго")</f>
        <v>чаранго</v>
      </c>
      <c r="I485" s="8" t="str">
        <f>IFERROR(__xludf.DUMMYFUNCTION("GOOGLETRANSLATE(C485, ""en"", ""ar"")"),"شارانجو")</f>
        <v>شارانجو</v>
      </c>
      <c r="J485" s="8"/>
      <c r="K485" s="7" t="str">
        <f>IFERROR(__xludf.DUMMYFUNCTION("CONCAT(REGEXREPLACE(C485,""[ ,]+"",""_""),"".mp3"")"),"charango.mp3")</f>
        <v>charango.mp3</v>
      </c>
      <c r="M485" s="4" t="s">
        <v>10</v>
      </c>
    </row>
    <row r="486" ht="15.75" customHeight="1">
      <c r="A486" s="1">
        <v>1854.0</v>
      </c>
      <c r="B486" s="3">
        <v>144.0</v>
      </c>
      <c r="C486" s="7" t="s">
        <v>535</v>
      </c>
      <c r="D486" s="8" t="str">
        <f>IFERROR(__xludf.DUMMYFUNCTION("GOOGLETRANSLATE(C486, ""en"", ""pt"")"),"cítara")</f>
        <v>cítara</v>
      </c>
      <c r="E486" s="8" t="str">
        <f>IFERROR(__xludf.DUMMYFUNCTION("GOOGLETRANSLATE(C486, ""en"", ""es"")"),"cítara")</f>
        <v>cítara</v>
      </c>
      <c r="F486" s="8" t="str">
        <f>IFERROR(__xludf.DUMMYFUNCTION("GOOGLETRANSLATE(C486, ""en"", ""fr"")"),"cithare")</f>
        <v>cithare</v>
      </c>
      <c r="G486" s="8" t="str">
        <f>IFERROR(__xludf.DUMMYFUNCTION("GOOGLETRANSLATE(C486, ""en"", ""de"")"),"Zither")</f>
        <v>Zither</v>
      </c>
      <c r="H486" s="8" t="str">
        <f>IFERROR(__xludf.DUMMYFUNCTION("GOOGLETRANSLATE(C486, ""en"", ""ru"")"),"цитра")</f>
        <v>цитра</v>
      </c>
      <c r="I486" s="8" t="str">
        <f>IFERROR(__xludf.DUMMYFUNCTION("GOOGLETRANSLATE(C486, ""en"", ""ar"")"),"القيثارة")</f>
        <v>القيثارة</v>
      </c>
      <c r="J486" s="8"/>
      <c r="K486" s="7" t="str">
        <f>IFERROR(__xludf.DUMMYFUNCTION("CONCAT(REGEXREPLACE(C486,""[ ,]+"",""_""),"".mp3"")"),"zither.mp3")</f>
        <v>zither.mp3</v>
      </c>
      <c r="M486" s="4" t="s">
        <v>10</v>
      </c>
    </row>
    <row r="487" ht="15.75" customHeight="1">
      <c r="A487" s="1">
        <v>1855.0</v>
      </c>
      <c r="B487" s="3">
        <v>144.0</v>
      </c>
      <c r="C487" s="7" t="s">
        <v>536</v>
      </c>
      <c r="D487" s="8" t="str">
        <f>IFERROR(__xludf.DUMMYFUNCTION("GOOGLETRANSLATE(C487, ""en"", ""pt"")"),"koto")</f>
        <v>koto</v>
      </c>
      <c r="E487" s="8" t="str">
        <f>IFERROR(__xludf.DUMMYFUNCTION("GOOGLETRANSLATE(C487, ""en"", ""es"")"),"koto")</f>
        <v>koto</v>
      </c>
      <c r="F487" s="8" t="str">
        <f>IFERROR(__xludf.DUMMYFUNCTION("GOOGLETRANSLATE(C487, ""en"", ""fr"")"),"koto")</f>
        <v>koto</v>
      </c>
      <c r="G487" s="8" t="str">
        <f>IFERROR(__xludf.DUMMYFUNCTION("GOOGLETRANSLATE(C487, ""en"", ""de"")"),"koto")</f>
        <v>koto</v>
      </c>
      <c r="H487" s="8" t="str">
        <f>IFERROR(__xludf.DUMMYFUNCTION("GOOGLETRANSLATE(C487, ""en"", ""ru"")"),"кото")</f>
        <v>кото</v>
      </c>
      <c r="I487" s="8" t="str">
        <f>IFERROR(__xludf.DUMMYFUNCTION("GOOGLETRANSLATE(C487, ""en"", ""ar"")"),"koto")</f>
        <v>koto</v>
      </c>
      <c r="J487" s="8"/>
      <c r="K487" s="7" t="str">
        <f>IFERROR(__xludf.DUMMYFUNCTION("CONCAT(REGEXREPLACE(C487,""[ ,]+"",""_""),"".mp3"")"),"koto.mp3")</f>
        <v>koto.mp3</v>
      </c>
      <c r="M487" s="4" t="s">
        <v>10</v>
      </c>
    </row>
    <row r="488" ht="15.75" customHeight="1">
      <c r="A488" s="1">
        <v>1856.0</v>
      </c>
      <c r="B488" s="3">
        <v>144.0</v>
      </c>
      <c r="C488" s="7" t="s">
        <v>537</v>
      </c>
      <c r="D488" s="8" t="str">
        <f>IFERROR(__xludf.DUMMYFUNCTION("GOOGLETRANSLATE(C488, ""en"", ""pt"")"),"pipa")</f>
        <v>pipa</v>
      </c>
      <c r="E488" s="8" t="str">
        <f>IFERROR(__xludf.DUMMYFUNCTION("GOOGLETRANSLATE(C488, ""en"", ""es"")"),"pipa")</f>
        <v>pipa</v>
      </c>
      <c r="F488" s="8" t="str">
        <f>IFERROR(__xludf.DUMMYFUNCTION("GOOGLETRANSLATE(C488, ""en"", ""fr"")"),"pipa")</f>
        <v>pipa</v>
      </c>
      <c r="G488" s="8" t="str">
        <f>IFERROR(__xludf.DUMMYFUNCTION("GOOGLETRANSLATE(C488, ""en"", ""de"")"),"Pipa")</f>
        <v>Pipa</v>
      </c>
      <c r="H488" s="8" t="str">
        <f>IFERROR(__xludf.DUMMYFUNCTION("GOOGLETRANSLATE(C488, ""en"", ""ru"")"),"пипа")</f>
        <v>пипа</v>
      </c>
      <c r="I488" s="8" t="str">
        <f>IFERROR(__xludf.DUMMYFUNCTION("GOOGLETRANSLATE(C488, ""en"", ""ar"")"),"بيبا")</f>
        <v>بيبا</v>
      </c>
      <c r="J488" s="8"/>
      <c r="K488" s="7" t="str">
        <f>IFERROR(__xludf.DUMMYFUNCTION("CONCAT(REGEXREPLACE(C488,""[ ,]+"",""_""),"".mp3"")"),"pipa.mp3")</f>
        <v>pipa.mp3</v>
      </c>
      <c r="M488" s="4" t="s">
        <v>10</v>
      </c>
    </row>
    <row r="489" ht="15.75" customHeight="1">
      <c r="A489" s="1">
        <v>1857.0</v>
      </c>
      <c r="B489" s="3">
        <v>144.0</v>
      </c>
      <c r="C489" s="7" t="s">
        <v>538</v>
      </c>
      <c r="D489" s="8" t="str">
        <f>IFERROR(__xludf.DUMMYFUNCTION("GOOGLETRANSLATE(C489, ""en"", ""pt"")"),"shamisen")</f>
        <v>shamisen</v>
      </c>
      <c r="E489" s="8" t="str">
        <f>IFERROR(__xludf.DUMMYFUNCTION("GOOGLETRANSLATE(C489, ""en"", ""es"")"),"shamisen")</f>
        <v>shamisen</v>
      </c>
      <c r="F489" s="8" t="str">
        <f>IFERROR(__xludf.DUMMYFUNCTION("GOOGLETRANSLATE(C489, ""en"", ""fr"")"),"shamisen")</f>
        <v>shamisen</v>
      </c>
      <c r="G489" s="8" t="str">
        <f>IFERROR(__xludf.DUMMYFUNCTION("GOOGLETRANSLATE(C489, ""en"", ""de"")"),"Shamisen")</f>
        <v>Shamisen</v>
      </c>
      <c r="H489" s="8" t="str">
        <f>IFERROR(__xludf.DUMMYFUNCTION("GOOGLETRANSLATE(C489, ""en"", ""ru"")"),"сямисэн")</f>
        <v>сямисэн</v>
      </c>
      <c r="I489" s="8" t="str">
        <f>IFERROR(__xludf.DUMMYFUNCTION("GOOGLETRANSLATE(C489, ""en"", ""ar"")"),"الشاميسن")</f>
        <v>الشاميسن</v>
      </c>
      <c r="J489" s="8"/>
      <c r="K489" s="7" t="str">
        <f>IFERROR(__xludf.DUMMYFUNCTION("CONCAT(REGEXREPLACE(C489,""[ ,]+"",""_""),"".mp3"")"),"shamisen.mp3")</f>
        <v>shamisen.mp3</v>
      </c>
      <c r="M489" s="4" t="s">
        <v>10</v>
      </c>
    </row>
    <row r="490" ht="15.75" customHeight="1">
      <c r="A490" s="1">
        <v>1858.0</v>
      </c>
      <c r="B490" s="3">
        <v>144.0</v>
      </c>
      <c r="C490" s="7" t="s">
        <v>539</v>
      </c>
      <c r="D490" s="8" t="str">
        <f>IFERROR(__xludf.DUMMYFUNCTION("GOOGLETRANSLATE(C490, ""en"", ""pt"")"),"sanxiano")</f>
        <v>sanxiano</v>
      </c>
      <c r="E490" s="8" t="str">
        <f>IFERROR(__xludf.DUMMYFUNCTION("GOOGLETRANSLATE(C490, ""en"", ""es"")"),"sanxian")</f>
        <v>sanxian</v>
      </c>
      <c r="F490" s="8" t="str">
        <f>IFERROR(__xludf.DUMMYFUNCTION("GOOGLETRANSLATE(C490, ""en"", ""fr"")"),"Sanxian")</f>
        <v>Sanxian</v>
      </c>
      <c r="G490" s="8" t="str">
        <f>IFERROR(__xludf.DUMMYFUNCTION("GOOGLETRANSLATE(C490, ""en"", ""de"")"),"sanxian")</f>
        <v>sanxian</v>
      </c>
      <c r="H490" s="8" t="str">
        <f>IFERROR(__xludf.DUMMYFUNCTION("GOOGLETRANSLATE(C490, ""en"", ""ru"")"),"саньсянь")</f>
        <v>саньсянь</v>
      </c>
      <c r="I490" s="8" t="str">
        <f>IFERROR(__xludf.DUMMYFUNCTION("GOOGLETRANSLATE(C490, ""en"", ""ar"")"),"سانكسيان")</f>
        <v>سانكسيان</v>
      </c>
      <c r="J490" s="8"/>
      <c r="K490" s="7" t="str">
        <f>IFERROR(__xludf.DUMMYFUNCTION("CONCAT(REGEXREPLACE(C490,""[ ,]+"",""_""),"".mp3"")"),"sanxian.mp3")</f>
        <v>sanxian.mp3</v>
      </c>
      <c r="M490" s="4" t="s">
        <v>10</v>
      </c>
    </row>
    <row r="491" ht="15.75" customHeight="1">
      <c r="A491" s="1">
        <v>1859.0</v>
      </c>
      <c r="B491" s="3">
        <v>144.0</v>
      </c>
      <c r="C491" s="7" t="s">
        <v>540</v>
      </c>
      <c r="D491" s="8" t="str">
        <f>IFERROR(__xludf.DUMMYFUNCTION("GOOGLETRANSLATE(C491, ""en"", ""pt"")"),"teorba")</f>
        <v>teorba</v>
      </c>
      <c r="E491" s="8" t="str">
        <f>IFERROR(__xludf.DUMMYFUNCTION("GOOGLETRANSLATE(C491, ""en"", ""es"")"),"tiorba")</f>
        <v>tiorba</v>
      </c>
      <c r="F491" s="8" t="str">
        <f>IFERROR(__xludf.DUMMYFUNCTION("GOOGLETRANSLATE(C491, ""en"", ""fr"")"),"théorbe")</f>
        <v>théorbe</v>
      </c>
      <c r="G491" s="8" t="str">
        <f>IFERROR(__xludf.DUMMYFUNCTION("GOOGLETRANSLATE(C491, ""en"", ""de"")"),"Theorbe")</f>
        <v>Theorbe</v>
      </c>
      <c r="H491" s="8" t="str">
        <f>IFERROR(__xludf.DUMMYFUNCTION("GOOGLETRANSLATE(C491, ""en"", ""ru"")"),"теорбо")</f>
        <v>теорбо</v>
      </c>
      <c r="I491" s="8" t="str">
        <f>IFERROR(__xludf.DUMMYFUNCTION("GOOGLETRANSLATE(C491, ""en"", ""ar"")"),"ثيوربو")</f>
        <v>ثيوربو</v>
      </c>
      <c r="J491" s="8"/>
      <c r="K491" s="7" t="str">
        <f>IFERROR(__xludf.DUMMYFUNCTION("CONCAT(REGEXREPLACE(C491,""[ ,]+"",""_""),"".mp3"")"),"theorbo.mp3")</f>
        <v>theorbo.mp3</v>
      </c>
      <c r="M491" s="4" t="s">
        <v>10</v>
      </c>
    </row>
    <row r="492" ht="15.75" customHeight="1">
      <c r="A492" s="1">
        <v>1860.0</v>
      </c>
      <c r="B492" s="3">
        <v>144.0</v>
      </c>
      <c r="C492" s="7" t="s">
        <v>541</v>
      </c>
      <c r="D492" s="8" t="str">
        <f>IFERROR(__xludf.DUMMYFUNCTION("GOOGLETRANSLATE(C492, ""en"", ""pt"")"),"piano")</f>
        <v>piano</v>
      </c>
      <c r="E492" s="8" t="str">
        <f>IFERROR(__xludf.DUMMYFUNCTION("GOOGLETRANSLATE(C492, ""en"", ""es"")"),"piano")</f>
        <v>piano</v>
      </c>
      <c r="F492" s="8" t="str">
        <f>IFERROR(__xludf.DUMMYFUNCTION("GOOGLETRANSLATE(C492, ""en"", ""fr"")"),"piano")</f>
        <v>piano</v>
      </c>
      <c r="G492" s="8" t="str">
        <f>IFERROR(__xludf.DUMMYFUNCTION("GOOGLETRANSLATE(C492, ""en"", ""de"")"),"Klavier")</f>
        <v>Klavier</v>
      </c>
      <c r="H492" s="8" t="str">
        <f>IFERROR(__xludf.DUMMYFUNCTION("GOOGLETRANSLATE(C492, ""en"", ""ru"")"),"фортепиано")</f>
        <v>фортепиано</v>
      </c>
      <c r="I492" s="8" t="str">
        <f>IFERROR(__xludf.DUMMYFUNCTION("GOOGLETRANSLATE(C492, ""en"", ""ar"")"),"بيانو")</f>
        <v>بيانو</v>
      </c>
      <c r="J492" s="8"/>
      <c r="K492" s="7" t="str">
        <f>IFERROR(__xludf.DUMMYFUNCTION("CONCAT(REGEXREPLACE(C492,""[ ,]+"",""_""),"".mp3"")"),"piano.mp3")</f>
        <v>piano.mp3</v>
      </c>
      <c r="M492" s="4" t="s">
        <v>10</v>
      </c>
    </row>
    <row r="493" ht="15.75" customHeight="1">
      <c r="A493" s="1">
        <v>1861.0</v>
      </c>
      <c r="B493" s="3">
        <v>144.0</v>
      </c>
      <c r="C493" s="7" t="s">
        <v>542</v>
      </c>
      <c r="D493" s="8" t="str">
        <f>IFERROR(__xludf.DUMMYFUNCTION("GOOGLETRANSLATE(C493, ""en"", ""pt"")"),"piano de cauda")</f>
        <v>piano de cauda</v>
      </c>
      <c r="E493" s="8" t="str">
        <f>IFERROR(__xludf.DUMMYFUNCTION("GOOGLETRANSLATE(C493, ""en"", ""es"")"),"piano de cola")</f>
        <v>piano de cola</v>
      </c>
      <c r="F493" s="8" t="str">
        <f>IFERROR(__xludf.DUMMYFUNCTION("GOOGLETRANSLATE(C493, ""en"", ""fr"")"),"grand piano")</f>
        <v>grand piano</v>
      </c>
      <c r="G493" s="8" t="str">
        <f>IFERROR(__xludf.DUMMYFUNCTION("GOOGLETRANSLATE(C493, ""en"", ""de"")"),"Flügel")</f>
        <v>Flügel</v>
      </c>
      <c r="H493" s="8" t="str">
        <f>IFERROR(__xludf.DUMMYFUNCTION("GOOGLETRANSLATE(C493, ""en"", ""ru"")"),"рояль")</f>
        <v>рояль</v>
      </c>
      <c r="I493" s="8" t="str">
        <f>IFERROR(__xludf.DUMMYFUNCTION("GOOGLETRANSLATE(C493, ""en"", ""ar"")"),"بيانو كبير")</f>
        <v>بيانو كبير</v>
      </c>
      <c r="J493" s="8"/>
      <c r="K493" s="7" t="str">
        <f>IFERROR(__xludf.DUMMYFUNCTION("CONCAT(REGEXREPLACE(C493,""[ ,]+"",""_""),"".mp3"")"),"grand_piano.mp3")</f>
        <v>grand_piano.mp3</v>
      </c>
      <c r="M493" s="4" t="s">
        <v>10</v>
      </c>
    </row>
    <row r="494" ht="15.75" customHeight="1">
      <c r="A494" s="1">
        <v>1862.0</v>
      </c>
      <c r="B494" s="3">
        <v>144.0</v>
      </c>
      <c r="C494" s="7" t="s">
        <v>543</v>
      </c>
      <c r="D494" s="8" t="str">
        <f>IFERROR(__xludf.DUMMYFUNCTION("GOOGLETRANSLATE(C494, ""en"", ""pt"")"),"piano vertical")</f>
        <v>piano vertical</v>
      </c>
      <c r="E494" s="8" t="str">
        <f>IFERROR(__xludf.DUMMYFUNCTION("GOOGLETRANSLATE(C494, ""en"", ""es"")"),"piano vertical")</f>
        <v>piano vertical</v>
      </c>
      <c r="F494" s="8" t="str">
        <f>IFERROR(__xludf.DUMMYFUNCTION("GOOGLETRANSLATE(C494, ""en"", ""fr"")"),"piano droit")</f>
        <v>piano droit</v>
      </c>
      <c r="G494" s="8" t="str">
        <f>IFERROR(__xludf.DUMMYFUNCTION("GOOGLETRANSLATE(C494, ""en"", ""de"")"),"Klavier")</f>
        <v>Klavier</v>
      </c>
      <c r="H494" s="8" t="str">
        <f>IFERROR(__xludf.DUMMYFUNCTION("GOOGLETRANSLATE(C494, ""en"", ""ru"")"),"пианино")</f>
        <v>пианино</v>
      </c>
      <c r="I494" s="8" t="str">
        <f>IFERROR(__xludf.DUMMYFUNCTION("GOOGLETRANSLATE(C494, ""en"", ""ar"")"),"بيانو عمودي")</f>
        <v>بيانو عمودي</v>
      </c>
      <c r="J494" s="8"/>
      <c r="K494" s="7" t="str">
        <f>IFERROR(__xludf.DUMMYFUNCTION("CONCAT(REGEXREPLACE(C494,""[ ,]+"",""_""),"".mp3"")"),"upright_piano.mp3")</f>
        <v>upright_piano.mp3</v>
      </c>
      <c r="M494" s="4" t="s">
        <v>10</v>
      </c>
    </row>
    <row r="495" ht="15.75" customHeight="1">
      <c r="A495" s="1">
        <v>1863.0</v>
      </c>
      <c r="B495" s="3">
        <v>144.0</v>
      </c>
      <c r="C495" s="7" t="s">
        <v>544</v>
      </c>
      <c r="D495" s="8" t="str">
        <f>IFERROR(__xludf.DUMMYFUNCTION("GOOGLETRANSLATE(C495, ""en"", ""pt"")"),"cravo")</f>
        <v>cravo</v>
      </c>
      <c r="E495" s="8" t="str">
        <f>IFERROR(__xludf.DUMMYFUNCTION("GOOGLETRANSLATE(C495, ""en"", ""es"")"),"clave")</f>
        <v>clave</v>
      </c>
      <c r="F495" s="8" t="str">
        <f>IFERROR(__xludf.DUMMYFUNCTION("GOOGLETRANSLATE(C495, ""en"", ""fr"")"),"clavecin")</f>
        <v>clavecin</v>
      </c>
      <c r="G495" s="8" t="str">
        <f>IFERROR(__xludf.DUMMYFUNCTION("GOOGLETRANSLATE(C495, ""en"", ""de"")"),"Cembalo")</f>
        <v>Cembalo</v>
      </c>
      <c r="H495" s="8" t="str">
        <f>IFERROR(__xludf.DUMMYFUNCTION("GOOGLETRANSLATE(C495, ""en"", ""ru"")"),"клавесин")</f>
        <v>клавесин</v>
      </c>
      <c r="I495" s="8" t="str">
        <f>IFERROR(__xludf.DUMMYFUNCTION("GOOGLETRANSLATE(C495, ""en"", ""ar"")"),"بيان القيثاري")</f>
        <v>بيان القيثاري</v>
      </c>
      <c r="J495" s="8"/>
      <c r="K495" s="7" t="str">
        <f>IFERROR(__xludf.DUMMYFUNCTION("CONCAT(REGEXREPLACE(C495,""[ ,]+"",""_""),"".mp3"")"),"harpsichord.mp3")</f>
        <v>harpsichord.mp3</v>
      </c>
      <c r="M495" s="4" t="s">
        <v>10</v>
      </c>
    </row>
    <row r="496" ht="15.75" customHeight="1">
      <c r="A496" s="1">
        <v>1864.0</v>
      </c>
      <c r="B496" s="3">
        <v>144.0</v>
      </c>
      <c r="C496" s="7" t="s">
        <v>545</v>
      </c>
      <c r="D496" s="8" t="str">
        <f>IFERROR(__xludf.DUMMYFUNCTION("GOOGLETRANSLATE(C496, ""en"", ""pt"")"),"clavicórdio")</f>
        <v>clavicórdio</v>
      </c>
      <c r="E496" s="8" t="str">
        <f>IFERROR(__xludf.DUMMYFUNCTION("GOOGLETRANSLATE(C496, ""en"", ""es"")"),"clavicordio")</f>
        <v>clavicordio</v>
      </c>
      <c r="F496" s="8" t="str">
        <f>IFERROR(__xludf.DUMMYFUNCTION("GOOGLETRANSLATE(C496, ""en"", ""fr"")"),"clavicorde")</f>
        <v>clavicorde</v>
      </c>
      <c r="G496" s="8" t="str">
        <f>IFERROR(__xludf.DUMMYFUNCTION("GOOGLETRANSLATE(C496, ""en"", ""de"")"),"Klavichord")</f>
        <v>Klavichord</v>
      </c>
      <c r="H496" s="8" t="str">
        <f>IFERROR(__xludf.DUMMYFUNCTION("GOOGLETRANSLATE(C496, ""en"", ""ru"")"),"клавикорд")</f>
        <v>клавикорд</v>
      </c>
      <c r="I496" s="8" t="str">
        <f>IFERROR(__xludf.DUMMYFUNCTION("GOOGLETRANSLATE(C496, ""en"", ""ar"")"),"موترة المفاتيح")</f>
        <v>موترة المفاتيح</v>
      </c>
      <c r="J496" s="8"/>
      <c r="K496" s="7" t="str">
        <f>IFERROR(__xludf.DUMMYFUNCTION("CONCAT(REGEXREPLACE(C496,""[ ,]+"",""_""),"".mp3"")"),"clavichord.mp3")</f>
        <v>clavichord.mp3</v>
      </c>
      <c r="M496" s="4" t="s">
        <v>10</v>
      </c>
    </row>
    <row r="497" ht="15.75" customHeight="1">
      <c r="A497" s="1">
        <v>1865.0</v>
      </c>
      <c r="B497" s="3">
        <v>144.0</v>
      </c>
      <c r="C497" s="7" t="s">
        <v>546</v>
      </c>
      <c r="D497" s="8" t="str">
        <f>IFERROR(__xludf.DUMMYFUNCTION("GOOGLETRANSLATE(C497, ""en"", ""pt"")"),"dulcimer")</f>
        <v>dulcimer</v>
      </c>
      <c r="E497" s="8" t="str">
        <f>IFERROR(__xludf.DUMMYFUNCTION("GOOGLETRANSLATE(C497, ""en"", ""es"")"),"dulcimer")</f>
        <v>dulcimer</v>
      </c>
      <c r="F497" s="8" t="str">
        <f>IFERROR(__xludf.DUMMYFUNCTION("GOOGLETRANSLATE(C497, ""en"", ""fr"")"),"tympanon")</f>
        <v>tympanon</v>
      </c>
      <c r="G497" s="8" t="str">
        <f>IFERROR(__xludf.DUMMYFUNCTION("GOOGLETRANSLATE(C497, ""en"", ""de"")"),"Hackbrett")</f>
        <v>Hackbrett</v>
      </c>
      <c r="H497" s="8" t="str">
        <f>IFERROR(__xludf.DUMMYFUNCTION("GOOGLETRANSLATE(C497, ""en"", ""ru"")"),"цимбалы")</f>
        <v>цимбалы</v>
      </c>
      <c r="I497" s="8" t="str">
        <f>IFERROR(__xludf.DUMMYFUNCTION("GOOGLETRANSLATE(C497, ""en"", ""ar"")"),"الدلسيمر")</f>
        <v>الدلسيمر</v>
      </c>
      <c r="J497" s="8"/>
      <c r="K497" s="7" t="str">
        <f>IFERROR(__xludf.DUMMYFUNCTION("CONCAT(REGEXREPLACE(C497,""[ ,]+"",""_""),"".mp3"")"),"dulcimer.mp3")</f>
        <v>dulcimer.mp3</v>
      </c>
      <c r="M497" s="4" t="s">
        <v>10</v>
      </c>
    </row>
    <row r="498" ht="15.75" customHeight="1">
      <c r="A498" s="1">
        <v>1866.0</v>
      </c>
      <c r="B498" s="3">
        <v>144.0</v>
      </c>
      <c r="C498" s="7" t="s">
        <v>547</v>
      </c>
      <c r="D498" s="8" t="str">
        <f>IFERROR(__xludf.DUMMYFUNCTION("GOOGLETRANSLATE(C498, ""en"", ""pt"")"),"dulcimer martelado")</f>
        <v>dulcimer martelado</v>
      </c>
      <c r="E498" s="8" t="str">
        <f>IFERROR(__xludf.DUMMYFUNCTION("GOOGLETRANSLATE(C498, ""en"", ""es"")"),"dulcimer martillado")</f>
        <v>dulcimer martillado</v>
      </c>
      <c r="F498" s="8" t="str">
        <f>IFERROR(__xludf.DUMMYFUNCTION("GOOGLETRANSLATE(C498, ""en"", ""fr"")"),"dulcimer à marteaux")</f>
        <v>dulcimer à marteaux</v>
      </c>
      <c r="G498" s="8" t="str">
        <f>IFERROR(__xludf.DUMMYFUNCTION("GOOGLETRANSLATE(C498, ""en"", ""de"")"),"Hackbrett")</f>
        <v>Hackbrett</v>
      </c>
      <c r="H498" s="8" t="str">
        <f>IFERROR(__xludf.DUMMYFUNCTION("GOOGLETRANSLATE(C498, ""en"", ""ru"")"),"цимбалы")</f>
        <v>цимбалы</v>
      </c>
      <c r="I498" s="8" t="str">
        <f>IFERROR(__xludf.DUMMYFUNCTION("GOOGLETRANSLATE(C498, ""en"", ""ar"")"),"السنطور")</f>
        <v>السنطور</v>
      </c>
      <c r="J498" s="8"/>
      <c r="K498" s="7" t="str">
        <f>IFERROR(__xludf.DUMMYFUNCTION("CONCAT(REGEXREPLACE(C498,""[ ,]+"",""_""),"".mp3"")"),"hammered_dulcimer.mp3")</f>
        <v>hammered_dulcimer.mp3</v>
      </c>
      <c r="M498" s="4" t="s">
        <v>10</v>
      </c>
    </row>
    <row r="499" ht="15.75" customHeight="1">
      <c r="A499" s="1">
        <v>1867.0</v>
      </c>
      <c r="B499" s="3">
        <v>144.0</v>
      </c>
      <c r="C499" s="7" t="s">
        <v>548</v>
      </c>
      <c r="D499" s="8" t="str">
        <f>IFERROR(__xludf.DUMMYFUNCTION("GOOGLETRANSLATE(C499, ""en"", ""pt"")"),"flauta")</f>
        <v>flauta</v>
      </c>
      <c r="E499" s="8" t="str">
        <f>IFERROR(__xludf.DUMMYFUNCTION("GOOGLETRANSLATE(C499, ""en"", ""es"")"),"flauta")</f>
        <v>flauta</v>
      </c>
      <c r="F499" s="8" t="str">
        <f>IFERROR(__xludf.DUMMYFUNCTION("GOOGLETRANSLATE(C499, ""en"", ""fr"")"),"flûte")</f>
        <v>flûte</v>
      </c>
      <c r="G499" s="8" t="str">
        <f>IFERROR(__xludf.DUMMYFUNCTION("GOOGLETRANSLATE(C499, ""en"", ""de"")"),"Flöte")</f>
        <v>Flöte</v>
      </c>
      <c r="H499" s="8" t="str">
        <f>IFERROR(__xludf.DUMMYFUNCTION("GOOGLETRANSLATE(C499, ""en"", ""ru"")"),"флейта")</f>
        <v>флейта</v>
      </c>
      <c r="I499" s="8" t="str">
        <f>IFERROR(__xludf.DUMMYFUNCTION("GOOGLETRANSLATE(C499, ""en"", ""ar"")"),"الناي")</f>
        <v>الناي</v>
      </c>
      <c r="J499" s="8"/>
      <c r="K499" s="7" t="str">
        <f>IFERROR(__xludf.DUMMYFUNCTION("CONCAT(REGEXREPLACE(C499,""[ ,]+"",""_""),"".mp3"")"),"flute.mp3")</f>
        <v>flute.mp3</v>
      </c>
      <c r="M499" s="4" t="s">
        <v>10</v>
      </c>
    </row>
    <row r="500" ht="15.75" customHeight="1">
      <c r="A500" s="1">
        <v>1868.0</v>
      </c>
      <c r="B500" s="3">
        <v>144.0</v>
      </c>
      <c r="C500" s="7" t="s">
        <v>549</v>
      </c>
      <c r="D500" s="8" t="str">
        <f>IFERROR(__xludf.DUMMYFUNCTION("GOOGLETRANSLATE(C500, ""en"", ""pt"")"),"flautim")</f>
        <v>flautim</v>
      </c>
      <c r="E500" s="8" t="str">
        <f>IFERROR(__xludf.DUMMYFUNCTION("GOOGLETRANSLATE(C500, ""en"", ""es"")"),"piccolo")</f>
        <v>piccolo</v>
      </c>
      <c r="F500" s="8" t="str">
        <f>IFERROR(__xludf.DUMMYFUNCTION("GOOGLETRANSLATE(C500, ""en"", ""fr"")"),"piccolo")</f>
        <v>piccolo</v>
      </c>
      <c r="G500" s="8" t="str">
        <f>IFERROR(__xludf.DUMMYFUNCTION("GOOGLETRANSLATE(C500, ""en"", ""de"")"),"Piccolo")</f>
        <v>Piccolo</v>
      </c>
      <c r="H500" s="8" t="str">
        <f>IFERROR(__xludf.DUMMYFUNCTION("GOOGLETRANSLATE(C500, ""en"", ""ru"")"),"пикколо")</f>
        <v>пикколо</v>
      </c>
      <c r="I500" s="8" t="str">
        <f>IFERROR(__xludf.DUMMYFUNCTION("GOOGLETRANSLATE(C500, ""en"", ""ar"")"),"بيكولو")</f>
        <v>بيكولو</v>
      </c>
      <c r="J500" s="8"/>
      <c r="K500" s="7" t="str">
        <f>IFERROR(__xludf.DUMMYFUNCTION("CONCAT(REGEXREPLACE(C500,""[ ,]+"",""_""),"".mp3"")"),"piccolo.mp3")</f>
        <v>piccolo.mp3</v>
      </c>
      <c r="M500" s="4" t="s">
        <v>10</v>
      </c>
    </row>
    <row r="501" ht="15.75" customHeight="1">
      <c r="A501" s="1">
        <v>1869.0</v>
      </c>
      <c r="B501" s="3">
        <v>144.0</v>
      </c>
      <c r="C501" s="7" t="s">
        <v>550</v>
      </c>
      <c r="D501" s="8" t="str">
        <f>IFERROR(__xludf.DUMMYFUNCTION("GOOGLETRANSLATE(C501, ""en"", ""pt"")"),"gravador")</f>
        <v>gravador</v>
      </c>
      <c r="E501" s="8" t="str">
        <f>IFERROR(__xludf.DUMMYFUNCTION("GOOGLETRANSLATE(C501, ""en"", ""es"")"),"grabadora")</f>
        <v>grabadora</v>
      </c>
      <c r="F501" s="8" t="str">
        <f>IFERROR(__xludf.DUMMYFUNCTION("GOOGLETRANSLATE(C501, ""en"", ""fr"")"),"enregistreur")</f>
        <v>enregistreur</v>
      </c>
      <c r="G501" s="8" t="str">
        <f>IFERROR(__xludf.DUMMYFUNCTION("GOOGLETRANSLATE(C501, ""en"", ""de"")"),"Recorder")</f>
        <v>Recorder</v>
      </c>
      <c r="H501" s="8" t="str">
        <f>IFERROR(__xludf.DUMMYFUNCTION("GOOGLETRANSLATE(C501, ""en"", ""ru"")"),"диктофон")</f>
        <v>диктофон</v>
      </c>
      <c r="I501" s="8" t="str">
        <f>IFERROR(__xludf.DUMMYFUNCTION("GOOGLETRANSLATE(C501, ""en"", ""ar"")"),"مسجل")</f>
        <v>مسجل</v>
      </c>
      <c r="J501" s="8"/>
      <c r="K501" s="7" t="str">
        <f>IFERROR(__xludf.DUMMYFUNCTION("CONCAT(REGEXREPLACE(C501,""[ ,]+"",""_""),"".mp3"")"),"recorder.mp3")</f>
        <v>recorder.mp3</v>
      </c>
      <c r="M501" s="4" t="s">
        <v>10</v>
      </c>
    </row>
    <row r="502" ht="15.75" customHeight="1">
      <c r="A502" s="1">
        <v>1870.0</v>
      </c>
      <c r="B502" s="3">
        <v>144.0</v>
      </c>
      <c r="C502" s="7" t="s">
        <v>551</v>
      </c>
      <c r="D502" s="8" t="str">
        <f>IFERROR(__xludf.DUMMYFUNCTION("GOOGLETRANSLATE(C502, ""en"", ""pt"")"),"clarinete")</f>
        <v>clarinete</v>
      </c>
      <c r="E502" s="8" t="str">
        <f>IFERROR(__xludf.DUMMYFUNCTION("GOOGLETRANSLATE(C502, ""en"", ""es"")"),"clarinete")</f>
        <v>clarinete</v>
      </c>
      <c r="F502" s="8" t="str">
        <f>IFERROR(__xludf.DUMMYFUNCTION("GOOGLETRANSLATE(C502, ""en"", ""fr"")"),"clarinette")</f>
        <v>clarinette</v>
      </c>
      <c r="G502" s="8" t="str">
        <f>IFERROR(__xludf.DUMMYFUNCTION("GOOGLETRANSLATE(C502, ""en"", ""de"")"),"Klarinette")</f>
        <v>Klarinette</v>
      </c>
      <c r="H502" s="8" t="str">
        <f>IFERROR(__xludf.DUMMYFUNCTION("GOOGLETRANSLATE(C502, ""en"", ""ru"")"),"кларнет")</f>
        <v>кларнет</v>
      </c>
      <c r="I502" s="8" t="str">
        <f>IFERROR(__xludf.DUMMYFUNCTION("GOOGLETRANSLATE(C502, ""en"", ""ar"")"),"الكلارينيت")</f>
        <v>الكلارينيت</v>
      </c>
      <c r="J502" s="8"/>
      <c r="K502" s="7" t="str">
        <f>IFERROR(__xludf.DUMMYFUNCTION("CONCAT(REGEXREPLACE(C502,""[ ,]+"",""_""),"".mp3"")"),"clarinet.mp3")</f>
        <v>clarinet.mp3</v>
      </c>
      <c r="M502" s="4" t="s">
        <v>10</v>
      </c>
    </row>
    <row r="503" ht="15.75" customHeight="1">
      <c r="A503" s="1">
        <v>1871.0</v>
      </c>
      <c r="B503" s="3">
        <v>144.0</v>
      </c>
      <c r="C503" s="7" t="s">
        <v>552</v>
      </c>
      <c r="D503" s="8" t="str">
        <f>IFERROR(__xludf.DUMMYFUNCTION("GOOGLETRANSLATE(C503, ""en"", ""pt"")"),"clarinete baixo")</f>
        <v>clarinete baixo</v>
      </c>
      <c r="E503" s="8" t="str">
        <f>IFERROR(__xludf.DUMMYFUNCTION("GOOGLETRANSLATE(C503, ""en"", ""es"")"),"clarinete bajo")</f>
        <v>clarinete bajo</v>
      </c>
      <c r="F503" s="8" t="str">
        <f>IFERROR(__xludf.DUMMYFUNCTION("GOOGLETRANSLATE(C503, ""en"", ""fr"")"),"clarinette basse")</f>
        <v>clarinette basse</v>
      </c>
      <c r="G503" s="8" t="str">
        <f>IFERROR(__xludf.DUMMYFUNCTION("GOOGLETRANSLATE(C503, ""en"", ""de"")"),"Bassklarinette")</f>
        <v>Bassklarinette</v>
      </c>
      <c r="H503" s="8" t="str">
        <f>IFERROR(__xludf.DUMMYFUNCTION("GOOGLETRANSLATE(C503, ""en"", ""ru"")"),"бас-кларнет")</f>
        <v>бас-кларнет</v>
      </c>
      <c r="I503" s="8" t="str">
        <f>IFERROR(__xludf.DUMMYFUNCTION("GOOGLETRANSLATE(C503, ""en"", ""ar"")"),"كلارينيت الباص")</f>
        <v>كلارينيت الباص</v>
      </c>
      <c r="J503" s="8"/>
      <c r="K503" s="7" t="str">
        <f>IFERROR(__xludf.DUMMYFUNCTION("CONCAT(REGEXREPLACE(C503,""[ ,]+"",""_""),"".mp3"")"),"bass_clarinet.mp3")</f>
        <v>bass_clarinet.mp3</v>
      </c>
      <c r="M503" s="4" t="s">
        <v>10</v>
      </c>
    </row>
    <row r="504" ht="15.75" customHeight="1">
      <c r="A504" s="1">
        <v>1872.0</v>
      </c>
      <c r="B504" s="3">
        <v>144.0</v>
      </c>
      <c r="C504" s="7" t="s">
        <v>553</v>
      </c>
      <c r="D504" s="8" t="str">
        <f>IFERROR(__xludf.DUMMYFUNCTION("GOOGLETRANSLATE(C504, ""en"", ""pt"")"),"oboé")</f>
        <v>oboé</v>
      </c>
      <c r="E504" s="8" t="str">
        <f>IFERROR(__xludf.DUMMYFUNCTION("GOOGLETRANSLATE(C504, ""en"", ""es"")"),"oboe")</f>
        <v>oboe</v>
      </c>
      <c r="F504" s="8" t="str">
        <f>IFERROR(__xludf.DUMMYFUNCTION("GOOGLETRANSLATE(C504, ""en"", ""fr"")"),"hautbois")</f>
        <v>hautbois</v>
      </c>
      <c r="G504" s="8" t="str">
        <f>IFERROR(__xludf.DUMMYFUNCTION("GOOGLETRANSLATE(C504, ""en"", ""de"")"),"Oboe")</f>
        <v>Oboe</v>
      </c>
      <c r="H504" s="8" t="str">
        <f>IFERROR(__xludf.DUMMYFUNCTION("GOOGLETRANSLATE(C504, ""en"", ""ru"")"),"гобой")</f>
        <v>гобой</v>
      </c>
      <c r="I504" s="8" t="str">
        <f>IFERROR(__xludf.DUMMYFUNCTION("GOOGLETRANSLATE(C504, ""en"", ""ar"")"),"أوبوا")</f>
        <v>أوبوا</v>
      </c>
      <c r="J504" s="8"/>
      <c r="K504" s="7" t="str">
        <f>IFERROR(__xludf.DUMMYFUNCTION("CONCAT(REGEXREPLACE(C504,""[ ,]+"",""_""),"".mp3"")"),"oboe.mp3")</f>
        <v>oboe.mp3</v>
      </c>
      <c r="M504" s="4" t="s">
        <v>10</v>
      </c>
    </row>
    <row r="505" ht="15.75" customHeight="1">
      <c r="A505" s="1">
        <v>1873.0</v>
      </c>
      <c r="B505" s="3">
        <v>144.0</v>
      </c>
      <c r="C505" s="7" t="s">
        <v>554</v>
      </c>
      <c r="D505" s="8" t="str">
        <f>IFERROR(__xludf.DUMMYFUNCTION("GOOGLETRANSLATE(C505, ""en"", ""pt"")"),"Corno inglês")</f>
        <v>Corno inglês</v>
      </c>
      <c r="E505" s="8" t="str">
        <f>IFERROR(__xludf.DUMMYFUNCTION("GOOGLETRANSLATE(C505, ""en"", ""es"")"),"corno inglés")</f>
        <v>corno inglés</v>
      </c>
      <c r="F505" s="8" t="str">
        <f>IFERROR(__xludf.DUMMYFUNCTION("GOOGLETRANSLATE(C505, ""en"", ""fr"")"),"cor anglais")</f>
        <v>cor anglais</v>
      </c>
      <c r="G505" s="8" t="str">
        <f>IFERROR(__xludf.DUMMYFUNCTION("GOOGLETRANSLATE(C505, ""en"", ""de"")"),"Englischhorn")</f>
        <v>Englischhorn</v>
      </c>
      <c r="H505" s="8" t="str">
        <f>IFERROR(__xludf.DUMMYFUNCTION("GOOGLETRANSLATE(C505, ""en"", ""ru"")"),"английский рожок")</f>
        <v>английский рожок</v>
      </c>
      <c r="I505" s="8" t="str">
        <f>IFERROR(__xludf.DUMMYFUNCTION("GOOGLETRANSLATE(C505, ""en"", ""ar"")"),"البوق الإنجليزي")</f>
        <v>البوق الإنجليزي</v>
      </c>
      <c r="J505" s="8"/>
      <c r="K505" s="7" t="str">
        <f>IFERROR(__xludf.DUMMYFUNCTION("CONCAT(REGEXREPLACE(C505,""[ ,]+"",""_""),"".mp3"")"),"English_horn.mp3")</f>
        <v>English_horn.mp3</v>
      </c>
      <c r="M505" s="4" t="s">
        <v>10</v>
      </c>
    </row>
    <row r="506" ht="15.75" customHeight="1">
      <c r="A506" s="1">
        <v>1874.0</v>
      </c>
      <c r="B506" s="3">
        <v>144.0</v>
      </c>
      <c r="C506" s="7" t="s">
        <v>555</v>
      </c>
      <c r="D506" s="8" t="str">
        <f>IFERROR(__xludf.DUMMYFUNCTION("GOOGLETRANSLATE(C506, ""en"", ""pt"")"),"fagote")</f>
        <v>fagote</v>
      </c>
      <c r="E506" s="8" t="str">
        <f>IFERROR(__xludf.DUMMYFUNCTION("GOOGLETRANSLATE(C506, ""en"", ""es"")"),"fagot")</f>
        <v>fagot</v>
      </c>
      <c r="F506" s="8" t="str">
        <f>IFERROR(__xludf.DUMMYFUNCTION("GOOGLETRANSLATE(C506, ""en"", ""fr"")"),"basson")</f>
        <v>basson</v>
      </c>
      <c r="G506" s="8" t="str">
        <f>IFERROR(__xludf.DUMMYFUNCTION("GOOGLETRANSLATE(C506, ""en"", ""de"")"),"Fagott")</f>
        <v>Fagott</v>
      </c>
      <c r="H506" s="8" t="str">
        <f>IFERROR(__xludf.DUMMYFUNCTION("GOOGLETRANSLATE(C506, ""en"", ""ru"")"),"фагот")</f>
        <v>фагот</v>
      </c>
      <c r="I506" s="8" t="str">
        <f>IFERROR(__xludf.DUMMYFUNCTION("GOOGLETRANSLATE(C506, ""en"", ""ar"")"),"الباسون")</f>
        <v>الباسون</v>
      </c>
      <c r="J506" s="8"/>
      <c r="K506" s="7" t="str">
        <f>IFERROR(__xludf.DUMMYFUNCTION("CONCAT(REGEXREPLACE(C506,""[ ,]+"",""_""),"".mp3"")"),"bassoon.mp3")</f>
        <v>bassoon.mp3</v>
      </c>
      <c r="M506" s="4" t="s">
        <v>10</v>
      </c>
    </row>
    <row r="507" ht="15.75" customHeight="1">
      <c r="A507" s="1">
        <v>1875.0</v>
      </c>
      <c r="B507" s="3">
        <v>144.0</v>
      </c>
      <c r="C507" s="7" t="s">
        <v>556</v>
      </c>
      <c r="D507" s="8" t="str">
        <f>IFERROR(__xludf.DUMMYFUNCTION("GOOGLETRANSLATE(C507, ""en"", ""pt"")"),"contrafagote")</f>
        <v>contrafagote</v>
      </c>
      <c r="E507" s="8" t="str">
        <f>IFERROR(__xludf.DUMMYFUNCTION("GOOGLETRANSLATE(C507, ""en"", ""es"")"),"contrafagot")</f>
        <v>contrafagot</v>
      </c>
      <c r="F507" s="8" t="str">
        <f>IFERROR(__xludf.DUMMYFUNCTION("GOOGLETRANSLATE(C507, ""en"", ""fr"")"),"contrebasson")</f>
        <v>contrebasson</v>
      </c>
      <c r="G507" s="8" t="str">
        <f>IFERROR(__xludf.DUMMYFUNCTION("GOOGLETRANSLATE(C507, ""en"", ""de"")"),"Kontrafagott")</f>
        <v>Kontrafagott</v>
      </c>
      <c r="H507" s="8" t="str">
        <f>IFERROR(__xludf.DUMMYFUNCTION("GOOGLETRANSLATE(C507, ""en"", ""ru"")"),"контрафагот")</f>
        <v>контрафагот</v>
      </c>
      <c r="I507" s="8" t="str">
        <f>IFERROR(__xludf.DUMMYFUNCTION("GOOGLETRANSLATE(C507, ""en"", ""ar"")"),"كونتراباسون")</f>
        <v>كونتراباسون</v>
      </c>
      <c r="J507" s="8"/>
      <c r="K507" s="7" t="str">
        <f>IFERROR(__xludf.DUMMYFUNCTION("CONCAT(REGEXREPLACE(C507,""[ ,]+"",""_""),"".mp3"")"),"contrabassoon.mp3")</f>
        <v>contrabassoon.mp3</v>
      </c>
      <c r="M507" s="4" t="s">
        <v>10</v>
      </c>
    </row>
    <row r="508" ht="15.75" customHeight="1">
      <c r="A508" s="1">
        <v>1876.0</v>
      </c>
      <c r="B508" s="3">
        <v>144.0</v>
      </c>
      <c r="C508" s="3" t="s">
        <v>557</v>
      </c>
      <c r="D508" s="8" t="str">
        <f>IFERROR(__xludf.DUMMYFUNCTION("GOOGLETRANSLATE(C508, ""en"", ""pt"")"),"saxofone, soprano, contralto, tenor, barítono")</f>
        <v>saxofone, soprano, contralto, tenor, barítono</v>
      </c>
      <c r="E508" s="8" t="str">
        <f>IFERROR(__xludf.DUMMYFUNCTION("GOOGLETRANSLATE(C508, ""en"", ""es"")"),"saxofón, soprano, alto, tenor, barítono")</f>
        <v>saxofón, soprano, alto, tenor, barítono</v>
      </c>
      <c r="F508" s="8" t="str">
        <f>IFERROR(__xludf.DUMMYFUNCTION("GOOGLETRANSLATE(C508, ""en"", ""fr"")"),"saxophone, soprano, alto, ténor, baryton")</f>
        <v>saxophone, soprano, alto, ténor, baryton</v>
      </c>
      <c r="G508" s="8" t="str">
        <f>IFERROR(__xludf.DUMMYFUNCTION("GOOGLETRANSLATE(C508, ""en"", ""de"")"),"Saxophon, Sopran, Alt, Tenor, Bariton")</f>
        <v>Saxophon, Sopran, Alt, Tenor, Bariton</v>
      </c>
      <c r="H508" s="8" t="str">
        <f>IFERROR(__xludf.DUMMYFUNCTION("GOOGLETRANSLATE(C508, ""en"", ""ru"")"),"саксофон, сопрано, альт, тенор, баритон")</f>
        <v>саксофон, сопрано, альт, тенор, баритон</v>
      </c>
      <c r="I508" s="8" t="str">
        <f>IFERROR(__xludf.DUMMYFUNCTION("GOOGLETRANSLATE(C508, ""en"", ""ar"")"),"ساكسفون، سوبرانو، ألتو، تينور، باريتون")</f>
        <v>ساكسفون، سوبرانو، ألتو، تينور، باريتون</v>
      </c>
      <c r="J508" s="8"/>
      <c r="K508" s="7" t="str">
        <f>IFERROR(__xludf.DUMMYFUNCTION("CONCAT(REGEXREPLACE(C508,""[ ,]+"",""_""),"".mp3"")"),"saxophone_soprano_alto_tenor_baritone.mp3")</f>
        <v>saxophone_soprano_alto_tenor_baritone.mp3</v>
      </c>
      <c r="M508" s="4" t="s">
        <v>10</v>
      </c>
    </row>
    <row r="509" ht="15.75" customHeight="1">
      <c r="A509" s="1">
        <v>1877.0</v>
      </c>
      <c r="B509" s="3">
        <v>144.0</v>
      </c>
      <c r="C509" s="7" t="s">
        <v>558</v>
      </c>
      <c r="D509" s="8" t="str">
        <f>IFERROR(__xludf.DUMMYFUNCTION("GOOGLETRANSLATE(C509, ""en"", ""pt"")"),"flauta de pã")</f>
        <v>flauta de pã</v>
      </c>
      <c r="E509" s="8" t="str">
        <f>IFERROR(__xludf.DUMMYFUNCTION("GOOGLETRANSLATE(C509, ""en"", ""es"")"),"flauta de pan")</f>
        <v>flauta de pan</v>
      </c>
      <c r="F509" s="8" t="str">
        <f>IFERROR(__xludf.DUMMYFUNCTION("GOOGLETRANSLATE(C509, ""en"", ""fr"")"),"flûte de pan")</f>
        <v>flûte de pan</v>
      </c>
      <c r="G509" s="8" t="str">
        <f>IFERROR(__xludf.DUMMYFUNCTION("GOOGLETRANSLATE(C509, ""en"", ""de"")"),"Panflöte")</f>
        <v>Panflöte</v>
      </c>
      <c r="H509" s="8" t="str">
        <f>IFERROR(__xludf.DUMMYFUNCTION("GOOGLETRANSLATE(C509, ""en"", ""ru"")"),"флейта Пана")</f>
        <v>флейта Пана</v>
      </c>
      <c r="I509" s="8" t="str">
        <f>IFERROR(__xludf.DUMMYFUNCTION("GOOGLETRANSLATE(C509, ""en"", ""ar"")"),"مزمار الراعي")</f>
        <v>مزمار الراعي</v>
      </c>
      <c r="J509" s="8"/>
      <c r="K509" s="7" t="str">
        <f>IFERROR(__xludf.DUMMYFUNCTION("CONCAT(REGEXREPLACE(C509,""[ ,]+"",""_""),"".mp3"")"),"pan_flute.mp3")</f>
        <v>pan_flute.mp3</v>
      </c>
      <c r="M509" s="4" t="s">
        <v>10</v>
      </c>
    </row>
    <row r="510" ht="15.75" customHeight="1">
      <c r="A510" s="1">
        <v>1878.0</v>
      </c>
      <c r="B510" s="3">
        <v>144.0</v>
      </c>
      <c r="C510" s="7" t="s">
        <v>559</v>
      </c>
      <c r="D510" s="8" t="str">
        <f>IFERROR(__xludf.DUMMYFUNCTION("GOOGLETRANSLATE(C510, ""en"", ""pt"")"),"shakuhachi")</f>
        <v>shakuhachi</v>
      </c>
      <c r="E510" s="8" t="str">
        <f>IFERROR(__xludf.DUMMYFUNCTION("GOOGLETRANSLATE(C510, ""en"", ""es"")"),"shakuhachi")</f>
        <v>shakuhachi</v>
      </c>
      <c r="F510" s="8" t="str">
        <f>IFERROR(__xludf.DUMMYFUNCTION("GOOGLETRANSLATE(C510, ""en"", ""fr"")"),"shakuhachi")</f>
        <v>shakuhachi</v>
      </c>
      <c r="G510" s="8" t="str">
        <f>IFERROR(__xludf.DUMMYFUNCTION("GOOGLETRANSLATE(C510, ""en"", ""de"")"),"Shakuhachi")</f>
        <v>Shakuhachi</v>
      </c>
      <c r="H510" s="8" t="str">
        <f>IFERROR(__xludf.DUMMYFUNCTION("GOOGLETRANSLATE(C510, ""en"", ""ru"")"),"сякухати")</f>
        <v>сякухати</v>
      </c>
      <c r="I510" s="8" t="str">
        <f>IFERROR(__xludf.DUMMYFUNCTION("GOOGLETRANSLATE(C510, ""en"", ""ar"")"),"شاكوهاتشي")</f>
        <v>شاكوهاتشي</v>
      </c>
      <c r="J510" s="8"/>
      <c r="K510" s="7" t="str">
        <f>IFERROR(__xludf.DUMMYFUNCTION("CONCAT(REGEXREPLACE(C510,""[ ,]+"",""_""),"".mp3"")"),"shakuhachi.mp3")</f>
        <v>shakuhachi.mp3</v>
      </c>
      <c r="M510" s="4" t="s">
        <v>10</v>
      </c>
    </row>
    <row r="511" ht="15.75" customHeight="1">
      <c r="A511" s="1">
        <v>1879.0</v>
      </c>
      <c r="B511" s="3">
        <v>144.0</v>
      </c>
      <c r="C511" s="7" t="s">
        <v>560</v>
      </c>
      <c r="D511" s="8" t="str">
        <f>IFERROR(__xludf.DUMMYFUNCTION("GOOGLETRANSLATE(C511, ""en"", ""pt"")"),"Ney")</f>
        <v>Ney</v>
      </c>
      <c r="E511" s="8" t="str">
        <f>IFERROR(__xludf.DUMMYFUNCTION("GOOGLETRANSLATE(C511, ""en"", ""es"")"),"ney")</f>
        <v>ney</v>
      </c>
      <c r="F511" s="8" t="str">
        <f>IFERROR(__xludf.DUMMYFUNCTION("GOOGLETRANSLATE(C511, ""en"", ""fr"")"),"argent")</f>
        <v>argent</v>
      </c>
      <c r="G511" s="8" t="str">
        <f>IFERROR(__xludf.DUMMYFUNCTION("GOOGLETRANSLATE(C511, ""en"", ""de"")"),"ney")</f>
        <v>ney</v>
      </c>
      <c r="H511" s="8" t="str">
        <f>IFERROR(__xludf.DUMMYFUNCTION("GOOGLETRANSLATE(C511, ""en"", ""ru"")"),"ней")</f>
        <v>ней</v>
      </c>
      <c r="I511" s="8" t="str">
        <f>IFERROR(__xludf.DUMMYFUNCTION("GOOGLETRANSLATE(C511, ""en"", ""ar"")"),"ني")</f>
        <v>ني</v>
      </c>
      <c r="J511" s="8"/>
      <c r="K511" s="7" t="str">
        <f>IFERROR(__xludf.DUMMYFUNCTION("CONCAT(REGEXREPLACE(C511,""[ ,]+"",""_""),"".mp3"")"),"ney.mp3")</f>
        <v>ney.mp3</v>
      </c>
      <c r="M511" s="4" t="s">
        <v>10</v>
      </c>
    </row>
    <row r="512" ht="15.75" customHeight="1">
      <c r="A512" s="1">
        <v>1880.0</v>
      </c>
      <c r="B512" s="3">
        <v>144.0</v>
      </c>
      <c r="C512" s="7" t="s">
        <v>561</v>
      </c>
      <c r="D512" s="8" t="str">
        <f>IFERROR(__xludf.DUMMYFUNCTION("GOOGLETRANSLATE(C512, ""en"", ""pt"")"),"bansuri")</f>
        <v>bansuri</v>
      </c>
      <c r="E512" s="8" t="str">
        <f>IFERROR(__xludf.DUMMYFUNCTION("GOOGLETRANSLATE(C512, ""en"", ""es"")"),"bansuri")</f>
        <v>bansuri</v>
      </c>
      <c r="F512" s="8" t="str">
        <f>IFERROR(__xludf.DUMMYFUNCTION("GOOGLETRANSLATE(C512, ""en"", ""fr"")"),"bansuri")</f>
        <v>bansuri</v>
      </c>
      <c r="G512" s="8" t="str">
        <f>IFERROR(__xludf.DUMMYFUNCTION("GOOGLETRANSLATE(C512, ""en"", ""de"")"),"Bansuri")</f>
        <v>Bansuri</v>
      </c>
      <c r="H512" s="8" t="str">
        <f>IFERROR(__xludf.DUMMYFUNCTION("GOOGLETRANSLATE(C512, ""en"", ""ru"")"),"бансури")</f>
        <v>бансури</v>
      </c>
      <c r="I512" s="8" t="str">
        <f>IFERROR(__xludf.DUMMYFUNCTION("GOOGLETRANSLATE(C512, ""en"", ""ar"")"),"بانسوري")</f>
        <v>بانسوري</v>
      </c>
      <c r="J512" s="8"/>
      <c r="K512" s="7" t="str">
        <f>IFERROR(__xludf.DUMMYFUNCTION("CONCAT(REGEXREPLACE(C512,""[ ,]+"",""_""),"".mp3"")"),"bansuri.mp3")</f>
        <v>bansuri.mp3</v>
      </c>
      <c r="M512" s="4" t="s">
        <v>10</v>
      </c>
    </row>
    <row r="513" ht="15.75" customHeight="1">
      <c r="A513" s="1">
        <v>1881.0</v>
      </c>
      <c r="B513" s="3">
        <v>144.0</v>
      </c>
      <c r="C513" s="7" t="s">
        <v>562</v>
      </c>
      <c r="D513" s="8" t="str">
        <f>IFERROR(__xludf.DUMMYFUNCTION("GOOGLETRANSLATE(C513, ""en"", ""pt"")"),"ocarina")</f>
        <v>ocarina</v>
      </c>
      <c r="E513" s="8" t="str">
        <f>IFERROR(__xludf.DUMMYFUNCTION("GOOGLETRANSLATE(C513, ""en"", ""es"")"),"ocarina")</f>
        <v>ocarina</v>
      </c>
      <c r="F513" s="8" t="str">
        <f>IFERROR(__xludf.DUMMYFUNCTION("GOOGLETRANSLATE(C513, ""en"", ""fr"")"),"ocarina")</f>
        <v>ocarina</v>
      </c>
      <c r="G513" s="8" t="str">
        <f>IFERROR(__xludf.DUMMYFUNCTION("GOOGLETRANSLATE(C513, ""en"", ""de"")"),"Okarina")</f>
        <v>Okarina</v>
      </c>
      <c r="H513" s="8" t="str">
        <f>IFERROR(__xludf.DUMMYFUNCTION("GOOGLETRANSLATE(C513, ""en"", ""ru"")"),"окарина")</f>
        <v>окарина</v>
      </c>
      <c r="I513" s="8" t="str">
        <f>IFERROR(__xludf.DUMMYFUNCTION("GOOGLETRANSLATE(C513, ""en"", ""ar"")"),"الأوكارينا")</f>
        <v>الأوكارينا</v>
      </c>
      <c r="J513" s="8"/>
      <c r="K513" s="7" t="str">
        <f>IFERROR(__xludf.DUMMYFUNCTION("CONCAT(REGEXREPLACE(C513,""[ ,]+"",""_""),"".mp3"")"),"ocarina.mp3")</f>
        <v>ocarina.mp3</v>
      </c>
      <c r="M513" s="4" t="s">
        <v>10</v>
      </c>
    </row>
    <row r="514" ht="15.75" customHeight="1">
      <c r="A514" s="1">
        <v>1882.0</v>
      </c>
      <c r="B514" s="3">
        <v>144.0</v>
      </c>
      <c r="C514" s="7" t="s">
        <v>563</v>
      </c>
      <c r="D514" s="8" t="str">
        <f>IFERROR(__xludf.DUMMYFUNCTION("GOOGLETRANSLATE(C514, ""en"", ""pt"")"),"trombeta")</f>
        <v>trombeta</v>
      </c>
      <c r="E514" s="8" t="str">
        <f>IFERROR(__xludf.DUMMYFUNCTION("GOOGLETRANSLATE(C514, ""en"", ""es"")"),"trompeta")</f>
        <v>trompeta</v>
      </c>
      <c r="F514" s="8" t="str">
        <f>IFERROR(__xludf.DUMMYFUNCTION("GOOGLETRANSLATE(C514, ""en"", ""fr"")"),"trompette")</f>
        <v>trompette</v>
      </c>
      <c r="G514" s="8" t="str">
        <f>IFERROR(__xludf.DUMMYFUNCTION("GOOGLETRANSLATE(C514, ""en"", ""de"")"),"Trompete")</f>
        <v>Trompete</v>
      </c>
      <c r="H514" s="8" t="str">
        <f>IFERROR(__xludf.DUMMYFUNCTION("GOOGLETRANSLATE(C514, ""en"", ""ru"")"),"труба")</f>
        <v>труба</v>
      </c>
      <c r="I514" s="8" t="str">
        <f>IFERROR(__xludf.DUMMYFUNCTION("GOOGLETRANSLATE(C514, ""en"", ""ar"")"),"بوق")</f>
        <v>بوق</v>
      </c>
      <c r="J514" s="8"/>
      <c r="K514" s="7" t="str">
        <f>IFERROR(__xludf.DUMMYFUNCTION("CONCAT(REGEXREPLACE(C514,""[ ,]+"",""_""),"".mp3"")"),"trumpet.mp3")</f>
        <v>trumpet.mp3</v>
      </c>
      <c r="M514" s="4" t="s">
        <v>10</v>
      </c>
    </row>
    <row r="515" ht="15.75" customHeight="1">
      <c r="A515" s="1">
        <v>1883.0</v>
      </c>
      <c r="B515" s="3">
        <v>144.0</v>
      </c>
      <c r="C515" s="7" t="s">
        <v>564</v>
      </c>
      <c r="D515" s="8" t="str">
        <f>IFERROR(__xludf.DUMMYFUNCTION("GOOGLETRANSLATE(C515, ""en"", ""pt"")"),"corneta")</f>
        <v>corneta</v>
      </c>
      <c r="E515" s="8" t="str">
        <f>IFERROR(__xludf.DUMMYFUNCTION("GOOGLETRANSLATE(C515, ""en"", ""es"")"),"cucurucho")</f>
        <v>cucurucho</v>
      </c>
      <c r="F515" s="8" t="str">
        <f>IFERROR(__xludf.DUMMYFUNCTION("GOOGLETRANSLATE(C515, ""en"", ""fr"")"),"cornet")</f>
        <v>cornet</v>
      </c>
      <c r="G515" s="8" t="str">
        <f>IFERROR(__xludf.DUMMYFUNCTION("GOOGLETRANSLATE(C515, ""en"", ""de"")"),"Kornett")</f>
        <v>Kornett</v>
      </c>
      <c r="H515" s="8" t="str">
        <f>IFERROR(__xludf.DUMMYFUNCTION("GOOGLETRANSLATE(C515, ""en"", ""ru"")"),"корнет")</f>
        <v>корнет</v>
      </c>
      <c r="I515" s="8" t="str">
        <f>IFERROR(__xludf.DUMMYFUNCTION("GOOGLETRANSLATE(C515, ""en"", ""ar"")"),"كورنيت")</f>
        <v>كورنيت</v>
      </c>
      <c r="J515" s="8"/>
      <c r="K515" s="7" t="str">
        <f>IFERROR(__xludf.DUMMYFUNCTION("CONCAT(REGEXREPLACE(C515,""[ ,]+"",""_""),"".mp3"")"),"cornet.mp3")</f>
        <v>cornet.mp3</v>
      </c>
      <c r="M515" s="4" t="s">
        <v>10</v>
      </c>
    </row>
    <row r="516" ht="15.75" customHeight="1">
      <c r="A516" s="1">
        <v>1884.0</v>
      </c>
      <c r="B516" s="3">
        <v>144.0</v>
      </c>
      <c r="C516" s="7" t="s">
        <v>565</v>
      </c>
      <c r="D516" s="8" t="str">
        <f>IFERROR(__xludf.DUMMYFUNCTION("GOOGLETRANSLATE(C516, ""en"", ""pt"")"),"flugelhorn")</f>
        <v>flugelhorn</v>
      </c>
      <c r="E516" s="8" t="str">
        <f>IFERROR(__xludf.DUMMYFUNCTION("GOOGLETRANSLATE(C516, ""en"", ""es"")"),"fliscorno")</f>
        <v>fliscorno</v>
      </c>
      <c r="F516" s="8" t="str">
        <f>IFERROR(__xludf.DUMMYFUNCTION("GOOGLETRANSLATE(C516, ""en"", ""fr"")"),"bugle")</f>
        <v>bugle</v>
      </c>
      <c r="G516" s="8" t="str">
        <f>IFERROR(__xludf.DUMMYFUNCTION("GOOGLETRANSLATE(C516, ""en"", ""de"")"),"Flügelhorn")</f>
        <v>Flügelhorn</v>
      </c>
      <c r="H516" s="8" t="str">
        <f>IFERROR(__xludf.DUMMYFUNCTION("GOOGLETRANSLATE(C516, ""en"", ""ru"")"),"флюгельгорн")</f>
        <v>флюгельгорн</v>
      </c>
      <c r="I516" s="8" t="str">
        <f>IFERROR(__xludf.DUMMYFUNCTION("GOOGLETRANSLATE(C516, ""en"", ""ar"")"),"فلوجل هورن")</f>
        <v>فلوجل هورن</v>
      </c>
      <c r="J516" s="8"/>
      <c r="K516" s="7" t="str">
        <f>IFERROR(__xludf.DUMMYFUNCTION("CONCAT(REGEXREPLACE(C516,""[ ,]+"",""_""),"".mp3"")"),"flugelhorn.mp3")</f>
        <v>flugelhorn.mp3</v>
      </c>
      <c r="M516" s="4" t="s">
        <v>10</v>
      </c>
    </row>
    <row r="517" ht="15.75" customHeight="1">
      <c r="A517" s="1">
        <v>1885.0</v>
      </c>
      <c r="B517" s="3">
        <v>144.0</v>
      </c>
      <c r="C517" s="7" t="s">
        <v>566</v>
      </c>
      <c r="D517" s="8" t="str">
        <f>IFERROR(__xludf.DUMMYFUNCTION("GOOGLETRANSLATE(C517, ""en"", ""pt"")"),"trombone")</f>
        <v>trombone</v>
      </c>
      <c r="E517" s="8" t="str">
        <f>IFERROR(__xludf.DUMMYFUNCTION("GOOGLETRANSLATE(C517, ""en"", ""es"")"),"trombón")</f>
        <v>trombón</v>
      </c>
      <c r="F517" s="8" t="str">
        <f>IFERROR(__xludf.DUMMYFUNCTION("GOOGLETRANSLATE(C517, ""en"", ""fr"")"),"trombone")</f>
        <v>trombone</v>
      </c>
      <c r="G517" s="8" t="str">
        <f>IFERROR(__xludf.DUMMYFUNCTION("GOOGLETRANSLATE(C517, ""en"", ""de"")"),"Posaune")</f>
        <v>Posaune</v>
      </c>
      <c r="H517" s="8" t="str">
        <f>IFERROR(__xludf.DUMMYFUNCTION("GOOGLETRANSLATE(C517, ""en"", ""ru"")"),"тромбон")</f>
        <v>тромбон</v>
      </c>
      <c r="I517" s="8" t="str">
        <f>IFERROR(__xludf.DUMMYFUNCTION("GOOGLETRANSLATE(C517, ""en"", ""ar"")"),"الترومبون")</f>
        <v>الترومبون</v>
      </c>
      <c r="J517" s="8"/>
      <c r="K517" s="7" t="str">
        <f>IFERROR(__xludf.DUMMYFUNCTION("CONCAT(REGEXREPLACE(C517,""[ ,]+"",""_""),"".mp3"")"),"trombone.mp3")</f>
        <v>trombone.mp3</v>
      </c>
      <c r="M517" s="4" t="s">
        <v>10</v>
      </c>
    </row>
    <row r="518" ht="15.75" customHeight="1">
      <c r="A518" s="1">
        <v>1886.0</v>
      </c>
      <c r="B518" s="3">
        <v>144.0</v>
      </c>
      <c r="C518" s="7" t="s">
        <v>567</v>
      </c>
      <c r="D518" s="8" t="str">
        <f>IFERROR(__xludf.DUMMYFUNCTION("GOOGLETRANSLATE(C518, ""en"", ""pt"")"),"trombone baixo")</f>
        <v>trombone baixo</v>
      </c>
      <c r="E518" s="8" t="str">
        <f>IFERROR(__xludf.DUMMYFUNCTION("GOOGLETRANSLATE(C518, ""en"", ""es"")"),"trombón bajo")</f>
        <v>trombón bajo</v>
      </c>
      <c r="F518" s="8" t="str">
        <f>IFERROR(__xludf.DUMMYFUNCTION("GOOGLETRANSLATE(C518, ""en"", ""fr"")"),"trombone basse")</f>
        <v>trombone basse</v>
      </c>
      <c r="G518" s="8" t="str">
        <f>IFERROR(__xludf.DUMMYFUNCTION("GOOGLETRANSLATE(C518, ""en"", ""de"")"),"Bassposaune")</f>
        <v>Bassposaune</v>
      </c>
      <c r="H518" s="8" t="str">
        <f>IFERROR(__xludf.DUMMYFUNCTION("GOOGLETRANSLATE(C518, ""en"", ""ru"")"),"бас-тромбон")</f>
        <v>бас-тромбон</v>
      </c>
      <c r="I518" s="8" t="str">
        <f>IFERROR(__xludf.DUMMYFUNCTION("GOOGLETRANSLATE(C518, ""en"", ""ar"")"),"ترومبون الباص")</f>
        <v>ترومبون الباص</v>
      </c>
      <c r="J518" s="8"/>
      <c r="K518" s="7" t="str">
        <f>IFERROR(__xludf.DUMMYFUNCTION("CONCAT(REGEXREPLACE(C518,""[ ,]+"",""_""),"".mp3"")"),"bass_trombone.mp3")</f>
        <v>bass_trombone.mp3</v>
      </c>
      <c r="M518" s="4" t="s">
        <v>10</v>
      </c>
    </row>
    <row r="519" ht="15.75" customHeight="1">
      <c r="A519" s="1">
        <v>1887.0</v>
      </c>
      <c r="B519" s="3">
        <v>144.0</v>
      </c>
      <c r="C519" s="7" t="s">
        <v>568</v>
      </c>
      <c r="D519" s="8" t="str">
        <f>IFERROR(__xludf.DUMMYFUNCTION("GOOGLETRANSLATE(C519, ""en"", ""pt"")"),"trompa")</f>
        <v>trompa</v>
      </c>
      <c r="E519" s="8" t="str">
        <f>IFERROR(__xludf.DUMMYFUNCTION("GOOGLETRANSLATE(C519, ""en"", ""es"")"),"trompa francesa")</f>
        <v>trompa francesa</v>
      </c>
      <c r="F519" s="8" t="str">
        <f>IFERROR(__xludf.DUMMYFUNCTION("GOOGLETRANSLATE(C519, ""en"", ""fr"")"),"cor d'harmonie")</f>
        <v>cor d'harmonie</v>
      </c>
      <c r="G519" s="8" t="str">
        <f>IFERROR(__xludf.DUMMYFUNCTION("GOOGLETRANSLATE(C519, ""en"", ""de"")"),"Waldhorn")</f>
        <v>Waldhorn</v>
      </c>
      <c r="H519" s="8" t="str">
        <f>IFERROR(__xludf.DUMMYFUNCTION("GOOGLETRANSLATE(C519, ""en"", ""ru"")"),"валторна")</f>
        <v>валторна</v>
      </c>
      <c r="I519" s="8" t="str">
        <f>IFERROR(__xludf.DUMMYFUNCTION("GOOGLETRANSLATE(C519, ""en"", ""ar"")"),"البوق الفرنسي")</f>
        <v>البوق الفرنسي</v>
      </c>
      <c r="J519" s="8"/>
      <c r="K519" s="7" t="str">
        <f>IFERROR(__xludf.DUMMYFUNCTION("CONCAT(REGEXREPLACE(C519,""[ ,]+"",""_""),"".mp3"")"),"French_horn.mp3")</f>
        <v>French_horn.mp3</v>
      </c>
      <c r="M519" s="4" t="s">
        <v>10</v>
      </c>
    </row>
    <row r="520" ht="15.75" customHeight="1">
      <c r="A520" s="1">
        <v>1888.0</v>
      </c>
      <c r="B520" s="3">
        <v>144.0</v>
      </c>
      <c r="C520" s="7" t="s">
        <v>569</v>
      </c>
      <c r="D520" s="8" t="str">
        <f>IFERROR(__xludf.DUMMYFUNCTION("GOOGLETRANSLATE(C520, ""en"", ""pt"")"),"tuba")</f>
        <v>tuba</v>
      </c>
      <c r="E520" s="8" t="str">
        <f>IFERROR(__xludf.DUMMYFUNCTION("GOOGLETRANSLATE(C520, ""en"", ""es"")"),"tuba")</f>
        <v>tuba</v>
      </c>
      <c r="F520" s="8" t="str">
        <f>IFERROR(__xludf.DUMMYFUNCTION("GOOGLETRANSLATE(C520, ""en"", ""fr"")"),"tuba")</f>
        <v>tuba</v>
      </c>
      <c r="G520" s="8" t="str">
        <f>IFERROR(__xludf.DUMMYFUNCTION("GOOGLETRANSLATE(C520, ""en"", ""de"")"),"Tuba")</f>
        <v>Tuba</v>
      </c>
      <c r="H520" s="8" t="str">
        <f>IFERROR(__xludf.DUMMYFUNCTION("GOOGLETRANSLATE(C520, ""en"", ""ru"")"),"туба")</f>
        <v>туба</v>
      </c>
      <c r="I520" s="8" t="str">
        <f>IFERROR(__xludf.DUMMYFUNCTION("GOOGLETRANSLATE(C520, ""en"", ""ar"")"),"آلة التوبا")</f>
        <v>آلة التوبا</v>
      </c>
      <c r="J520" s="8"/>
      <c r="K520" s="7" t="str">
        <f>IFERROR(__xludf.DUMMYFUNCTION("CONCAT(REGEXREPLACE(C520,""[ ,]+"",""_""),"".mp3"")"),"tuba.mp3")</f>
        <v>tuba.mp3</v>
      </c>
      <c r="M520" s="4" t="s">
        <v>10</v>
      </c>
    </row>
    <row r="521" ht="15.75" customHeight="1">
      <c r="A521" s="1">
        <v>1889.0</v>
      </c>
      <c r="B521" s="3">
        <v>144.0</v>
      </c>
      <c r="C521" s="7" t="s">
        <v>570</v>
      </c>
      <c r="D521" s="8" t="str">
        <f>IFERROR(__xludf.DUMMYFUNCTION("GOOGLETRANSLATE(C521, ""en"", ""pt"")"),"eufônio")</f>
        <v>eufônio</v>
      </c>
      <c r="E521" s="8" t="str">
        <f>IFERROR(__xludf.DUMMYFUNCTION("GOOGLETRANSLATE(C521, ""en"", ""es"")"),"bombardino")</f>
        <v>bombardino</v>
      </c>
      <c r="F521" s="8" t="str">
        <f>IFERROR(__xludf.DUMMYFUNCTION("GOOGLETRANSLATE(C521, ""en"", ""fr"")"),"euphonium")</f>
        <v>euphonium</v>
      </c>
      <c r="G521" s="8" t="str">
        <f>IFERROR(__xludf.DUMMYFUNCTION("GOOGLETRANSLATE(C521, ""en"", ""de"")"),"Euphonium")</f>
        <v>Euphonium</v>
      </c>
      <c r="H521" s="8" t="str">
        <f>IFERROR(__xludf.DUMMYFUNCTION("GOOGLETRANSLATE(C521, ""en"", ""ru"")"),"эуфониум")</f>
        <v>эуфониум</v>
      </c>
      <c r="I521" s="8" t="str">
        <f>IFERROR(__xludf.DUMMYFUNCTION("GOOGLETRANSLATE(C521, ""en"", ""ar"")"),"بوق")</f>
        <v>بوق</v>
      </c>
      <c r="J521" s="8"/>
      <c r="K521" s="7" t="str">
        <f>IFERROR(__xludf.DUMMYFUNCTION("CONCAT(REGEXREPLACE(C521,""[ ,]+"",""_""),"".mp3"")"),"euphonium.mp3")</f>
        <v>euphonium.mp3</v>
      </c>
      <c r="M521" s="4" t="s">
        <v>10</v>
      </c>
    </row>
    <row r="522" ht="15.75" customHeight="1">
      <c r="A522" s="1">
        <v>1890.0</v>
      </c>
      <c r="B522" s="3">
        <v>144.0</v>
      </c>
      <c r="C522" s="7" t="s">
        <v>571</v>
      </c>
      <c r="D522" s="8" t="str">
        <f>IFERROR(__xludf.DUMMYFUNCTION("GOOGLETRANSLATE(C522, ""en"", ""pt"")"),"cornetim")</f>
        <v>cornetim</v>
      </c>
      <c r="E522" s="8" t="str">
        <f>IFERROR(__xludf.DUMMYFUNCTION("GOOGLETRANSLATE(C522, ""en"", ""es"")"),"bugle")</f>
        <v>bugle</v>
      </c>
      <c r="F522" s="8" t="str">
        <f>IFERROR(__xludf.DUMMYFUNCTION("GOOGLETRANSLATE(C522, ""en"", ""fr"")"),"clairon")</f>
        <v>clairon</v>
      </c>
      <c r="G522" s="8" t="str">
        <f>IFERROR(__xludf.DUMMYFUNCTION("GOOGLETRANSLATE(C522, ""en"", ""de"")"),"Horn")</f>
        <v>Horn</v>
      </c>
      <c r="H522" s="8" t="str">
        <f>IFERROR(__xludf.DUMMYFUNCTION("GOOGLETRANSLATE(C522, ""en"", ""ru"")"),"горн")</f>
        <v>горн</v>
      </c>
      <c r="I522" s="8" t="str">
        <f>IFERROR(__xludf.DUMMYFUNCTION("GOOGLETRANSLATE(C522, ""en"", ""ar"")"),"بوق")</f>
        <v>بوق</v>
      </c>
      <c r="J522" s="8"/>
      <c r="K522" s="7" t="str">
        <f>IFERROR(__xludf.DUMMYFUNCTION("CONCAT(REGEXREPLACE(C522,""[ ,]+"",""_""),"".mp3"")"),"bugle.mp3")</f>
        <v>bugle.mp3</v>
      </c>
      <c r="M522" s="4" t="s">
        <v>10</v>
      </c>
    </row>
    <row r="523" ht="15.75" customHeight="1">
      <c r="A523" s="1">
        <v>1891.0</v>
      </c>
      <c r="B523" s="3">
        <v>144.0</v>
      </c>
      <c r="C523" s="7" t="s">
        <v>572</v>
      </c>
      <c r="D523" s="8" t="str">
        <f>IFERROR(__xludf.DUMMYFUNCTION("GOOGLETRANSLATE(C523, ""en"", ""pt"")"),"sousafone")</f>
        <v>sousafone</v>
      </c>
      <c r="E523" s="8" t="str">
        <f>IFERROR(__xludf.DUMMYFUNCTION("GOOGLETRANSLATE(C523, ""en"", ""es"")"),"sousafón")</f>
        <v>sousafón</v>
      </c>
      <c r="F523" s="8" t="str">
        <f>IFERROR(__xludf.DUMMYFUNCTION("GOOGLETRANSLATE(C523, ""en"", ""fr"")"),"sousaphone")</f>
        <v>sousaphone</v>
      </c>
      <c r="G523" s="8" t="str">
        <f>IFERROR(__xludf.DUMMYFUNCTION("GOOGLETRANSLATE(C523, ""en"", ""de"")"),"Sousaphon")</f>
        <v>Sousaphon</v>
      </c>
      <c r="H523" s="8" t="str">
        <f>IFERROR(__xludf.DUMMYFUNCTION("GOOGLETRANSLATE(C523, ""en"", ""ru"")"),"сузафон")</f>
        <v>сузафон</v>
      </c>
      <c r="I523" s="8" t="str">
        <f>IFERROR(__xludf.DUMMYFUNCTION("GOOGLETRANSLATE(C523, ""en"", ""ar"")"),"سوزافون")</f>
        <v>سوزافون</v>
      </c>
      <c r="J523" s="8"/>
      <c r="K523" s="7" t="str">
        <f>IFERROR(__xludf.DUMMYFUNCTION("CONCAT(REGEXREPLACE(C523,""[ ,]+"",""_""),"".mp3"")"),"sousaphone.mp3")</f>
        <v>sousaphone.mp3</v>
      </c>
      <c r="M523" s="4" t="s">
        <v>10</v>
      </c>
    </row>
    <row r="524" ht="15.75" customHeight="1">
      <c r="A524" s="1">
        <v>1892.0</v>
      </c>
      <c r="B524" s="3">
        <v>144.0</v>
      </c>
      <c r="C524" s="7" t="s">
        <v>573</v>
      </c>
      <c r="D524" s="8" t="str">
        <f>IFERROR(__xludf.DUMMYFUNCTION("GOOGLETRANSLATE(C524, ""en"", ""pt"")"),"melofone")</f>
        <v>melofone</v>
      </c>
      <c r="E524" s="8" t="str">
        <f>IFERROR(__xludf.DUMMYFUNCTION("GOOGLETRANSLATE(C524, ""en"", ""es"")"),"melófono")</f>
        <v>melófono</v>
      </c>
      <c r="F524" s="8" t="str">
        <f>IFERROR(__xludf.DUMMYFUNCTION("GOOGLETRANSLATE(C524, ""en"", ""fr"")"),"mellophone")</f>
        <v>mellophone</v>
      </c>
      <c r="G524" s="8" t="str">
        <f>IFERROR(__xludf.DUMMYFUNCTION("GOOGLETRANSLATE(C524, ""en"", ""de"")"),"Mellophon")</f>
        <v>Mellophon</v>
      </c>
      <c r="H524" s="8" t="str">
        <f>IFERROR(__xludf.DUMMYFUNCTION("GOOGLETRANSLATE(C524, ""en"", ""ru"")"),"меллофон")</f>
        <v>меллофон</v>
      </c>
      <c r="I524" s="8" t="str">
        <f>IFERROR(__xludf.DUMMYFUNCTION("GOOGLETRANSLATE(C524, ""en"", ""ar"")"),"ميلوفون")</f>
        <v>ميلوفون</v>
      </c>
      <c r="J524" s="8"/>
      <c r="K524" s="7" t="str">
        <f>IFERROR(__xludf.DUMMYFUNCTION("CONCAT(REGEXREPLACE(C524,""[ ,]+"",""_""),"".mp3"")"),"mellophone.mp3")</f>
        <v>mellophone.mp3</v>
      </c>
      <c r="M524" s="4" t="s">
        <v>10</v>
      </c>
    </row>
    <row r="525" ht="15.75" customHeight="1">
      <c r="A525" s="1">
        <v>1893.0</v>
      </c>
      <c r="B525" s="3">
        <v>144.0</v>
      </c>
      <c r="C525" s="7" t="s">
        <v>574</v>
      </c>
      <c r="D525" s="8" t="str">
        <f>IFERROR(__xludf.DUMMYFUNCTION("GOOGLETRANSLATE(C525, ""en"", ""pt"")"),"caixa")</f>
        <v>caixa</v>
      </c>
      <c r="E525" s="8" t="str">
        <f>IFERROR(__xludf.DUMMYFUNCTION("GOOGLETRANSLATE(C525, ""en"", ""es"")"),"caja")</f>
        <v>caja</v>
      </c>
      <c r="F525" s="8" t="str">
        <f>IFERROR(__xludf.DUMMYFUNCTION("GOOGLETRANSLATE(C525, ""en"", ""fr"")"),"caisse claire")</f>
        <v>caisse claire</v>
      </c>
      <c r="G525" s="8" t="str">
        <f>IFERROR(__xludf.DUMMYFUNCTION("GOOGLETRANSLATE(C525, ""en"", ""de"")"),"Snare-Drum")</f>
        <v>Snare-Drum</v>
      </c>
      <c r="H525" s="8" t="str">
        <f>IFERROR(__xludf.DUMMYFUNCTION("GOOGLETRANSLATE(C525, ""en"", ""ru"")"),"малый барабан")</f>
        <v>малый барабан</v>
      </c>
      <c r="I525" s="8" t="str">
        <f>IFERROR(__xludf.DUMMYFUNCTION("GOOGLETRANSLATE(C525, ""en"", ""ar"")"),"طبلة جانبية")</f>
        <v>طبلة جانبية</v>
      </c>
      <c r="J525" s="8"/>
      <c r="K525" s="7" t="str">
        <f>IFERROR(__xludf.DUMMYFUNCTION("CONCAT(REGEXREPLACE(C525,""[ ,]+"",""_""),"".mp3"")"),"snare_drum.mp3")</f>
        <v>snare_drum.mp3</v>
      </c>
      <c r="M525" s="4" t="s">
        <v>10</v>
      </c>
    </row>
    <row r="526" ht="15.75" customHeight="1">
      <c r="A526" s="1">
        <v>1894.0</v>
      </c>
      <c r="B526" s="3">
        <v>144.0</v>
      </c>
      <c r="C526" s="7" t="s">
        <v>575</v>
      </c>
      <c r="D526" s="8" t="str">
        <f>IFERROR(__xludf.DUMMYFUNCTION("GOOGLETRANSLATE(C526, ""en"", ""pt"")"),"bumbo")</f>
        <v>bumbo</v>
      </c>
      <c r="E526" s="8" t="str">
        <f>IFERROR(__xludf.DUMMYFUNCTION("GOOGLETRANSLATE(C526, ""en"", ""es"")"),"bombo")</f>
        <v>bombo</v>
      </c>
      <c r="F526" s="8" t="str">
        <f>IFERROR(__xludf.DUMMYFUNCTION("GOOGLETRANSLATE(C526, ""en"", ""fr"")"),"grosse caisse")</f>
        <v>grosse caisse</v>
      </c>
      <c r="G526" s="8" t="str">
        <f>IFERROR(__xludf.DUMMYFUNCTION("GOOGLETRANSLATE(C526, ""en"", ""de"")"),"Bassdrum")</f>
        <v>Bassdrum</v>
      </c>
      <c r="H526" s="8" t="str">
        <f>IFERROR(__xludf.DUMMYFUNCTION("GOOGLETRANSLATE(C526, ""en"", ""ru"")"),"большой барабан")</f>
        <v>большой барабан</v>
      </c>
      <c r="I526" s="8" t="str">
        <f>IFERROR(__xludf.DUMMYFUNCTION("GOOGLETRANSLATE(C526, ""en"", ""ar"")"),"طبلة الباس")</f>
        <v>طبلة الباس</v>
      </c>
      <c r="J526" s="8"/>
      <c r="K526" s="7" t="str">
        <f>IFERROR(__xludf.DUMMYFUNCTION("CONCAT(REGEXREPLACE(C526,""[ ,]+"",""_""),"".mp3"")"),"bass_drum.mp3")</f>
        <v>bass_drum.mp3</v>
      </c>
      <c r="M526" s="4" t="s">
        <v>10</v>
      </c>
    </row>
    <row r="527" ht="15.75" customHeight="1">
      <c r="A527" s="1">
        <v>1895.0</v>
      </c>
      <c r="B527" s="3">
        <v>144.0</v>
      </c>
      <c r="C527" s="7" t="s">
        <v>576</v>
      </c>
      <c r="D527" s="8" t="str">
        <f>IFERROR(__xludf.DUMMYFUNCTION("GOOGLETRANSLATE(C527, ""en"", ""pt"")"),"tom-tom")</f>
        <v>tom-tom</v>
      </c>
      <c r="E527" s="8" t="str">
        <f>IFERROR(__xludf.DUMMYFUNCTION("GOOGLETRANSLATE(C527, ""en"", ""es"")"),"tom-tom")</f>
        <v>tom-tom</v>
      </c>
      <c r="F527" s="8" t="str">
        <f>IFERROR(__xludf.DUMMYFUNCTION("GOOGLETRANSLATE(C527, ""en"", ""fr"")"),"tom-tom")</f>
        <v>tom-tom</v>
      </c>
      <c r="G527" s="8" t="str">
        <f>IFERROR(__xludf.DUMMYFUNCTION("GOOGLETRANSLATE(C527, ""en"", ""de"")"),"Tom‑Tom")</f>
        <v>Tom‑Tom</v>
      </c>
      <c r="H527" s="8" t="str">
        <f>IFERROR(__xludf.DUMMYFUNCTION("GOOGLETRANSLATE(C527, ""en"", ""ru"")"),"том-том")</f>
        <v>том-том</v>
      </c>
      <c r="I527" s="8" t="str">
        <f>IFERROR(__xludf.DUMMYFUNCTION("GOOGLETRANSLATE(C527, ""en"", ""ar"")"),"توم توم")</f>
        <v>توم توم</v>
      </c>
      <c r="J527" s="8"/>
      <c r="K527" s="7" t="str">
        <f>IFERROR(__xludf.DUMMYFUNCTION("CONCAT(REGEXREPLACE(C527,""[ ,]+"",""_""),"".mp3"")"),"tom‑tom.mp3")</f>
        <v>tom‑tom.mp3</v>
      </c>
      <c r="M527" s="4" t="s">
        <v>10</v>
      </c>
    </row>
    <row r="528" ht="15.75" customHeight="1">
      <c r="A528" s="1">
        <v>1896.0</v>
      </c>
      <c r="B528" s="3">
        <v>144.0</v>
      </c>
      <c r="C528" s="7" t="s">
        <v>577</v>
      </c>
      <c r="D528" s="8" t="str">
        <f>IFERROR(__xludf.DUMMYFUNCTION("GOOGLETRANSLATE(C528, ""en"", ""pt"")"),"bateria")</f>
        <v>bateria</v>
      </c>
      <c r="E528" s="8" t="str">
        <f>IFERROR(__xludf.DUMMYFUNCTION("GOOGLETRANSLATE(C528, ""en"", ""es"")"),"batería")</f>
        <v>batería</v>
      </c>
      <c r="F528" s="8" t="str">
        <f>IFERROR(__xludf.DUMMYFUNCTION("GOOGLETRANSLATE(C528, ""en"", ""fr"")"),"batterie")</f>
        <v>batterie</v>
      </c>
      <c r="G528" s="8" t="str">
        <f>IFERROR(__xludf.DUMMYFUNCTION("GOOGLETRANSLATE(C528, ""en"", ""de"")"),"Schlagzeug")</f>
        <v>Schlagzeug</v>
      </c>
      <c r="H528" s="8" t="str">
        <f>IFERROR(__xludf.DUMMYFUNCTION("GOOGLETRANSLATE(C528, ""en"", ""ru"")"),"ударная установка")</f>
        <v>ударная установка</v>
      </c>
      <c r="I528" s="8" t="str">
        <f>IFERROR(__xludf.DUMMYFUNCTION("GOOGLETRANSLATE(C528, ""en"", ""ar"")"),"طقم طبول")</f>
        <v>طقم طبول</v>
      </c>
      <c r="J528" s="8"/>
      <c r="K528" s="7" t="str">
        <f>IFERROR(__xludf.DUMMYFUNCTION("CONCAT(REGEXREPLACE(C528,""[ ,]+"",""_""),"".mp3"")"),"drum_kit.mp3")</f>
        <v>drum_kit.mp3</v>
      </c>
      <c r="M528" s="4" t="s">
        <v>10</v>
      </c>
    </row>
    <row r="529" ht="15.75" customHeight="1">
      <c r="A529" s="1">
        <v>1897.0</v>
      </c>
      <c r="B529" s="3">
        <v>144.0</v>
      </c>
      <c r="C529" s="7" t="s">
        <v>578</v>
      </c>
      <c r="D529" s="8" t="str">
        <f>IFERROR(__xludf.DUMMYFUNCTION("GOOGLETRANSLATE(C529, ""en"", ""pt"")"),"tímpanos")</f>
        <v>tímpanos</v>
      </c>
      <c r="E529" s="8" t="str">
        <f>IFERROR(__xludf.DUMMYFUNCTION("GOOGLETRANSLATE(C529, ""en"", ""es"")"),"tímpanos")</f>
        <v>tímpanos</v>
      </c>
      <c r="F529" s="8" t="str">
        <f>IFERROR(__xludf.DUMMYFUNCTION("GOOGLETRANSLATE(C529, ""en"", ""fr"")"),"timbales")</f>
        <v>timbales</v>
      </c>
      <c r="G529" s="8" t="str">
        <f>IFERROR(__xludf.DUMMYFUNCTION("GOOGLETRANSLATE(C529, ""en"", ""de"")"),"Timpani")</f>
        <v>Timpani</v>
      </c>
      <c r="H529" s="8" t="str">
        <f>IFERROR(__xludf.DUMMYFUNCTION("GOOGLETRANSLATE(C529, ""en"", ""ru"")"),"литавры")</f>
        <v>литавры</v>
      </c>
      <c r="I529" s="8" t="str">
        <f>IFERROR(__xludf.DUMMYFUNCTION("GOOGLETRANSLATE(C529, ""en"", ""ar"")"),"الطبول")</f>
        <v>الطبول</v>
      </c>
      <c r="J529" s="8"/>
      <c r="K529" s="7" t="str">
        <f>IFERROR(__xludf.DUMMYFUNCTION("CONCAT(REGEXREPLACE(C529,""[ ,]+"",""_""),"".mp3"")"),"timpani.mp3")</f>
        <v>timpani.mp3</v>
      </c>
      <c r="M529" s="4" t="s">
        <v>10</v>
      </c>
    </row>
    <row r="530" ht="15.75" customHeight="1">
      <c r="A530" s="1">
        <v>1898.0</v>
      </c>
      <c r="B530" s="3">
        <v>144.0</v>
      </c>
      <c r="C530" s="7" t="s">
        <v>579</v>
      </c>
      <c r="D530" s="8" t="str">
        <f>IFERROR(__xludf.DUMMYFUNCTION("GOOGLETRANSLATE(C530, ""en"", ""pt"")"),"tabla")</f>
        <v>tabla</v>
      </c>
      <c r="E530" s="8" t="str">
        <f>IFERROR(__xludf.DUMMYFUNCTION("GOOGLETRANSLATE(C530, ""en"", ""es"")"),"tabla")</f>
        <v>tabla</v>
      </c>
      <c r="F530" s="8" t="str">
        <f>IFERROR(__xludf.DUMMYFUNCTION("GOOGLETRANSLATE(C530, ""en"", ""fr"")"),"tabla")</f>
        <v>tabla</v>
      </c>
      <c r="G530" s="8" t="str">
        <f>IFERROR(__xludf.DUMMYFUNCTION("GOOGLETRANSLATE(C530, ""en"", ""de"")"),"Tabla")</f>
        <v>Tabla</v>
      </c>
      <c r="H530" s="8" t="str">
        <f>IFERROR(__xludf.DUMMYFUNCTION("GOOGLETRANSLATE(C530, ""en"", ""ru"")"),"табла")</f>
        <v>табла</v>
      </c>
      <c r="I530" s="8" t="str">
        <f>IFERROR(__xludf.DUMMYFUNCTION("GOOGLETRANSLATE(C530, ""en"", ""ar"")"),"طبلة")</f>
        <v>طبلة</v>
      </c>
      <c r="J530" s="8"/>
      <c r="K530" s="7" t="str">
        <f>IFERROR(__xludf.DUMMYFUNCTION("CONCAT(REGEXREPLACE(C530,""[ ,]+"",""_""),"".mp3"")"),"tabla.mp3")</f>
        <v>tabla.mp3</v>
      </c>
      <c r="M530" s="4" t="s">
        <v>10</v>
      </c>
    </row>
    <row r="531" ht="15.75" customHeight="1">
      <c r="A531" s="1">
        <v>1899.0</v>
      </c>
      <c r="B531" s="3">
        <v>144.0</v>
      </c>
      <c r="C531" s="7" t="s">
        <v>580</v>
      </c>
      <c r="D531" s="8" t="str">
        <f>IFERROR(__xludf.DUMMYFUNCTION("GOOGLETRANSLATE(C531, ""en"", ""pt"")"),"djembê")</f>
        <v>djembê</v>
      </c>
      <c r="E531" s="8" t="str">
        <f>IFERROR(__xludf.DUMMYFUNCTION("GOOGLETRANSLATE(C531, ""en"", ""es"")"),"djembé")</f>
        <v>djembé</v>
      </c>
      <c r="F531" s="8" t="str">
        <f>IFERROR(__xludf.DUMMYFUNCTION("GOOGLETRANSLATE(C531, ""en"", ""fr"")"),"djembé")</f>
        <v>djembé</v>
      </c>
      <c r="G531" s="8" t="str">
        <f>IFERROR(__xludf.DUMMYFUNCTION("GOOGLETRANSLATE(C531, ""en"", ""de"")"),"Djembe")</f>
        <v>Djembe</v>
      </c>
      <c r="H531" s="8" t="str">
        <f>IFERROR(__xludf.DUMMYFUNCTION("GOOGLETRANSLATE(C531, ""en"", ""ru"")"),"джембе")</f>
        <v>джембе</v>
      </c>
      <c r="I531" s="8" t="str">
        <f>IFERROR(__xludf.DUMMYFUNCTION("GOOGLETRANSLATE(C531, ""en"", ""ar"")"),"دجيمبي")</f>
        <v>دجيمبي</v>
      </c>
      <c r="J531" s="8"/>
      <c r="K531" s="7" t="str">
        <f>IFERROR(__xludf.DUMMYFUNCTION("CONCAT(REGEXREPLACE(C531,""[ ,]+"",""_""),"".mp3"")"),"djembe.mp3")</f>
        <v>djembe.mp3</v>
      </c>
      <c r="M531" s="4" t="s">
        <v>10</v>
      </c>
    </row>
    <row r="532" ht="15.75" customHeight="1">
      <c r="A532" s="1">
        <v>1900.0</v>
      </c>
      <c r="B532" s="3">
        <v>144.0</v>
      </c>
      <c r="C532" s="7" t="s">
        <v>581</v>
      </c>
      <c r="D532" s="8" t="str">
        <f>IFERROR(__xludf.DUMMYFUNCTION("GOOGLETRANSLATE(C532, ""en"", ""pt"")"),"conga")</f>
        <v>conga</v>
      </c>
      <c r="E532" s="8" t="str">
        <f>IFERROR(__xludf.DUMMYFUNCTION("GOOGLETRANSLATE(C532, ""en"", ""es"")"),"conga")</f>
        <v>conga</v>
      </c>
      <c r="F532" s="8" t="str">
        <f>IFERROR(__xludf.DUMMYFUNCTION("GOOGLETRANSLATE(C532, ""en"", ""fr"")"),"conga")</f>
        <v>conga</v>
      </c>
      <c r="G532" s="8" t="str">
        <f>IFERROR(__xludf.DUMMYFUNCTION("GOOGLETRANSLATE(C532, ""en"", ""de"")"),"Conga")</f>
        <v>Conga</v>
      </c>
      <c r="H532" s="8" t="str">
        <f>IFERROR(__xludf.DUMMYFUNCTION("GOOGLETRANSLATE(C532, ""en"", ""ru"")"),"конга")</f>
        <v>конга</v>
      </c>
      <c r="I532" s="8" t="str">
        <f>IFERROR(__xludf.DUMMYFUNCTION("GOOGLETRANSLATE(C532, ""en"", ""ar"")"),"الكونغا")</f>
        <v>الكونغا</v>
      </c>
      <c r="J532" s="8"/>
      <c r="K532" s="7" t="str">
        <f>IFERROR(__xludf.DUMMYFUNCTION("CONCAT(REGEXREPLACE(C532,""[ ,]+"",""_""),"".mp3"")"),"conga.mp3")</f>
        <v>conga.mp3</v>
      </c>
      <c r="M532" s="4" t="s">
        <v>10</v>
      </c>
    </row>
    <row r="533" ht="15.75" customHeight="1">
      <c r="A533" s="1">
        <v>1901.0</v>
      </c>
      <c r="B533" s="3">
        <v>144.0</v>
      </c>
      <c r="C533" s="7" t="s">
        <v>582</v>
      </c>
      <c r="D533" s="8" t="str">
        <f>IFERROR(__xludf.DUMMYFUNCTION("GOOGLETRANSLATE(C533, ""en"", ""pt"")"),"bongo")</f>
        <v>bongo</v>
      </c>
      <c r="E533" s="8" t="str">
        <f>IFERROR(__xludf.DUMMYFUNCTION("GOOGLETRANSLATE(C533, ""en"", ""es"")"),"bongo")</f>
        <v>bongo</v>
      </c>
      <c r="F533" s="8" t="str">
        <f>IFERROR(__xludf.DUMMYFUNCTION("GOOGLETRANSLATE(C533, ""en"", ""fr"")"),"bongo")</f>
        <v>bongo</v>
      </c>
      <c r="G533" s="8" t="str">
        <f>IFERROR(__xludf.DUMMYFUNCTION("GOOGLETRANSLATE(C533, ""en"", ""de"")"),"Bongo")</f>
        <v>Bongo</v>
      </c>
      <c r="H533" s="8" t="str">
        <f>IFERROR(__xludf.DUMMYFUNCTION("GOOGLETRANSLATE(C533, ""en"", ""ru"")"),"бонго")</f>
        <v>бонго</v>
      </c>
      <c r="I533" s="8" t="str">
        <f>IFERROR(__xludf.DUMMYFUNCTION("GOOGLETRANSLATE(C533, ""en"", ""ar"")"),"بونغو")</f>
        <v>بونغو</v>
      </c>
      <c r="J533" s="8"/>
      <c r="K533" s="7" t="str">
        <f>IFERROR(__xludf.DUMMYFUNCTION("CONCAT(REGEXREPLACE(C533,""[ ,]+"",""_""),"".mp3"")"),"bongo.mp3")</f>
        <v>bongo.mp3</v>
      </c>
      <c r="M533" s="4" t="s">
        <v>10</v>
      </c>
    </row>
    <row r="534" ht="15.75" customHeight="1">
      <c r="A534" s="1">
        <v>1902.0</v>
      </c>
      <c r="B534" s="3">
        <v>144.0</v>
      </c>
      <c r="C534" s="7" t="s">
        <v>583</v>
      </c>
      <c r="D534" s="8" t="str">
        <f>IFERROR(__xludf.DUMMYFUNCTION("GOOGLETRANSLATE(C534, ""en"", ""pt"")"),"tambor falante")</f>
        <v>tambor falante</v>
      </c>
      <c r="E534" s="8" t="str">
        <f>IFERROR(__xludf.DUMMYFUNCTION("GOOGLETRANSLATE(C534, ""en"", ""es"")"),"tambor parlante")</f>
        <v>tambor parlante</v>
      </c>
      <c r="F534" s="8" t="str">
        <f>IFERROR(__xludf.DUMMYFUNCTION("GOOGLETRANSLATE(C534, ""en"", ""fr"")"),"tambour parlant")</f>
        <v>tambour parlant</v>
      </c>
      <c r="G534" s="8" t="str">
        <f>IFERROR(__xludf.DUMMYFUNCTION("GOOGLETRANSLATE(C534, ""en"", ""de"")"),"Sprechende Trommel")</f>
        <v>Sprechende Trommel</v>
      </c>
      <c r="H534" s="8" t="str">
        <f>IFERROR(__xludf.DUMMYFUNCTION("GOOGLETRANSLATE(C534, ""en"", ""ru"")"),"говорящий барабан")</f>
        <v>говорящий барабан</v>
      </c>
      <c r="I534" s="8" t="str">
        <f>IFERROR(__xludf.DUMMYFUNCTION("GOOGLETRANSLATE(C534, ""en"", ""ar"")"),"طبل ناطق")</f>
        <v>طبل ناطق</v>
      </c>
      <c r="J534" s="8"/>
      <c r="K534" s="7" t="str">
        <f>IFERROR(__xludf.DUMMYFUNCTION("CONCAT(REGEXREPLACE(C534,""[ ,]+"",""_""),"".mp3"")"),"talking_drum.mp3")</f>
        <v>talking_drum.mp3</v>
      </c>
      <c r="M534" s="4" t="s">
        <v>10</v>
      </c>
    </row>
    <row r="535" ht="15.75" customHeight="1">
      <c r="A535" s="1">
        <v>1903.0</v>
      </c>
      <c r="B535" s="3">
        <v>144.0</v>
      </c>
      <c r="C535" s="7" t="s">
        <v>584</v>
      </c>
      <c r="D535" s="8" t="str">
        <f>IFERROR(__xludf.DUMMYFUNCTION("GOOGLETRANSLATE(C535, ""en"", ""pt"")"),"mridangam")</f>
        <v>mridangam</v>
      </c>
      <c r="E535" s="8" t="str">
        <f>IFERROR(__xludf.DUMMYFUNCTION("GOOGLETRANSLATE(C535, ""en"", ""es"")"),"mridangam")</f>
        <v>mridangam</v>
      </c>
      <c r="F535" s="8" t="str">
        <f>IFERROR(__xludf.DUMMYFUNCTION("GOOGLETRANSLATE(C535, ""en"", ""fr"")"),"mridangam")</f>
        <v>mridangam</v>
      </c>
      <c r="G535" s="8" t="str">
        <f>IFERROR(__xludf.DUMMYFUNCTION("GOOGLETRANSLATE(C535, ""en"", ""de"")"),"Mridangam")</f>
        <v>Mridangam</v>
      </c>
      <c r="H535" s="8" t="str">
        <f>IFERROR(__xludf.DUMMYFUNCTION("GOOGLETRANSLATE(C535, ""en"", ""ru"")"),"мридангам")</f>
        <v>мридангам</v>
      </c>
      <c r="I535" s="8" t="str">
        <f>IFERROR(__xludf.DUMMYFUNCTION("GOOGLETRANSLATE(C535, ""en"", ""ar"")"),"مريدانغام")</f>
        <v>مريدانغام</v>
      </c>
      <c r="J535" s="8"/>
      <c r="K535" s="7" t="str">
        <f>IFERROR(__xludf.DUMMYFUNCTION("CONCAT(REGEXREPLACE(C535,""[ ,]+"",""_""),"".mp3"")"),"mridangam.mp3")</f>
        <v>mridangam.mp3</v>
      </c>
      <c r="M535" s="4" t="s">
        <v>10</v>
      </c>
    </row>
    <row r="536" ht="15.75" customHeight="1">
      <c r="A536" s="1">
        <v>1904.0</v>
      </c>
      <c r="B536" s="3">
        <v>144.0</v>
      </c>
      <c r="C536" s="7" t="s">
        <v>585</v>
      </c>
      <c r="D536" s="8" t="str">
        <f>IFERROR(__xludf.DUMMYFUNCTION("GOOGLETRANSLATE(C536, ""en"", ""pt"")"),"tamborim")</f>
        <v>tamborim</v>
      </c>
      <c r="E536" s="8" t="str">
        <f>IFERROR(__xludf.DUMMYFUNCTION("GOOGLETRANSLATE(C536, ""en"", ""es"")"),"tamborim")</f>
        <v>tamborim</v>
      </c>
      <c r="F536" s="8" t="str">
        <f>IFERROR(__xludf.DUMMYFUNCTION("GOOGLETRANSLATE(C536, ""en"", ""fr"")"),"tamborim")</f>
        <v>tamborim</v>
      </c>
      <c r="G536" s="8" t="str">
        <f>IFERROR(__xludf.DUMMYFUNCTION("GOOGLETRANSLATE(C536, ""en"", ""de"")"),"Tamborim")</f>
        <v>Tamborim</v>
      </c>
      <c r="H536" s="8" t="str">
        <f>IFERROR(__xludf.DUMMYFUNCTION("GOOGLETRANSLATE(C536, ""en"", ""ru"")"),"тамборим")</f>
        <v>тамборим</v>
      </c>
      <c r="I536" s="8" t="str">
        <f>IFERROR(__xludf.DUMMYFUNCTION("GOOGLETRANSLATE(C536, ""en"", ""ar"")"),"تامبوريم")</f>
        <v>تامبوريم</v>
      </c>
      <c r="J536" s="8"/>
      <c r="K536" s="7" t="str">
        <f>IFERROR(__xludf.DUMMYFUNCTION("CONCAT(REGEXREPLACE(C536,""[ ,]+"",""_""),"".mp3"")"),"tamborim.mp3")</f>
        <v>tamborim.mp3</v>
      </c>
      <c r="M536" s="4" t="s">
        <v>10</v>
      </c>
    </row>
    <row r="537" ht="15.75" customHeight="1">
      <c r="A537" s="1">
        <v>1905.0</v>
      </c>
      <c r="B537" s="3">
        <v>144.0</v>
      </c>
      <c r="C537" s="7" t="s">
        <v>586</v>
      </c>
      <c r="D537" s="8" t="str">
        <f>IFERROR(__xludf.DUMMYFUNCTION("GOOGLETRANSLATE(C537, ""en"", ""pt"")"),"taiko")</f>
        <v>taiko</v>
      </c>
      <c r="E537" s="8" t="str">
        <f>IFERROR(__xludf.DUMMYFUNCTION("GOOGLETRANSLATE(C537, ""en"", ""es"")"),"taiko")</f>
        <v>taiko</v>
      </c>
      <c r="F537" s="8" t="str">
        <f>IFERROR(__xludf.DUMMYFUNCTION("GOOGLETRANSLATE(C537, ""en"", ""fr"")"),"taiko")</f>
        <v>taiko</v>
      </c>
      <c r="G537" s="8" t="str">
        <f>IFERROR(__xludf.DUMMYFUNCTION("GOOGLETRANSLATE(C537, ""en"", ""de"")"),"Taiko")</f>
        <v>Taiko</v>
      </c>
      <c r="H537" s="8" t="str">
        <f>IFERROR(__xludf.DUMMYFUNCTION("GOOGLETRANSLATE(C537, ""en"", ""ru"")"),"тайко")</f>
        <v>тайко</v>
      </c>
      <c r="I537" s="8" t="str">
        <f>IFERROR(__xludf.DUMMYFUNCTION("GOOGLETRANSLATE(C537, ""en"", ""ar"")"),"تايكو")</f>
        <v>تايكو</v>
      </c>
      <c r="J537" s="8"/>
      <c r="K537" s="7" t="str">
        <f>IFERROR(__xludf.DUMMYFUNCTION("CONCAT(REGEXREPLACE(C537,""[ ,]+"",""_""),"".mp3"")"),"taiko.mp3")</f>
        <v>taiko.mp3</v>
      </c>
      <c r="M537" s="4" t="s">
        <v>10</v>
      </c>
    </row>
    <row r="538" ht="15.75" customHeight="1">
      <c r="A538" s="1">
        <v>1906.0</v>
      </c>
      <c r="B538" s="3">
        <v>144.0</v>
      </c>
      <c r="C538" s="7" t="s">
        <v>587</v>
      </c>
      <c r="D538" s="8" t="str">
        <f>IFERROR(__xludf.DUMMYFUNCTION("GOOGLETRANSLATE(C538, ""en"", ""pt"")"),"xilofone")</f>
        <v>xilofone</v>
      </c>
      <c r="E538" s="8" t="str">
        <f>IFERROR(__xludf.DUMMYFUNCTION("GOOGLETRANSLATE(C538, ""en"", ""es"")"),"xilófono")</f>
        <v>xilófono</v>
      </c>
      <c r="F538" s="8" t="str">
        <f>IFERROR(__xludf.DUMMYFUNCTION("GOOGLETRANSLATE(C538, ""en"", ""fr"")"),"xylophone")</f>
        <v>xylophone</v>
      </c>
      <c r="G538" s="8" t="str">
        <f>IFERROR(__xludf.DUMMYFUNCTION("GOOGLETRANSLATE(C538, ""en"", ""de"")"),"Xylophon")</f>
        <v>Xylophon</v>
      </c>
      <c r="H538" s="8" t="str">
        <f>IFERROR(__xludf.DUMMYFUNCTION("GOOGLETRANSLATE(C538, ""en"", ""ru"")"),"ксилофон")</f>
        <v>ксилофон</v>
      </c>
      <c r="I538" s="8" t="str">
        <f>IFERROR(__xludf.DUMMYFUNCTION("GOOGLETRANSLATE(C538, ""en"", ""ar"")"),"إكسيليفون")</f>
        <v>إكسيليفون</v>
      </c>
      <c r="J538" s="8"/>
      <c r="K538" s="7" t="str">
        <f>IFERROR(__xludf.DUMMYFUNCTION("CONCAT(REGEXREPLACE(C538,""[ ,]+"",""_""),"".mp3"")"),"xylophone.mp3")</f>
        <v>xylophone.mp3</v>
      </c>
      <c r="M538" s="4" t="s">
        <v>10</v>
      </c>
    </row>
    <row r="539" ht="15.75" customHeight="1">
      <c r="A539" s="1">
        <v>1907.0</v>
      </c>
      <c r="B539" s="3">
        <v>144.0</v>
      </c>
      <c r="C539" s="7" t="s">
        <v>588</v>
      </c>
      <c r="D539" s="8" t="str">
        <f>IFERROR(__xludf.DUMMYFUNCTION("GOOGLETRANSLATE(C539, ""en"", ""pt"")"),"marimba")</f>
        <v>marimba</v>
      </c>
      <c r="E539" s="8" t="str">
        <f>IFERROR(__xludf.DUMMYFUNCTION("GOOGLETRANSLATE(C539, ""en"", ""es"")"),"marimba")</f>
        <v>marimba</v>
      </c>
      <c r="F539" s="8" t="str">
        <f>IFERROR(__xludf.DUMMYFUNCTION("GOOGLETRANSLATE(C539, ""en"", ""fr"")"),"marimba")</f>
        <v>marimba</v>
      </c>
      <c r="G539" s="8" t="str">
        <f>IFERROR(__xludf.DUMMYFUNCTION("GOOGLETRANSLATE(C539, ""en"", ""de"")"),"Marimba")</f>
        <v>Marimba</v>
      </c>
      <c r="H539" s="8" t="str">
        <f>IFERROR(__xludf.DUMMYFUNCTION("GOOGLETRANSLATE(C539, ""en"", ""ru"")"),"маримба")</f>
        <v>маримба</v>
      </c>
      <c r="I539" s="8" t="str">
        <f>IFERROR(__xludf.DUMMYFUNCTION("GOOGLETRANSLATE(C539, ""en"", ""ar"")"),"ماريمبا")</f>
        <v>ماريمبا</v>
      </c>
      <c r="J539" s="8"/>
      <c r="K539" s="7" t="str">
        <f>IFERROR(__xludf.DUMMYFUNCTION("CONCAT(REGEXREPLACE(C539,""[ ,]+"",""_""),"".mp3"")"),"marimba.mp3")</f>
        <v>marimba.mp3</v>
      </c>
      <c r="M539" s="4" t="s">
        <v>10</v>
      </c>
    </row>
    <row r="540" ht="15.75" customHeight="1">
      <c r="A540" s="1">
        <v>1908.0</v>
      </c>
      <c r="B540" s="3">
        <v>144.0</v>
      </c>
      <c r="C540" s="7" t="s">
        <v>589</v>
      </c>
      <c r="D540" s="8" t="str">
        <f>IFERROR(__xludf.DUMMYFUNCTION("GOOGLETRANSLATE(C540, ""en"", ""pt"")"),"vibrafone")</f>
        <v>vibrafone</v>
      </c>
      <c r="E540" s="8" t="str">
        <f>IFERROR(__xludf.DUMMYFUNCTION("GOOGLETRANSLATE(C540, ""en"", ""es"")"),"vibráfono")</f>
        <v>vibráfono</v>
      </c>
      <c r="F540" s="8" t="str">
        <f>IFERROR(__xludf.DUMMYFUNCTION("GOOGLETRANSLATE(C540, ""en"", ""fr"")"),"vibraphone")</f>
        <v>vibraphone</v>
      </c>
      <c r="G540" s="8" t="str">
        <f>IFERROR(__xludf.DUMMYFUNCTION("GOOGLETRANSLATE(C540, ""en"", ""de"")"),"Vibraphon")</f>
        <v>Vibraphon</v>
      </c>
      <c r="H540" s="8" t="str">
        <f>IFERROR(__xludf.DUMMYFUNCTION("GOOGLETRANSLATE(C540, ""en"", ""ru"")"),"вибрафон")</f>
        <v>вибрафон</v>
      </c>
      <c r="I540" s="8" t="str">
        <f>IFERROR(__xludf.DUMMYFUNCTION("GOOGLETRANSLATE(C540, ""en"", ""ar"")"),"الفيبرافون")</f>
        <v>الفيبرافون</v>
      </c>
      <c r="J540" s="8"/>
      <c r="K540" s="7" t="str">
        <f>IFERROR(__xludf.DUMMYFUNCTION("CONCAT(REGEXREPLACE(C540,""[ ,]+"",""_""),"".mp3"")"),"vibraphone.mp3")</f>
        <v>vibraphone.mp3</v>
      </c>
      <c r="M540" s="4" t="s">
        <v>10</v>
      </c>
    </row>
    <row r="541" ht="15.75" customHeight="1">
      <c r="A541" s="1">
        <v>1909.0</v>
      </c>
      <c r="B541" s="3">
        <v>144.0</v>
      </c>
      <c r="C541" s="7" t="s">
        <v>590</v>
      </c>
      <c r="D541" s="8" t="str">
        <f>IFERROR(__xludf.DUMMYFUNCTION("GOOGLETRANSLATE(C541, ""en"", ""pt"")"),"glockenspiel")</f>
        <v>glockenspiel</v>
      </c>
      <c r="E541" s="8" t="str">
        <f>IFERROR(__xludf.DUMMYFUNCTION("GOOGLETRANSLATE(C541, ""en"", ""es"")"),"glockenspiel")</f>
        <v>glockenspiel</v>
      </c>
      <c r="F541" s="8" t="str">
        <f>IFERROR(__xludf.DUMMYFUNCTION("GOOGLETRANSLATE(C541, ""en"", ""fr"")"),"glockenspiel")</f>
        <v>glockenspiel</v>
      </c>
      <c r="G541" s="8" t="str">
        <f>IFERROR(__xludf.DUMMYFUNCTION("GOOGLETRANSLATE(C541, ""en"", ""de"")"),"Glockenspiel")</f>
        <v>Glockenspiel</v>
      </c>
      <c r="H541" s="8" t="str">
        <f>IFERROR(__xludf.DUMMYFUNCTION("GOOGLETRANSLATE(C541, ""en"", ""ru"")"),"глокеншпиль")</f>
        <v>глокеншпиль</v>
      </c>
      <c r="I541" s="8" t="str">
        <f>IFERROR(__xludf.DUMMYFUNCTION("GOOGLETRANSLATE(C541, ""en"", ""ar"")"),"غلوكنسبيل")</f>
        <v>غلوكنسبيل</v>
      </c>
      <c r="J541" s="8"/>
      <c r="K541" s="7" t="str">
        <f>IFERROR(__xludf.DUMMYFUNCTION("CONCAT(REGEXREPLACE(C541,""[ ,]+"",""_""),"".mp3"")"),"glockenspiel.mp3")</f>
        <v>glockenspiel.mp3</v>
      </c>
      <c r="M541" s="4" t="s">
        <v>10</v>
      </c>
    </row>
    <row r="542" ht="15.75" customHeight="1">
      <c r="A542" s="1">
        <v>1910.0</v>
      </c>
      <c r="B542" s="3">
        <v>144.0</v>
      </c>
      <c r="C542" s="7" t="s">
        <v>591</v>
      </c>
      <c r="D542" s="8" t="str">
        <f>IFERROR(__xludf.DUMMYFUNCTION("GOOGLETRANSLATE(C542, ""en"", ""pt"")"),"celesta")</f>
        <v>celesta</v>
      </c>
      <c r="E542" s="8" t="str">
        <f>IFERROR(__xludf.DUMMYFUNCTION("GOOGLETRANSLATE(C542, ""en"", ""es"")"),"celesta")</f>
        <v>celesta</v>
      </c>
      <c r="F542" s="8" t="str">
        <f>IFERROR(__xludf.DUMMYFUNCTION("GOOGLETRANSLATE(C542, ""en"", ""fr"")"),"Célesta")</f>
        <v>Célesta</v>
      </c>
      <c r="G542" s="8" t="str">
        <f>IFERROR(__xludf.DUMMYFUNCTION("GOOGLETRANSLATE(C542, ""en"", ""de"")"),"Celesta")</f>
        <v>Celesta</v>
      </c>
      <c r="H542" s="8" t="str">
        <f>IFERROR(__xludf.DUMMYFUNCTION("GOOGLETRANSLATE(C542, ""en"", ""ru"")"),"челеста")</f>
        <v>челеста</v>
      </c>
      <c r="I542" s="8" t="str">
        <f>IFERROR(__xludf.DUMMYFUNCTION("GOOGLETRANSLATE(C542, ""en"", ""ar"")"),"سيليستا")</f>
        <v>سيليستا</v>
      </c>
      <c r="J542" s="8"/>
      <c r="K542" s="7" t="str">
        <f>IFERROR(__xludf.DUMMYFUNCTION("CONCAT(REGEXREPLACE(C542,""[ ,]+"",""_""),"".mp3"")"),"celesta.mp3")</f>
        <v>celesta.mp3</v>
      </c>
      <c r="M542" s="4" t="s">
        <v>10</v>
      </c>
    </row>
    <row r="543" ht="15.75" customHeight="1">
      <c r="A543" s="1">
        <v>1911.0</v>
      </c>
      <c r="B543" s="3">
        <v>144.0</v>
      </c>
      <c r="C543" s="7" t="s">
        <v>592</v>
      </c>
      <c r="D543" s="8" t="str">
        <f>IFERROR(__xludf.DUMMYFUNCTION("GOOGLETRANSLATE(C543, ""en"", ""pt"")"),"triângulo")</f>
        <v>triângulo</v>
      </c>
      <c r="E543" s="8" t="str">
        <f>IFERROR(__xludf.DUMMYFUNCTION("GOOGLETRANSLATE(C543, ""en"", ""es"")"),"triángulo")</f>
        <v>triángulo</v>
      </c>
      <c r="F543" s="8" t="str">
        <f>IFERROR(__xludf.DUMMYFUNCTION("GOOGLETRANSLATE(C543, ""en"", ""fr"")"),"triangle")</f>
        <v>triangle</v>
      </c>
      <c r="G543" s="8" t="str">
        <f>IFERROR(__xludf.DUMMYFUNCTION("GOOGLETRANSLATE(C543, ""en"", ""de"")"),"Dreieck")</f>
        <v>Dreieck</v>
      </c>
      <c r="H543" s="8" t="str">
        <f>IFERROR(__xludf.DUMMYFUNCTION("GOOGLETRANSLATE(C543, ""en"", ""ru"")"),"треугольник")</f>
        <v>треугольник</v>
      </c>
      <c r="I543" s="8" t="str">
        <f>IFERROR(__xludf.DUMMYFUNCTION("GOOGLETRANSLATE(C543, ""en"", ""ar"")"),"مثلث")</f>
        <v>مثلث</v>
      </c>
      <c r="J543" s="8"/>
      <c r="K543" s="7" t="str">
        <f>IFERROR(__xludf.DUMMYFUNCTION("CONCAT(REGEXREPLACE(C543,""[ ,]+"",""_""),"".mp3"")"),"triangle.mp3")</f>
        <v>triangle.mp3</v>
      </c>
      <c r="M543" s="4" t="s">
        <v>10</v>
      </c>
    </row>
    <row r="544" ht="15.75" customHeight="1">
      <c r="A544" s="1">
        <v>1912.0</v>
      </c>
      <c r="B544" s="3">
        <v>144.0</v>
      </c>
      <c r="C544" s="7" t="s">
        <v>593</v>
      </c>
      <c r="D544" s="8" t="str">
        <f>IFERROR(__xludf.DUMMYFUNCTION("GOOGLETRANSLATE(C544, ""en"", ""pt"")"),"pratos")</f>
        <v>pratos</v>
      </c>
      <c r="E544" s="8" t="str">
        <f>IFERROR(__xludf.DUMMYFUNCTION("GOOGLETRANSLATE(C544, ""en"", ""es"")"),"platillos")</f>
        <v>platillos</v>
      </c>
      <c r="F544" s="8" t="str">
        <f>IFERROR(__xludf.DUMMYFUNCTION("GOOGLETRANSLATE(C544, ""en"", ""fr"")"),"cymbales")</f>
        <v>cymbales</v>
      </c>
      <c r="G544" s="8" t="str">
        <f>IFERROR(__xludf.DUMMYFUNCTION("GOOGLETRANSLATE(C544, ""en"", ""de"")"),"Becken")</f>
        <v>Becken</v>
      </c>
      <c r="H544" s="8" t="str">
        <f>IFERROR(__xludf.DUMMYFUNCTION("GOOGLETRANSLATE(C544, ""en"", ""ru"")"),"тарелки")</f>
        <v>тарелки</v>
      </c>
      <c r="I544" s="8" t="str">
        <f>IFERROR(__xludf.DUMMYFUNCTION("GOOGLETRANSLATE(C544, ""en"", ""ar"")"),"الصنج")</f>
        <v>الصنج</v>
      </c>
      <c r="J544" s="8"/>
      <c r="K544" s="7" t="str">
        <f>IFERROR(__xludf.DUMMYFUNCTION("CONCAT(REGEXREPLACE(C544,""[ ,]+"",""_""),"".mp3"")"),"cymbals.mp3")</f>
        <v>cymbals.mp3</v>
      </c>
      <c r="M544" s="4" t="s">
        <v>10</v>
      </c>
    </row>
    <row r="545" ht="15.75" customHeight="1">
      <c r="A545" s="1">
        <v>1913.0</v>
      </c>
      <c r="B545" s="3">
        <v>144.0</v>
      </c>
      <c r="C545" s="7" t="s">
        <v>594</v>
      </c>
      <c r="D545" s="8" t="str">
        <f>IFERROR(__xludf.DUMMYFUNCTION("GOOGLETRANSLATE(C545, ""en"", ""pt"")"),"castanholas")</f>
        <v>castanholas</v>
      </c>
      <c r="E545" s="8" t="str">
        <f>IFERROR(__xludf.DUMMYFUNCTION("GOOGLETRANSLATE(C545, ""en"", ""es"")"),"castañuelas")</f>
        <v>castañuelas</v>
      </c>
      <c r="F545" s="8" t="str">
        <f>IFERROR(__xludf.DUMMYFUNCTION("GOOGLETRANSLATE(C545, ""en"", ""fr"")"),"castagnettes")</f>
        <v>castagnettes</v>
      </c>
      <c r="G545" s="8" t="str">
        <f>IFERROR(__xludf.DUMMYFUNCTION("GOOGLETRANSLATE(C545, ""en"", ""de"")"),"Kastagnetten")</f>
        <v>Kastagnetten</v>
      </c>
      <c r="H545" s="8" t="str">
        <f>IFERROR(__xludf.DUMMYFUNCTION("GOOGLETRANSLATE(C545, ""en"", ""ru"")"),"кастаньеты")</f>
        <v>кастаньеты</v>
      </c>
      <c r="I545" s="8" t="str">
        <f>IFERROR(__xludf.DUMMYFUNCTION("GOOGLETRANSLATE(C545, ""en"", ""ar"")"),"الكستنيت")</f>
        <v>الكستنيت</v>
      </c>
      <c r="J545" s="8"/>
      <c r="K545" s="7" t="str">
        <f>IFERROR(__xludf.DUMMYFUNCTION("CONCAT(REGEXREPLACE(C545,""[ ,]+"",""_""),"".mp3"")"),"castanets.mp3")</f>
        <v>castanets.mp3</v>
      </c>
      <c r="M545" s="4" t="s">
        <v>10</v>
      </c>
    </row>
    <row r="546" ht="15.75" customHeight="1">
      <c r="A546" s="1">
        <v>1914.0</v>
      </c>
      <c r="B546" s="3">
        <v>144.0</v>
      </c>
      <c r="C546" s="7" t="s">
        <v>595</v>
      </c>
      <c r="D546" s="8" t="str">
        <f>IFERROR(__xludf.DUMMYFUNCTION("GOOGLETRANSLATE(C546, ""en"", ""pt"")"),"claves")</f>
        <v>claves</v>
      </c>
      <c r="E546" s="8" t="str">
        <f>IFERROR(__xludf.DUMMYFUNCTION("GOOGLETRANSLATE(C546, ""en"", ""es"")"),"claves")</f>
        <v>claves</v>
      </c>
      <c r="F546" s="8" t="str">
        <f>IFERROR(__xludf.DUMMYFUNCTION("GOOGLETRANSLATE(C546, ""en"", ""fr"")"),"claves")</f>
        <v>claves</v>
      </c>
      <c r="G546" s="8" t="str">
        <f>IFERROR(__xludf.DUMMYFUNCTION("GOOGLETRANSLATE(C546, ""en"", ""de"")"),"Schlüssel")</f>
        <v>Schlüssel</v>
      </c>
      <c r="H546" s="8" t="str">
        <f>IFERROR(__xludf.DUMMYFUNCTION("GOOGLETRANSLATE(C546, ""en"", ""ru"")"),"клавесы")</f>
        <v>клавесы</v>
      </c>
      <c r="I546" s="8" t="str">
        <f>IFERROR(__xludf.DUMMYFUNCTION("GOOGLETRANSLATE(C546, ""en"", ""ar"")"),"كلافيس")</f>
        <v>كلافيس</v>
      </c>
      <c r="J546" s="8"/>
      <c r="K546" s="7" t="str">
        <f>IFERROR(__xludf.DUMMYFUNCTION("CONCAT(REGEXREPLACE(C546,""[ ,]+"",""_""),"".mp3"")"),"claves.mp3")</f>
        <v>claves.mp3</v>
      </c>
      <c r="M546" s="4" t="s">
        <v>10</v>
      </c>
    </row>
    <row r="547" ht="15.75" customHeight="1">
      <c r="A547" s="1">
        <v>1915.0</v>
      </c>
      <c r="B547" s="3">
        <v>144.0</v>
      </c>
      <c r="C547" s="7" t="s">
        <v>596</v>
      </c>
      <c r="D547" s="8" t="str">
        <f>IFERROR(__xludf.DUMMYFUNCTION("GOOGLETRANSLATE(C547, ""en"", ""pt"")"),"sino de vaca")</f>
        <v>sino de vaca</v>
      </c>
      <c r="E547" s="8" t="str">
        <f>IFERROR(__xludf.DUMMYFUNCTION("GOOGLETRANSLATE(C547, ""en"", ""es"")"),"cencerro")</f>
        <v>cencerro</v>
      </c>
      <c r="F547" s="8" t="str">
        <f>IFERROR(__xludf.DUMMYFUNCTION("GOOGLETRANSLATE(C547, ""en"", ""fr"")"),"sonnaille")</f>
        <v>sonnaille</v>
      </c>
      <c r="G547" s="8" t="str">
        <f>IFERROR(__xludf.DUMMYFUNCTION("GOOGLETRANSLATE(C547, ""en"", ""de"")"),"Kuhglocke")</f>
        <v>Kuhglocke</v>
      </c>
      <c r="H547" s="8" t="str">
        <f>IFERROR(__xludf.DUMMYFUNCTION("GOOGLETRANSLATE(C547, ""en"", ""ru"")"),"колокольчик")</f>
        <v>колокольчик</v>
      </c>
      <c r="I547" s="8" t="str">
        <f>IFERROR(__xludf.DUMMYFUNCTION("GOOGLETRANSLATE(C547, ""en"", ""ar"")"),"جرس البقر")</f>
        <v>جرس البقر</v>
      </c>
      <c r="J547" s="8"/>
      <c r="K547" s="7" t="str">
        <f>IFERROR(__xludf.DUMMYFUNCTION("CONCAT(REGEXREPLACE(C547,""[ ,]+"",""_""),"".mp3"")"),"cowbell.mp3")</f>
        <v>cowbell.mp3</v>
      </c>
      <c r="M547" s="4" t="s">
        <v>10</v>
      </c>
    </row>
    <row r="548" ht="15.75" customHeight="1">
      <c r="A548" s="1">
        <v>1916.0</v>
      </c>
      <c r="B548" s="3">
        <v>144.0</v>
      </c>
      <c r="C548" s="7" t="s">
        <v>597</v>
      </c>
      <c r="D548" s="8" t="str">
        <f>IFERROR(__xludf.DUMMYFUNCTION("GOOGLETRANSLATE(C548, ""en"", ""pt"")"),"sinos agogô")</f>
        <v>sinos agogô</v>
      </c>
      <c r="E548" s="8" t="str">
        <f>IFERROR(__xludf.DUMMYFUNCTION("GOOGLETRANSLATE(C548, ""en"", ""es"")"),"campanas agogô")</f>
        <v>campanas agogô</v>
      </c>
      <c r="F548" s="8" t="str">
        <f>IFERROR(__xludf.DUMMYFUNCTION("GOOGLETRANSLATE(C548, ""en"", ""fr"")"),"cloches agogô")</f>
        <v>cloches agogô</v>
      </c>
      <c r="G548" s="8" t="str">
        <f>IFERROR(__xludf.DUMMYFUNCTION("GOOGLETRANSLATE(C548, ""en"", ""de"")"),"Agogô-Glocken")</f>
        <v>Agogô-Glocken</v>
      </c>
      <c r="H548" s="8" t="str">
        <f>IFERROR(__xludf.DUMMYFUNCTION("GOOGLETRANSLATE(C548, ""en"", ""ru"")"),"колокола агого")</f>
        <v>колокола агого</v>
      </c>
      <c r="I548" s="8" t="str">
        <f>IFERROR(__xludf.DUMMYFUNCTION("GOOGLETRANSLATE(C548, ""en"", ""ar"")"),"أجراس أغوغو")</f>
        <v>أجراس أغوغو</v>
      </c>
      <c r="J548" s="8"/>
      <c r="K548" s="7" t="str">
        <f>IFERROR(__xludf.DUMMYFUNCTION("CONCAT(REGEXREPLACE(C548,""[ ,]+"",""_""),"".mp3"")"),"agogô_bells.mp3")</f>
        <v>agogô_bells.mp3</v>
      </c>
      <c r="M548" s="4" t="s">
        <v>10</v>
      </c>
    </row>
    <row r="549" ht="15.75" customHeight="1">
      <c r="A549" s="1">
        <v>1917.0</v>
      </c>
      <c r="B549" s="3">
        <v>144.0</v>
      </c>
      <c r="C549" s="3" t="s">
        <v>598</v>
      </c>
      <c r="D549" s="8" t="str">
        <f>IFERROR(__xludf.DUMMYFUNCTION("GOOGLETRANSLATE(C549, ""en"", ""pt"")"),"tambor de aço, panela de aço")</f>
        <v>tambor de aço, panela de aço</v>
      </c>
      <c r="E549" s="8" t="str">
        <f>IFERROR(__xludf.DUMMYFUNCTION("GOOGLETRANSLATE(C549, ""en"", ""es"")"),"tambor de acero, sartén de acero")</f>
        <v>tambor de acero, sartén de acero</v>
      </c>
      <c r="F549" s="8" t="str">
        <f>IFERROR(__xludf.DUMMYFUNCTION("GOOGLETRANSLATE(C549, ""en"", ""fr"")"),"tambour en acier, steelpan")</f>
        <v>tambour en acier, steelpan</v>
      </c>
      <c r="G549" s="8" t="str">
        <f>IFERROR(__xludf.DUMMYFUNCTION("GOOGLETRANSLATE(C549, ""en"", ""de"")"),"Stahltrommel, Steelpan")</f>
        <v>Stahltrommel, Steelpan</v>
      </c>
      <c r="H549" s="8" t="str">
        <f>IFERROR(__xludf.DUMMYFUNCTION("GOOGLETRANSLATE(C549, ""en"", ""ru"")"),"стальной барабан, стальная барабанная установка")</f>
        <v>стальной барабан, стальная барабанная установка</v>
      </c>
      <c r="I549" s="8" t="str">
        <f>IFERROR(__xludf.DUMMYFUNCTION("GOOGLETRANSLATE(C549, ""en"", ""ar"")"),"طبلة فولاذية، طبلة فولاذية")</f>
        <v>طبلة فولاذية، طبلة فولاذية</v>
      </c>
      <c r="J549" s="8"/>
      <c r="K549" s="7" t="str">
        <f>IFERROR(__xludf.DUMMYFUNCTION("CONCAT(REGEXREPLACE(C549,""[ ,]+"",""_""),"".mp3"")"),"steel_drum_steelpan.mp3")</f>
        <v>steel_drum_steelpan.mp3</v>
      </c>
      <c r="M549" s="4" t="s">
        <v>10</v>
      </c>
    </row>
    <row r="550" ht="15.75" customHeight="1">
      <c r="A550" s="1">
        <v>1918.0</v>
      </c>
      <c r="B550" s="3">
        <v>144.0</v>
      </c>
      <c r="C550" s="3" t="s">
        <v>599</v>
      </c>
      <c r="D550" s="8" t="str">
        <f>IFERROR(__xludf.DUMMYFUNCTION("GOOGLETRANSLATE(C550, ""en"", ""pt"")"),"kalimba, piano de polegar")</f>
        <v>kalimba, piano de polegar</v>
      </c>
      <c r="E550" s="8" t="str">
        <f>IFERROR(__xludf.DUMMYFUNCTION("GOOGLETRANSLATE(C550, ""en"", ""es"")"),"kalimba, piano de pulgar")</f>
        <v>kalimba, piano de pulgar</v>
      </c>
      <c r="F550" s="8" t="str">
        <f>IFERROR(__xludf.DUMMYFUNCTION("GOOGLETRANSLATE(C550, ""en"", ""fr"")"),"kalimba, piano à pouces")</f>
        <v>kalimba, piano à pouces</v>
      </c>
      <c r="G550" s="8" t="str">
        <f>IFERROR(__xludf.DUMMYFUNCTION("GOOGLETRANSLATE(C550, ""en"", ""de"")"),"Kalimba, Daumenklavier")</f>
        <v>Kalimba, Daumenklavier</v>
      </c>
      <c r="H550" s="8" t="str">
        <f>IFERROR(__xludf.DUMMYFUNCTION("GOOGLETRANSLATE(C550, ""en"", ""ru"")"),"калимба, пальчиковое пианино")</f>
        <v>калимба, пальчиковое пианино</v>
      </c>
      <c r="I550" s="8" t="str">
        <f>IFERROR(__xludf.DUMMYFUNCTION("GOOGLETRANSLATE(C550, ""en"", ""ar"")"),"كاليمبا، بيانو الإبهام")</f>
        <v>كاليمبا، بيانو الإبهام</v>
      </c>
      <c r="J550" s="8"/>
      <c r="K550" s="7" t="str">
        <f>IFERROR(__xludf.DUMMYFUNCTION("CONCAT(REGEXREPLACE(C550,""[ ,]+"",""_""),"".mp3"")"),"kalimba_thumb_piano.mp3")</f>
        <v>kalimba_thumb_piano.mp3</v>
      </c>
      <c r="M550" s="4" t="s">
        <v>10</v>
      </c>
    </row>
    <row r="551" ht="15.75" customHeight="1">
      <c r="A551" s="1">
        <v>1919.0</v>
      </c>
      <c r="B551" s="3">
        <v>144.0</v>
      </c>
      <c r="C551" s="7" t="s">
        <v>600</v>
      </c>
      <c r="D551" s="8" t="str">
        <f>IFERROR(__xludf.DUMMYFUNCTION("GOOGLETRANSLATE(C551, ""en"", ""pt"")"),"mbira")</f>
        <v>mbira</v>
      </c>
      <c r="E551" s="8" t="str">
        <f>IFERROR(__xludf.DUMMYFUNCTION("GOOGLETRANSLATE(C551, ""en"", ""es"")"),"mbira")</f>
        <v>mbira</v>
      </c>
      <c r="F551" s="8" t="str">
        <f>IFERROR(__xludf.DUMMYFUNCTION("GOOGLETRANSLATE(C551, ""en"", ""fr"")"),"mbira")</f>
        <v>mbira</v>
      </c>
      <c r="G551" s="8" t="str">
        <f>IFERROR(__xludf.DUMMYFUNCTION("GOOGLETRANSLATE(C551, ""en"", ""de"")"),"Mbira")</f>
        <v>Mbira</v>
      </c>
      <c r="H551" s="8" t="str">
        <f>IFERROR(__xludf.DUMMYFUNCTION("GOOGLETRANSLATE(C551, ""en"", ""ru"")"),"мбира")</f>
        <v>мбира</v>
      </c>
      <c r="I551" s="8" t="str">
        <f>IFERROR(__xludf.DUMMYFUNCTION("GOOGLETRANSLATE(C551, ""en"", ""ar"")"),"مبيرا")</f>
        <v>مبيرا</v>
      </c>
      <c r="J551" s="8"/>
      <c r="K551" s="7" t="str">
        <f>IFERROR(__xludf.DUMMYFUNCTION("CONCAT(REGEXREPLACE(C551,""[ ,]+"",""_""),"".mp3"")"),"mbira.mp3")</f>
        <v>mbira.mp3</v>
      </c>
      <c r="M551" s="4" t="s">
        <v>10</v>
      </c>
    </row>
    <row r="552" ht="15.75" customHeight="1">
      <c r="A552" s="1">
        <v>1920.0</v>
      </c>
      <c r="B552" s="3">
        <v>144.0</v>
      </c>
      <c r="C552" s="7" t="s">
        <v>601</v>
      </c>
      <c r="D552" s="8" t="str">
        <f>IFERROR(__xludf.DUMMYFUNCTION("GOOGLETRANSLATE(C552, ""en"", ""pt"")"),"pau de chuva")</f>
        <v>pau de chuva</v>
      </c>
      <c r="E552" s="8" t="str">
        <f>IFERROR(__xludf.DUMMYFUNCTION("GOOGLETRANSLATE(C552, ""en"", ""es"")"),"palo de lluvia")</f>
        <v>palo de lluvia</v>
      </c>
      <c r="F552" s="8" t="str">
        <f>IFERROR(__xludf.DUMMYFUNCTION("GOOGLETRANSLATE(C552, ""en"", ""fr"")"),"bâton de pluie")</f>
        <v>bâton de pluie</v>
      </c>
      <c r="G552" s="8" t="str">
        <f>IFERROR(__xludf.DUMMYFUNCTION("GOOGLETRANSLATE(C552, ""en"", ""de"")"),"Regenstab")</f>
        <v>Regenstab</v>
      </c>
      <c r="H552" s="8" t="str">
        <f>IFERROR(__xludf.DUMMYFUNCTION("GOOGLETRANSLATE(C552, ""en"", ""ru"")"),"дождевая палочка")</f>
        <v>дождевая палочка</v>
      </c>
      <c r="I552" s="8" t="str">
        <f>IFERROR(__xludf.DUMMYFUNCTION("GOOGLETRANSLATE(C552, ""en"", ""ar"")"),"عصا المطر")</f>
        <v>عصا المطر</v>
      </c>
      <c r="J552" s="8"/>
      <c r="K552" s="7" t="str">
        <f>IFERROR(__xludf.DUMMYFUNCTION("CONCAT(REGEXREPLACE(C552,""[ ,]+"",""_""),"".mp3"")"),"rainstick.mp3")</f>
        <v>rainstick.mp3</v>
      </c>
      <c r="M552" s="4" t="s">
        <v>10</v>
      </c>
    </row>
    <row r="553" ht="15.75" customHeight="1">
      <c r="A553" s="1">
        <v>1921.0</v>
      </c>
      <c r="B553" s="3">
        <v>144.0</v>
      </c>
      <c r="C553" s="7" t="s">
        <v>602</v>
      </c>
      <c r="D553" s="8" t="str">
        <f>IFERROR(__xludf.DUMMYFUNCTION("GOOGLETRANSLATE(C553, ""en"", ""pt"")"),"guiro")</f>
        <v>guiro</v>
      </c>
      <c r="E553" s="8" t="str">
        <f>IFERROR(__xludf.DUMMYFUNCTION("GOOGLETRANSLATE(C553, ""en"", ""es"")"),"güiro")</f>
        <v>güiro</v>
      </c>
      <c r="F553" s="8" t="str">
        <f>IFERROR(__xludf.DUMMYFUNCTION("GOOGLETRANSLATE(C553, ""en"", ""fr"")"),"geiro")</f>
        <v>geiro</v>
      </c>
      <c r="G553" s="8" t="str">
        <f>IFERROR(__xludf.DUMMYFUNCTION("GOOGLETRANSLATE(C553, ""en"", ""de"")"),"Guiro")</f>
        <v>Guiro</v>
      </c>
      <c r="H553" s="8" t="str">
        <f>IFERROR(__xludf.DUMMYFUNCTION("GOOGLETRANSLATE(C553, ""en"", ""ru"")"),"гуиро")</f>
        <v>гуиро</v>
      </c>
      <c r="I553" s="8" t="str">
        <f>IFERROR(__xludf.DUMMYFUNCTION("GOOGLETRANSLATE(C553, ""en"", ""ar"")"),"جويرو")</f>
        <v>جويرو</v>
      </c>
      <c r="J553" s="8"/>
      <c r="K553" s="7" t="str">
        <f>IFERROR(__xludf.DUMMYFUNCTION("CONCAT(REGEXREPLACE(C553,""[ ,]+"",""_""),"".mp3"")"),"guiro.mp3")</f>
        <v>guiro.mp3</v>
      </c>
      <c r="M553" s="4" t="s">
        <v>10</v>
      </c>
    </row>
    <row r="554" ht="15.75" customHeight="1">
      <c r="A554" s="1">
        <v>1922.0</v>
      </c>
      <c r="B554" s="3">
        <v>144.0</v>
      </c>
      <c r="C554" s="7" t="s">
        <v>603</v>
      </c>
      <c r="D554" s="8" t="str">
        <f>IFERROR(__xludf.DUMMYFUNCTION("GOOGLETRANSLATE(C554, ""en"", ""pt"")"),"agitador")</f>
        <v>agitador</v>
      </c>
      <c r="E554" s="8" t="str">
        <f>IFERROR(__xludf.DUMMYFUNCTION("GOOGLETRANSLATE(C554, ""en"", ""es"")"),"criba vibradora")</f>
        <v>criba vibradora</v>
      </c>
      <c r="F554" s="8" t="str">
        <f>IFERROR(__xludf.DUMMYFUNCTION("GOOGLETRANSLATE(C554, ""en"", ""fr"")"),"shaker")</f>
        <v>shaker</v>
      </c>
      <c r="G554" s="8" t="str">
        <f>IFERROR(__xludf.DUMMYFUNCTION("GOOGLETRANSLATE(C554, ""en"", ""de"")"),"Shaker")</f>
        <v>Shaker</v>
      </c>
      <c r="H554" s="8" t="str">
        <f>IFERROR(__xludf.DUMMYFUNCTION("GOOGLETRANSLATE(C554, ""en"", ""ru"")"),"шейкер")</f>
        <v>шейкер</v>
      </c>
      <c r="I554" s="8" t="str">
        <f>IFERROR(__xludf.DUMMYFUNCTION("GOOGLETRANSLATE(C554, ""en"", ""ar"")"),"شاكر")</f>
        <v>شاكر</v>
      </c>
      <c r="J554" s="8"/>
      <c r="K554" s="7" t="str">
        <f>IFERROR(__xludf.DUMMYFUNCTION("CONCAT(REGEXREPLACE(C554,""[ ,]+"",""_""),"".mp3"")"),"shaker.mp3")</f>
        <v>shaker.mp3</v>
      </c>
      <c r="M554" s="4" t="s">
        <v>10</v>
      </c>
    </row>
    <row r="555" ht="15.75" customHeight="1">
      <c r="A555" s="1">
        <v>1923.0</v>
      </c>
      <c r="B555" s="3">
        <v>144.0</v>
      </c>
      <c r="C555" s="7" t="s">
        <v>604</v>
      </c>
      <c r="D555" s="8" t="str">
        <f>IFERROR(__xludf.DUMMYFUNCTION("GOOGLETRANSLATE(C555, ""en"", ""pt"")"),"sinos")</f>
        <v>sinos</v>
      </c>
      <c r="E555" s="8" t="str">
        <f>IFERROR(__xludf.DUMMYFUNCTION("GOOGLETRANSLATE(C555, ""en"", ""es"")"),"campanillas")</f>
        <v>campanillas</v>
      </c>
      <c r="F555" s="8" t="str">
        <f>IFERROR(__xludf.DUMMYFUNCTION("GOOGLETRANSLATE(C555, ""en"", ""fr"")"),"carillons")</f>
        <v>carillons</v>
      </c>
      <c r="G555" s="8" t="str">
        <f>IFERROR(__xludf.DUMMYFUNCTION("GOOGLETRANSLATE(C555, ""en"", ""de"")"),"Glockenspiel")</f>
        <v>Glockenspiel</v>
      </c>
      <c r="H555" s="8" t="str">
        <f>IFERROR(__xludf.DUMMYFUNCTION("GOOGLETRANSLATE(C555, ""en"", ""ru"")"),"колокольчики")</f>
        <v>колокольчики</v>
      </c>
      <c r="I555" s="8" t="str">
        <f>IFERROR(__xludf.DUMMYFUNCTION("GOOGLETRANSLATE(C555, ""en"", ""ar"")"),"أجراس")</f>
        <v>أجراس</v>
      </c>
      <c r="J555" s="8"/>
      <c r="K555" s="7" t="str">
        <f>IFERROR(__xludf.DUMMYFUNCTION("CONCAT(REGEXREPLACE(C555,""[ ,]+"",""_""),"".mp3"")"),"chimes.mp3")</f>
        <v>chimes.mp3</v>
      </c>
      <c r="M555" s="4" t="s">
        <v>10</v>
      </c>
    </row>
    <row r="556" ht="15.75" customHeight="1">
      <c r="A556" s="1">
        <v>1924.0</v>
      </c>
      <c r="B556" s="3">
        <v>144.0</v>
      </c>
      <c r="C556" s="7" t="s">
        <v>605</v>
      </c>
      <c r="D556" s="8" t="str">
        <f>IFERROR(__xludf.DUMMYFUNCTION("GOOGLETRANSLATE(C556, ""en"", ""pt"")"),"sino de mão")</f>
        <v>sino de mão</v>
      </c>
      <c r="E556" s="8" t="str">
        <f>IFERROR(__xludf.DUMMYFUNCTION("GOOGLETRANSLATE(C556, ""en"", ""es"")"),"campanilla")</f>
        <v>campanilla</v>
      </c>
      <c r="F556" s="8" t="str">
        <f>IFERROR(__xludf.DUMMYFUNCTION("GOOGLETRANSLATE(C556, ""en"", ""fr"")"),"cloche à main")</f>
        <v>cloche à main</v>
      </c>
      <c r="G556" s="8" t="str">
        <f>IFERROR(__xludf.DUMMYFUNCTION("GOOGLETRANSLATE(C556, ""en"", ""de"")"),"Handglocke")</f>
        <v>Handglocke</v>
      </c>
      <c r="H556" s="8" t="str">
        <f>IFERROR(__xludf.DUMMYFUNCTION("GOOGLETRANSLATE(C556, ""en"", ""ru"")"),"ручной колокольчик")</f>
        <v>ручной колокольчик</v>
      </c>
      <c r="I556" s="8" t="str">
        <f>IFERROR(__xludf.DUMMYFUNCTION("GOOGLETRANSLATE(C556, ""en"", ""ar"")"),"جرس يدوي")</f>
        <v>جرس يدوي</v>
      </c>
      <c r="J556" s="8"/>
      <c r="K556" s="7" t="str">
        <f>IFERROR(__xludf.DUMMYFUNCTION("CONCAT(REGEXREPLACE(C556,""[ ,]+"",""_""),"".mp3"")"),"handbell.mp3")</f>
        <v>handbell.mp3</v>
      </c>
      <c r="M556" s="4" t="s">
        <v>10</v>
      </c>
    </row>
    <row r="557" ht="15.75" customHeight="1">
      <c r="A557" s="1">
        <v>1925.0</v>
      </c>
      <c r="B557" s="3">
        <v>144.0</v>
      </c>
      <c r="C557" s="7" t="s">
        <v>606</v>
      </c>
      <c r="D557" s="8" t="str">
        <f>IFERROR(__xludf.DUMMYFUNCTION("GOOGLETRANSLATE(C557, ""en"", ""pt"")"),"tigela tibetana")</f>
        <v>tigela tibetana</v>
      </c>
      <c r="E557" s="8" t="str">
        <f>IFERROR(__xludf.DUMMYFUNCTION("GOOGLETRANSLATE(C557, ""en"", ""es"")"),"cuenco tibetano")</f>
        <v>cuenco tibetano</v>
      </c>
      <c r="F557" s="8" t="str">
        <f>IFERROR(__xludf.DUMMYFUNCTION("GOOGLETRANSLATE(C557, ""en"", ""fr"")"),"bol chantant")</f>
        <v>bol chantant</v>
      </c>
      <c r="G557" s="8" t="str">
        <f>IFERROR(__xludf.DUMMYFUNCTION("GOOGLETRANSLATE(C557, ""en"", ""de"")"),"Klangschale")</f>
        <v>Klangschale</v>
      </c>
      <c r="H557" s="8" t="str">
        <f>IFERROR(__xludf.DUMMYFUNCTION("GOOGLETRANSLATE(C557, ""en"", ""ru"")"),"поющая чаша")</f>
        <v>поющая чаша</v>
      </c>
      <c r="I557" s="8" t="str">
        <f>IFERROR(__xludf.DUMMYFUNCTION("GOOGLETRANSLATE(C557, ""en"", ""ar"")"),"وعاء الغناء")</f>
        <v>وعاء الغناء</v>
      </c>
      <c r="J557" s="8"/>
      <c r="K557" s="7" t="str">
        <f>IFERROR(__xludf.DUMMYFUNCTION("CONCAT(REGEXREPLACE(C557,""[ ,]+"",""_""),"".mp3"")"),"singing_bowl.mp3")</f>
        <v>singing_bowl.mp3</v>
      </c>
      <c r="M557" s="4" t="s">
        <v>10</v>
      </c>
    </row>
    <row r="558" ht="15.75" customHeight="1">
      <c r="A558" s="1">
        <v>1926.0</v>
      </c>
      <c r="B558" s="3">
        <v>144.0</v>
      </c>
      <c r="C558" s="7" t="s">
        <v>541</v>
      </c>
      <c r="D558" s="8" t="str">
        <f>IFERROR(__xludf.DUMMYFUNCTION("GOOGLETRANSLATE(C558, ""en"", ""pt"")"),"piano")</f>
        <v>piano</v>
      </c>
      <c r="E558" s="8" t="str">
        <f>IFERROR(__xludf.DUMMYFUNCTION("GOOGLETRANSLATE(C558, ""en"", ""es"")"),"piano")</f>
        <v>piano</v>
      </c>
      <c r="F558" s="8" t="str">
        <f>IFERROR(__xludf.DUMMYFUNCTION("GOOGLETRANSLATE(C558, ""en"", ""fr"")"),"piano")</f>
        <v>piano</v>
      </c>
      <c r="G558" s="8" t="str">
        <f>IFERROR(__xludf.DUMMYFUNCTION("GOOGLETRANSLATE(C558, ""en"", ""de"")"),"Klavier")</f>
        <v>Klavier</v>
      </c>
      <c r="H558" s="8" t="str">
        <f>IFERROR(__xludf.DUMMYFUNCTION("GOOGLETRANSLATE(C558, ""en"", ""ru"")"),"фортепиано")</f>
        <v>фортепиано</v>
      </c>
      <c r="I558" s="8" t="str">
        <f>IFERROR(__xludf.DUMMYFUNCTION("GOOGLETRANSLATE(C558, ""en"", ""ar"")"),"بيانو")</f>
        <v>بيانو</v>
      </c>
      <c r="J558" s="8"/>
      <c r="K558" s="7" t="str">
        <f>IFERROR(__xludf.DUMMYFUNCTION("CONCAT(REGEXREPLACE(C558,""[ ,]+"",""_""),"".mp3"")"),"piano.mp3")</f>
        <v>piano.mp3</v>
      </c>
      <c r="M558" s="4" t="s">
        <v>10</v>
      </c>
    </row>
    <row r="559" ht="15.75" customHeight="1">
      <c r="A559" s="1">
        <v>1927.0</v>
      </c>
      <c r="B559" s="3">
        <v>144.0</v>
      </c>
      <c r="C559" s="7" t="s">
        <v>607</v>
      </c>
      <c r="D559" s="8" t="str">
        <f>IFERROR(__xludf.DUMMYFUNCTION("GOOGLETRANSLATE(C559, ""en"", ""pt"")"),"piano elétrico")</f>
        <v>piano elétrico</v>
      </c>
      <c r="E559" s="8" t="str">
        <f>IFERROR(__xludf.DUMMYFUNCTION("GOOGLETRANSLATE(C559, ""en"", ""es"")"),"piano eléctrico")</f>
        <v>piano eléctrico</v>
      </c>
      <c r="F559" s="8" t="str">
        <f>IFERROR(__xludf.DUMMYFUNCTION("GOOGLETRANSLATE(C559, ""en"", ""fr"")"),"piano électrique")</f>
        <v>piano électrique</v>
      </c>
      <c r="G559" s="8" t="str">
        <f>IFERROR(__xludf.DUMMYFUNCTION("GOOGLETRANSLATE(C559, ""en"", ""de"")"),"E-Piano")</f>
        <v>E-Piano</v>
      </c>
      <c r="H559" s="8" t="str">
        <f>IFERROR(__xludf.DUMMYFUNCTION("GOOGLETRANSLATE(C559, ""en"", ""ru"")"),"электропианино")</f>
        <v>электропианино</v>
      </c>
      <c r="I559" s="8" t="str">
        <f>IFERROR(__xludf.DUMMYFUNCTION("GOOGLETRANSLATE(C559, ""en"", ""ar"")"),"بيانو كهربائي")</f>
        <v>بيانو كهربائي</v>
      </c>
      <c r="J559" s="8"/>
      <c r="K559" s="7" t="str">
        <f>IFERROR(__xludf.DUMMYFUNCTION("CONCAT(REGEXREPLACE(C559,""[ ,]+"",""_""),"".mp3"")"),"electric_piano.mp3")</f>
        <v>electric_piano.mp3</v>
      </c>
      <c r="M559" s="4" t="s">
        <v>10</v>
      </c>
    </row>
    <row r="560" ht="15.75" customHeight="1">
      <c r="A560" s="1">
        <v>1928.0</v>
      </c>
      <c r="B560" s="3">
        <v>144.0</v>
      </c>
      <c r="C560" s="7" t="s">
        <v>608</v>
      </c>
      <c r="D560" s="8" t="str">
        <f>IFERROR(__xludf.DUMMYFUNCTION("GOOGLETRANSLATE(C560, ""en"", ""pt"")"),"piano digital")</f>
        <v>piano digital</v>
      </c>
      <c r="E560" s="8" t="str">
        <f>IFERROR(__xludf.DUMMYFUNCTION("GOOGLETRANSLATE(C560, ""en"", ""es"")"),"piano digital")</f>
        <v>piano digital</v>
      </c>
      <c r="F560" s="8" t="str">
        <f>IFERROR(__xludf.DUMMYFUNCTION("GOOGLETRANSLATE(C560, ""en"", ""fr"")"),"piano numérique")</f>
        <v>piano numérique</v>
      </c>
      <c r="G560" s="8" t="str">
        <f>IFERROR(__xludf.DUMMYFUNCTION("GOOGLETRANSLATE(C560, ""en"", ""de"")"),"Digitalpiano")</f>
        <v>Digitalpiano</v>
      </c>
      <c r="H560" s="8" t="str">
        <f>IFERROR(__xludf.DUMMYFUNCTION("GOOGLETRANSLATE(C560, ""en"", ""ru"")"),"цифровое пианино")</f>
        <v>цифровое пианино</v>
      </c>
      <c r="I560" s="8" t="str">
        <f>IFERROR(__xludf.DUMMYFUNCTION("GOOGLETRANSLATE(C560, ""en"", ""ar"")"),"بيانو رقمي")</f>
        <v>بيانو رقمي</v>
      </c>
      <c r="J560" s="8"/>
      <c r="K560" s="7" t="str">
        <f>IFERROR(__xludf.DUMMYFUNCTION("CONCAT(REGEXREPLACE(C560,""[ ,]+"",""_""),"".mp3"")"),"digital_piano.mp3")</f>
        <v>digital_piano.mp3</v>
      </c>
      <c r="M560" s="4" t="s">
        <v>10</v>
      </c>
    </row>
    <row r="561" ht="15.75" customHeight="1">
      <c r="A561" s="1">
        <v>1929.0</v>
      </c>
      <c r="B561" s="3">
        <v>144.0</v>
      </c>
      <c r="C561" s="7" t="s">
        <v>609</v>
      </c>
      <c r="D561" s="8" t="str">
        <f>IFERROR(__xludf.DUMMYFUNCTION("GOOGLETRANSLATE(C561, ""en"", ""pt"")"),"órgão")</f>
        <v>órgão</v>
      </c>
      <c r="E561" s="8" t="str">
        <f>IFERROR(__xludf.DUMMYFUNCTION("GOOGLETRANSLATE(C561, ""en"", ""es"")"),"órgano")</f>
        <v>órgano</v>
      </c>
      <c r="F561" s="8" t="str">
        <f>IFERROR(__xludf.DUMMYFUNCTION("GOOGLETRANSLATE(C561, ""en"", ""fr"")"),"organe")</f>
        <v>organe</v>
      </c>
      <c r="G561" s="8" t="str">
        <f>IFERROR(__xludf.DUMMYFUNCTION("GOOGLETRANSLATE(C561, ""en"", ""de"")"),"Orgel")</f>
        <v>Orgel</v>
      </c>
      <c r="H561" s="8" t="str">
        <f>IFERROR(__xludf.DUMMYFUNCTION("GOOGLETRANSLATE(C561, ""en"", ""ru"")"),"орган")</f>
        <v>орган</v>
      </c>
      <c r="I561" s="8" t="str">
        <f>IFERROR(__xludf.DUMMYFUNCTION("GOOGLETRANSLATE(C561, ""en"", ""ar"")"),"العضو")</f>
        <v>العضو</v>
      </c>
      <c r="J561" s="8"/>
      <c r="K561" s="7" t="str">
        <f>IFERROR(__xludf.DUMMYFUNCTION("CONCAT(REGEXREPLACE(C561,""[ ,]+"",""_""),"".mp3"")"),"organ.mp3")</f>
        <v>organ.mp3</v>
      </c>
      <c r="M561" s="4" t="s">
        <v>10</v>
      </c>
    </row>
    <row r="562" ht="15.75" customHeight="1">
      <c r="A562" s="1">
        <v>1930.0</v>
      </c>
      <c r="B562" s="3">
        <v>144.0</v>
      </c>
      <c r="C562" s="7" t="s">
        <v>610</v>
      </c>
      <c r="D562" s="8" t="str">
        <f>IFERROR(__xludf.DUMMYFUNCTION("GOOGLETRANSLATE(C562, ""en"", ""pt"")"),"órgão de tubos")</f>
        <v>órgão de tubos</v>
      </c>
      <c r="E562" s="8" t="str">
        <f>IFERROR(__xludf.DUMMYFUNCTION("GOOGLETRANSLATE(C562, ""en"", ""es"")"),"órgano de tubos")</f>
        <v>órgano de tubos</v>
      </c>
      <c r="F562" s="8" t="str">
        <f>IFERROR(__xludf.DUMMYFUNCTION("GOOGLETRANSLATE(C562, ""en"", ""fr"")"),"orgue à tuyaux")</f>
        <v>orgue à tuyaux</v>
      </c>
      <c r="G562" s="8" t="str">
        <f>IFERROR(__xludf.DUMMYFUNCTION("GOOGLETRANSLATE(C562, ""en"", ""de"")"),"Pfeifenorgel")</f>
        <v>Pfeifenorgel</v>
      </c>
      <c r="H562" s="8" t="str">
        <f>IFERROR(__xludf.DUMMYFUNCTION("GOOGLETRANSLATE(C562, ""en"", ""ru"")"),"орган")</f>
        <v>орган</v>
      </c>
      <c r="I562" s="8" t="str">
        <f>IFERROR(__xludf.DUMMYFUNCTION("GOOGLETRANSLATE(C562, ""en"", ""ar"")"),"آلة الأرغن الأنبوبية")</f>
        <v>آلة الأرغن الأنبوبية</v>
      </c>
      <c r="J562" s="8"/>
      <c r="K562" s="7" t="str">
        <f>IFERROR(__xludf.DUMMYFUNCTION("CONCAT(REGEXREPLACE(C562,""[ ,]+"",""_""),"".mp3"")"),"pipe_organ.mp3")</f>
        <v>pipe_organ.mp3</v>
      </c>
      <c r="M562" s="4" t="s">
        <v>10</v>
      </c>
    </row>
    <row r="563" ht="15.75" customHeight="1">
      <c r="A563" s="1">
        <v>1931.0</v>
      </c>
      <c r="B563" s="3">
        <v>144.0</v>
      </c>
      <c r="C563" s="7" t="s">
        <v>611</v>
      </c>
      <c r="D563" s="8" t="str">
        <f>IFERROR(__xludf.DUMMYFUNCTION("GOOGLETRANSLATE(C563, ""en"", ""pt"")"),"órgão de palhetas")</f>
        <v>órgão de palhetas</v>
      </c>
      <c r="E563" s="8" t="str">
        <f>IFERROR(__xludf.DUMMYFUNCTION("GOOGLETRANSLATE(C563, ""en"", ""es"")"),"órgano de lengüetas")</f>
        <v>órgano de lengüetas</v>
      </c>
      <c r="F563" s="8" t="str">
        <f>IFERROR(__xludf.DUMMYFUNCTION("GOOGLETRANSLATE(C563, ""en"", ""fr"")"),"orgue à anches")</f>
        <v>orgue à anches</v>
      </c>
      <c r="G563" s="8" t="str">
        <f>IFERROR(__xludf.DUMMYFUNCTION("GOOGLETRANSLATE(C563, ""en"", ""de"")"),"Harmonium")</f>
        <v>Harmonium</v>
      </c>
      <c r="H563" s="8" t="str">
        <f>IFERROR(__xludf.DUMMYFUNCTION("GOOGLETRANSLATE(C563, ""en"", ""ru"")"),"тростниковый орган")</f>
        <v>тростниковый орган</v>
      </c>
      <c r="I563" s="8" t="str">
        <f>IFERROR(__xludf.DUMMYFUNCTION("GOOGLETRANSLATE(C563, ""en"", ""ar"")"),"آلة النفخ الخشبية")</f>
        <v>آلة النفخ الخشبية</v>
      </c>
      <c r="J563" s="8"/>
      <c r="K563" s="7" t="str">
        <f>IFERROR(__xludf.DUMMYFUNCTION("CONCAT(REGEXREPLACE(C563,""[ ,]+"",""_""),"".mp3"")"),"reed_organ.mp3")</f>
        <v>reed_organ.mp3</v>
      </c>
      <c r="M563" s="4" t="s">
        <v>10</v>
      </c>
    </row>
    <row r="564" ht="15.75" customHeight="1">
      <c r="A564" s="1">
        <v>1932.0</v>
      </c>
      <c r="B564" s="3">
        <v>144.0</v>
      </c>
      <c r="C564" s="7" t="s">
        <v>612</v>
      </c>
      <c r="D564" s="8" t="str">
        <f>IFERROR(__xludf.DUMMYFUNCTION("GOOGLETRANSLATE(C564, ""en"", ""pt"")"),"harmônio")</f>
        <v>harmônio</v>
      </c>
      <c r="E564" s="8" t="str">
        <f>IFERROR(__xludf.DUMMYFUNCTION("GOOGLETRANSLATE(C564, ""en"", ""es"")"),"armonio")</f>
        <v>armonio</v>
      </c>
      <c r="F564" s="8" t="str">
        <f>IFERROR(__xludf.DUMMYFUNCTION("GOOGLETRANSLATE(C564, ""en"", ""fr"")"),"harmonium")</f>
        <v>harmonium</v>
      </c>
      <c r="G564" s="8" t="str">
        <f>IFERROR(__xludf.DUMMYFUNCTION("GOOGLETRANSLATE(C564, ""en"", ""de"")"),"Harmonium")</f>
        <v>Harmonium</v>
      </c>
      <c r="H564" s="8" t="str">
        <f>IFERROR(__xludf.DUMMYFUNCTION("GOOGLETRANSLATE(C564, ""en"", ""ru"")"),"гармониум")</f>
        <v>гармониум</v>
      </c>
      <c r="I564" s="8" t="str">
        <f>IFERROR(__xludf.DUMMYFUNCTION("GOOGLETRANSLATE(C564, ""en"", ""ar"")"),"الأورغ")</f>
        <v>الأورغ</v>
      </c>
      <c r="J564" s="8"/>
      <c r="K564" s="7" t="str">
        <f>IFERROR(__xludf.DUMMYFUNCTION("CONCAT(REGEXREPLACE(C564,""[ ,]+"",""_""),"".mp3"")"),"harmonium.mp3")</f>
        <v>harmonium.mp3</v>
      </c>
      <c r="M564" s="4" t="s">
        <v>10</v>
      </c>
    </row>
    <row r="565" ht="15.75" customHeight="1">
      <c r="A565" s="1">
        <v>1933.0</v>
      </c>
      <c r="B565" s="3">
        <v>144.0</v>
      </c>
      <c r="C565" s="7" t="s">
        <v>544</v>
      </c>
      <c r="D565" s="8" t="str">
        <f>IFERROR(__xludf.DUMMYFUNCTION("GOOGLETRANSLATE(C565, ""en"", ""pt"")"),"cravo")</f>
        <v>cravo</v>
      </c>
      <c r="E565" s="8" t="str">
        <f>IFERROR(__xludf.DUMMYFUNCTION("GOOGLETRANSLATE(C565, ""en"", ""es"")"),"clave")</f>
        <v>clave</v>
      </c>
      <c r="F565" s="8" t="str">
        <f>IFERROR(__xludf.DUMMYFUNCTION("GOOGLETRANSLATE(C565, ""en"", ""fr"")"),"clavecin")</f>
        <v>clavecin</v>
      </c>
      <c r="G565" s="8" t="str">
        <f>IFERROR(__xludf.DUMMYFUNCTION("GOOGLETRANSLATE(C565, ""en"", ""de"")"),"Cembalo")</f>
        <v>Cembalo</v>
      </c>
      <c r="H565" s="8" t="str">
        <f>IFERROR(__xludf.DUMMYFUNCTION("GOOGLETRANSLATE(C565, ""en"", ""ru"")"),"клавесин")</f>
        <v>клавесин</v>
      </c>
      <c r="I565" s="8" t="str">
        <f>IFERROR(__xludf.DUMMYFUNCTION("GOOGLETRANSLATE(C565, ""en"", ""ar"")"),"بيان القيثاري")</f>
        <v>بيان القيثاري</v>
      </c>
      <c r="J565" s="8"/>
      <c r="K565" s="7" t="str">
        <f>IFERROR(__xludf.DUMMYFUNCTION("CONCAT(REGEXREPLACE(C565,""[ ,]+"",""_""),"".mp3"")"),"harpsichord.mp3")</f>
        <v>harpsichord.mp3</v>
      </c>
      <c r="M565" s="4" t="s">
        <v>10</v>
      </c>
    </row>
    <row r="566" ht="15.75" customHeight="1">
      <c r="A566" s="1">
        <v>1934.0</v>
      </c>
      <c r="B566" s="3">
        <v>144.0</v>
      </c>
      <c r="C566" s="7" t="s">
        <v>613</v>
      </c>
      <c r="D566" s="8" t="str">
        <f>IFERROR(__xludf.DUMMYFUNCTION("GOOGLETRANSLATE(C566, ""en"", ""pt"")"),"clavinete")</f>
        <v>clavinete</v>
      </c>
      <c r="E566" s="8" t="str">
        <f>IFERROR(__xludf.DUMMYFUNCTION("GOOGLETRANSLATE(C566, ""en"", ""es"")"),"clavinet")</f>
        <v>clavinet</v>
      </c>
      <c r="F566" s="8" t="str">
        <f>IFERROR(__xludf.DUMMYFUNCTION("GOOGLETRANSLATE(C566, ""en"", ""fr"")"),"Clavinet")</f>
        <v>Clavinet</v>
      </c>
      <c r="G566" s="8" t="str">
        <f>IFERROR(__xludf.DUMMYFUNCTION("GOOGLETRANSLATE(C566, ""en"", ""de"")"),"Clavinet")</f>
        <v>Clavinet</v>
      </c>
      <c r="H566" s="8" t="str">
        <f>IFERROR(__xludf.DUMMYFUNCTION("GOOGLETRANSLATE(C566, ""en"", ""ru"")"),"клавинет")</f>
        <v>клавинет</v>
      </c>
      <c r="I566" s="8" t="str">
        <f>IFERROR(__xludf.DUMMYFUNCTION("GOOGLETRANSLATE(C566, ""en"", ""ar"")"),"الكلافينيت")</f>
        <v>الكلافينيت</v>
      </c>
      <c r="J566" s="8"/>
      <c r="K566" s="7" t="str">
        <f>IFERROR(__xludf.DUMMYFUNCTION("CONCAT(REGEXREPLACE(C566,""[ ,]+"",""_""),"".mp3"")"),"clavinet.mp3")</f>
        <v>clavinet.mp3</v>
      </c>
      <c r="M566" s="4" t="s">
        <v>10</v>
      </c>
    </row>
    <row r="567" ht="15.75" customHeight="1">
      <c r="A567" s="1">
        <v>1935.0</v>
      </c>
      <c r="B567" s="3">
        <v>144.0</v>
      </c>
      <c r="C567" s="7" t="s">
        <v>591</v>
      </c>
      <c r="D567" s="8" t="str">
        <f>IFERROR(__xludf.DUMMYFUNCTION("GOOGLETRANSLATE(C567, ""en"", ""pt"")"),"celesta")</f>
        <v>celesta</v>
      </c>
      <c r="E567" s="8" t="str">
        <f>IFERROR(__xludf.DUMMYFUNCTION("GOOGLETRANSLATE(C567, ""en"", ""es"")"),"celesta")</f>
        <v>celesta</v>
      </c>
      <c r="F567" s="8" t="str">
        <f>IFERROR(__xludf.DUMMYFUNCTION("GOOGLETRANSLATE(C567, ""en"", ""fr"")"),"Célesta")</f>
        <v>Célesta</v>
      </c>
      <c r="G567" s="8" t="str">
        <f>IFERROR(__xludf.DUMMYFUNCTION("GOOGLETRANSLATE(C567, ""en"", ""de"")"),"Celesta")</f>
        <v>Celesta</v>
      </c>
      <c r="H567" s="8" t="str">
        <f>IFERROR(__xludf.DUMMYFUNCTION("GOOGLETRANSLATE(C567, ""en"", ""ru"")"),"челеста")</f>
        <v>челеста</v>
      </c>
      <c r="I567" s="8" t="str">
        <f>IFERROR(__xludf.DUMMYFUNCTION("GOOGLETRANSLATE(C567, ""en"", ""ar"")"),"سيليستا")</f>
        <v>سيليستا</v>
      </c>
      <c r="J567" s="8"/>
      <c r="K567" s="7" t="str">
        <f>IFERROR(__xludf.DUMMYFUNCTION("CONCAT(REGEXREPLACE(C567,""[ ,]+"",""_""),"".mp3"")"),"celesta.mp3")</f>
        <v>celesta.mp3</v>
      </c>
      <c r="M567" s="4" t="s">
        <v>10</v>
      </c>
    </row>
    <row r="568" ht="15.75" customHeight="1">
      <c r="A568" s="1">
        <v>1936.0</v>
      </c>
      <c r="B568" s="3">
        <v>144.0</v>
      </c>
      <c r="C568" s="7" t="s">
        <v>614</v>
      </c>
      <c r="D568" s="8" t="str">
        <f>IFERROR(__xludf.DUMMYFUNCTION("GOOGLETRANSLATE(C568, ""en"", ""pt"")"),"sintetizador")</f>
        <v>sintetizador</v>
      </c>
      <c r="E568" s="8" t="str">
        <f>IFERROR(__xludf.DUMMYFUNCTION("GOOGLETRANSLATE(C568, ""en"", ""es"")"),"sintetizador")</f>
        <v>sintetizador</v>
      </c>
      <c r="F568" s="8" t="str">
        <f>IFERROR(__xludf.DUMMYFUNCTION("GOOGLETRANSLATE(C568, ""en"", ""fr"")"),"synthétiseur")</f>
        <v>synthétiseur</v>
      </c>
      <c r="G568" s="8" t="str">
        <f>IFERROR(__xludf.DUMMYFUNCTION("GOOGLETRANSLATE(C568, ""en"", ""de"")"),"Synthesizer")</f>
        <v>Synthesizer</v>
      </c>
      <c r="H568" s="8" t="str">
        <f>IFERROR(__xludf.DUMMYFUNCTION("GOOGLETRANSLATE(C568, ""en"", ""ru"")"),"синтезатор")</f>
        <v>синтезатор</v>
      </c>
      <c r="I568" s="8" t="str">
        <f>IFERROR(__xludf.DUMMYFUNCTION("GOOGLETRANSLATE(C568, ""en"", ""ar"")"),"مُركِّب صوتي")</f>
        <v>مُركِّب صوتي</v>
      </c>
      <c r="J568" s="8"/>
      <c r="K568" s="7" t="str">
        <f>IFERROR(__xludf.DUMMYFUNCTION("CONCAT(REGEXREPLACE(C568,""[ ,]+"",""_""),"".mp3"")"),"synthesizer.mp3")</f>
        <v>synthesizer.mp3</v>
      </c>
      <c r="M568" s="4" t="s">
        <v>10</v>
      </c>
    </row>
    <row r="569" ht="15.75" customHeight="1">
      <c r="A569" s="1">
        <v>1937.0</v>
      </c>
      <c r="B569" s="3">
        <v>144.0</v>
      </c>
      <c r="C569" s="7" t="s">
        <v>615</v>
      </c>
      <c r="D569" s="8" t="str">
        <f>IFERROR(__xludf.DUMMYFUNCTION("GOOGLETRANSLATE(C569, ""en"", ""pt"")"),"teclado MIDI")</f>
        <v>teclado MIDI</v>
      </c>
      <c r="E569" s="8" t="str">
        <f>IFERROR(__xludf.DUMMYFUNCTION("GOOGLETRANSLATE(C569, ""en"", ""es"")"),"teclado MIDI")</f>
        <v>teclado MIDI</v>
      </c>
      <c r="F569" s="8" t="str">
        <f>IFERROR(__xludf.DUMMYFUNCTION("GOOGLETRANSLATE(C569, ""en"", ""fr"")"),"Clavier MIDI")</f>
        <v>Clavier MIDI</v>
      </c>
      <c r="G569" s="8" t="str">
        <f>IFERROR(__xludf.DUMMYFUNCTION("GOOGLETRANSLATE(C569, ""en"", ""de"")"),"MIDI-Keyboard")</f>
        <v>MIDI-Keyboard</v>
      </c>
      <c r="H569" s="8" t="str">
        <f>IFERROR(__xludf.DUMMYFUNCTION("GOOGLETRANSLATE(C569, ""en"", ""ru"")"),"MIDI-клавиатура")</f>
        <v>MIDI-клавиатура</v>
      </c>
      <c r="I569" s="8" t="str">
        <f>IFERROR(__xludf.DUMMYFUNCTION("GOOGLETRANSLATE(C569, ""en"", ""ar"")"),"لوحة مفاتيح MIDI")</f>
        <v>لوحة مفاتيح MIDI</v>
      </c>
      <c r="J569" s="8"/>
      <c r="K569" s="7" t="str">
        <f>IFERROR(__xludf.DUMMYFUNCTION("CONCAT(REGEXREPLACE(C569,""[ ,]+"",""_""),"".mp3"")"),"MIDI_keyboard.mp3")</f>
        <v>MIDI_keyboard.mp3</v>
      </c>
      <c r="M569" s="4" t="s">
        <v>10</v>
      </c>
    </row>
    <row r="570" ht="15.75" customHeight="1">
      <c r="A570" s="1">
        <v>1938.0</v>
      </c>
      <c r="B570" s="3">
        <v>144.0</v>
      </c>
      <c r="C570" s="7" t="s">
        <v>614</v>
      </c>
      <c r="D570" s="8" t="str">
        <f>IFERROR(__xludf.DUMMYFUNCTION("GOOGLETRANSLATE(C570, ""en"", ""pt"")"),"sintetizador")</f>
        <v>sintetizador</v>
      </c>
      <c r="E570" s="8" t="str">
        <f>IFERROR(__xludf.DUMMYFUNCTION("GOOGLETRANSLATE(C570, ""en"", ""es"")"),"sintetizador")</f>
        <v>sintetizador</v>
      </c>
      <c r="F570" s="8" t="str">
        <f>IFERROR(__xludf.DUMMYFUNCTION("GOOGLETRANSLATE(C570, ""en"", ""fr"")"),"synthétiseur")</f>
        <v>synthétiseur</v>
      </c>
      <c r="G570" s="8" t="str">
        <f>IFERROR(__xludf.DUMMYFUNCTION("GOOGLETRANSLATE(C570, ""en"", ""de"")"),"Synthesizer")</f>
        <v>Synthesizer</v>
      </c>
      <c r="H570" s="8" t="str">
        <f>IFERROR(__xludf.DUMMYFUNCTION("GOOGLETRANSLATE(C570, ""en"", ""ru"")"),"синтезатор")</f>
        <v>синтезатор</v>
      </c>
      <c r="I570" s="8" t="str">
        <f>IFERROR(__xludf.DUMMYFUNCTION("GOOGLETRANSLATE(C570, ""en"", ""ar"")"),"مُركِّب صوتي")</f>
        <v>مُركِّب صوتي</v>
      </c>
      <c r="J570" s="8"/>
      <c r="K570" s="7" t="str">
        <f>IFERROR(__xludf.DUMMYFUNCTION("CONCAT(REGEXREPLACE(C570,""[ ,]+"",""_""),"".mp3"")"),"synthesizer.mp3")</f>
        <v>synthesizer.mp3</v>
      </c>
      <c r="M570" s="4" t="s">
        <v>10</v>
      </c>
    </row>
    <row r="571" ht="15.75" customHeight="1">
      <c r="A571" s="1">
        <v>1939.0</v>
      </c>
      <c r="B571" s="3">
        <v>144.0</v>
      </c>
      <c r="C571" s="7" t="s">
        <v>616</v>
      </c>
      <c r="D571" s="8" t="str">
        <f>IFERROR(__xludf.DUMMYFUNCTION("GOOGLETRANSLATE(C571, ""en"", ""pt"")"),"amostrador")</f>
        <v>amostrador</v>
      </c>
      <c r="E571" s="8" t="str">
        <f>IFERROR(__xludf.DUMMYFUNCTION("GOOGLETRANSLATE(C571, ""en"", ""es"")"),"dechado")</f>
        <v>dechado</v>
      </c>
      <c r="F571" s="8" t="str">
        <f>IFERROR(__xludf.DUMMYFUNCTION("GOOGLETRANSLATE(C571, ""en"", ""fr"")"),"échantillonneur")</f>
        <v>échantillonneur</v>
      </c>
      <c r="G571" s="8" t="str">
        <f>IFERROR(__xludf.DUMMYFUNCTION("GOOGLETRANSLATE(C571, ""en"", ""de"")"),"Probennehmer")</f>
        <v>Probennehmer</v>
      </c>
      <c r="H571" s="8" t="str">
        <f>IFERROR(__xludf.DUMMYFUNCTION("GOOGLETRANSLATE(C571, ""en"", ""ru"")"),"пробник")</f>
        <v>пробник</v>
      </c>
      <c r="I571" s="8" t="str">
        <f>IFERROR(__xludf.DUMMYFUNCTION("GOOGLETRANSLATE(C571, ""en"", ""ar"")"),"عينة")</f>
        <v>عينة</v>
      </c>
      <c r="J571" s="8"/>
      <c r="K571" s="7" t="str">
        <f>IFERROR(__xludf.DUMMYFUNCTION("CONCAT(REGEXREPLACE(C571,""[ ,]+"",""_""),"".mp3"")"),"sampler.mp3")</f>
        <v>sampler.mp3</v>
      </c>
      <c r="M571" s="4" t="s">
        <v>10</v>
      </c>
    </row>
    <row r="572" ht="15.75" customHeight="1">
      <c r="A572" s="1">
        <v>1940.0</v>
      </c>
      <c r="B572" s="3">
        <v>144.0</v>
      </c>
      <c r="C572" s="7" t="s">
        <v>617</v>
      </c>
      <c r="D572" s="8" t="str">
        <f>IFERROR(__xludf.DUMMYFUNCTION("GOOGLETRANSLATE(C572, ""en"", ""pt"")"),"máquina de tambor")</f>
        <v>máquina de tambor</v>
      </c>
      <c r="E572" s="8" t="str">
        <f>IFERROR(__xludf.DUMMYFUNCTION("GOOGLETRANSLATE(C572, ""en"", ""es"")"),"caja de ritmos")</f>
        <v>caja de ritmos</v>
      </c>
      <c r="F572" s="8" t="str">
        <f>IFERROR(__xludf.DUMMYFUNCTION("GOOGLETRANSLATE(C572, ""en"", ""fr"")"),"boîte à rythmes")</f>
        <v>boîte à rythmes</v>
      </c>
      <c r="G572" s="8" t="str">
        <f>IFERROR(__xludf.DUMMYFUNCTION("GOOGLETRANSLATE(C572, ""en"", ""de"")"),"Drumcomputer")</f>
        <v>Drumcomputer</v>
      </c>
      <c r="H572" s="8" t="str">
        <f>IFERROR(__xludf.DUMMYFUNCTION("GOOGLETRANSLATE(C572, ""en"", ""ru"")"),"драм-машина")</f>
        <v>драм-машина</v>
      </c>
      <c r="I572" s="8" t="str">
        <f>IFERROR(__xludf.DUMMYFUNCTION("GOOGLETRANSLATE(C572, ""en"", ""ar"")"),"آلة الطبول")</f>
        <v>آلة الطبول</v>
      </c>
      <c r="J572" s="8"/>
      <c r="K572" s="7" t="str">
        <f>IFERROR(__xludf.DUMMYFUNCTION("CONCAT(REGEXREPLACE(C572,""[ ,]+"",""_""),"".mp3"")"),"drum_machine.mp3")</f>
        <v>drum_machine.mp3</v>
      </c>
      <c r="M572" s="4" t="s">
        <v>10</v>
      </c>
    </row>
    <row r="573" ht="15.75" customHeight="1">
      <c r="A573" s="1">
        <v>1941.0</v>
      </c>
      <c r="B573" s="3">
        <v>144.0</v>
      </c>
      <c r="C573" s="7" t="s">
        <v>618</v>
      </c>
      <c r="D573" s="8" t="str">
        <f>IFERROR(__xludf.DUMMYFUNCTION("GOOGLETRANSLATE(C573, ""en"", ""pt"")"),"sequenciador")</f>
        <v>sequenciador</v>
      </c>
      <c r="E573" s="8" t="str">
        <f>IFERROR(__xludf.DUMMYFUNCTION("GOOGLETRANSLATE(C573, ""en"", ""es"")"),"secuenciador")</f>
        <v>secuenciador</v>
      </c>
      <c r="F573" s="8" t="str">
        <f>IFERROR(__xludf.DUMMYFUNCTION("GOOGLETRANSLATE(C573, ""en"", ""fr"")"),"séquenceur")</f>
        <v>séquenceur</v>
      </c>
      <c r="G573" s="8" t="str">
        <f>IFERROR(__xludf.DUMMYFUNCTION("GOOGLETRANSLATE(C573, ""en"", ""de"")"),"Sequenzer")</f>
        <v>Sequenzer</v>
      </c>
      <c r="H573" s="8" t="str">
        <f>IFERROR(__xludf.DUMMYFUNCTION("GOOGLETRANSLATE(C573, ""en"", ""ru"")"),"секвенсор")</f>
        <v>секвенсор</v>
      </c>
      <c r="I573" s="8" t="str">
        <f>IFERROR(__xludf.DUMMYFUNCTION("GOOGLETRANSLATE(C573, ""en"", ""ar"")"),"جهاز التسلسل")</f>
        <v>جهاز التسلسل</v>
      </c>
      <c r="J573" s="8"/>
      <c r="K573" s="7" t="str">
        <f>IFERROR(__xludf.DUMMYFUNCTION("CONCAT(REGEXREPLACE(C573,""[ ,]+"",""_""),"".mp3"")"),"sequencer.mp3")</f>
        <v>sequencer.mp3</v>
      </c>
      <c r="M573" s="4" t="s">
        <v>10</v>
      </c>
    </row>
    <row r="574" ht="15.75" customHeight="1">
      <c r="A574" s="1">
        <v>1942.0</v>
      </c>
      <c r="B574" s="3">
        <v>144.0</v>
      </c>
      <c r="C574" s="7" t="s">
        <v>619</v>
      </c>
      <c r="D574" s="8" t="str">
        <f>IFERROR(__xludf.DUMMYFUNCTION("GOOGLETRANSLATE(C574, ""en"", ""pt"")"),"theremin")</f>
        <v>theremin</v>
      </c>
      <c r="E574" s="8" t="str">
        <f>IFERROR(__xludf.DUMMYFUNCTION("GOOGLETRANSLATE(C574, ""en"", ""es"")"),"theremin")</f>
        <v>theremin</v>
      </c>
      <c r="F574" s="8" t="str">
        <f>IFERROR(__xludf.DUMMYFUNCTION("GOOGLETRANSLATE(C574, ""en"", ""fr"")"),"thérémine")</f>
        <v>thérémine</v>
      </c>
      <c r="G574" s="8" t="str">
        <f>IFERROR(__xludf.DUMMYFUNCTION("GOOGLETRANSLATE(C574, ""en"", ""de"")"),"Theremin")</f>
        <v>Theremin</v>
      </c>
      <c r="H574" s="8" t="str">
        <f>IFERROR(__xludf.DUMMYFUNCTION("GOOGLETRANSLATE(C574, ""en"", ""ru"")"),"термен")</f>
        <v>термен</v>
      </c>
      <c r="I574" s="8" t="str">
        <f>IFERROR(__xludf.DUMMYFUNCTION("GOOGLETRANSLATE(C574, ""en"", ""ar"")"),"ثيرمين")</f>
        <v>ثيرمين</v>
      </c>
      <c r="J574" s="8"/>
      <c r="K574" s="7" t="str">
        <f>IFERROR(__xludf.DUMMYFUNCTION("CONCAT(REGEXREPLACE(C574,""[ ,]+"",""_""),"".mp3"")"),"theremin.mp3")</f>
        <v>theremin.mp3</v>
      </c>
      <c r="M574" s="4" t="s">
        <v>10</v>
      </c>
    </row>
    <row r="575" ht="15.75" customHeight="1">
      <c r="A575" s="1">
        <v>1943.0</v>
      </c>
      <c r="B575" s="3">
        <v>144.0</v>
      </c>
      <c r="C575" s="7" t="s">
        <v>620</v>
      </c>
      <c r="D575" s="8" t="str">
        <f>IFERROR(__xludf.DUMMYFUNCTION("GOOGLETRANSLATE(C575, ""en"", ""pt"")"),"ondes Martenot")</f>
        <v>ondes Martenot</v>
      </c>
      <c r="E575" s="8" t="str">
        <f>IFERROR(__xludf.DUMMYFUNCTION("GOOGLETRANSLATE(C575, ""en"", ""es"")"),"ondas Martenot")</f>
        <v>ondas Martenot</v>
      </c>
      <c r="F575" s="8" t="str">
        <f>IFERROR(__xludf.DUMMYFUNCTION("GOOGLETRANSLATE(C575, ""en"", ""fr"")"),"ondes Martenot")</f>
        <v>ondes Martenot</v>
      </c>
      <c r="G575" s="8" t="str">
        <f>IFERROR(__xludf.DUMMYFUNCTION("GOOGLETRANSLATE(C575, ""en"", ""de"")"),"ondes Martenot")</f>
        <v>ondes Martenot</v>
      </c>
      <c r="H575" s="8" t="str">
        <f>IFERROR(__xludf.DUMMYFUNCTION("GOOGLETRANSLATE(C575, ""en"", ""ru"")"),"ондес Мартено")</f>
        <v>ондес Мартено</v>
      </c>
      <c r="I575" s="8" t="str">
        <f>IFERROR(__xludf.DUMMYFUNCTION("GOOGLETRANSLATE(C575, ""en"", ""ar"")"),"أوند مارتينو")</f>
        <v>أوند مارتينو</v>
      </c>
      <c r="J575" s="8"/>
      <c r="K575" s="7" t="str">
        <f>IFERROR(__xludf.DUMMYFUNCTION("CONCAT(REGEXREPLACE(C575,""[ ,]+"",""_""),"".mp3"")"),"ondes_Martenot.mp3")</f>
        <v>ondes_Martenot.mp3</v>
      </c>
      <c r="M575" s="4" t="s">
        <v>10</v>
      </c>
    </row>
    <row r="576" ht="15.75" customHeight="1">
      <c r="A576" s="1">
        <v>1944.0</v>
      </c>
      <c r="B576" s="3">
        <v>144.0</v>
      </c>
      <c r="C576" s="7" t="s">
        <v>621</v>
      </c>
      <c r="D576" s="8" t="str">
        <f>IFERROR(__xludf.DUMMYFUNCTION("GOOGLETRANSLATE(C576, ""en"", ""pt"")"),"trautônio")</f>
        <v>trautônio</v>
      </c>
      <c r="E576" s="8" t="str">
        <f>IFERROR(__xludf.DUMMYFUNCTION("GOOGLETRANSLATE(C576, ""en"", ""es"")"),"trautonio")</f>
        <v>trautonio</v>
      </c>
      <c r="F576" s="8" t="str">
        <f>IFERROR(__xludf.DUMMYFUNCTION("GOOGLETRANSLATE(C576, ""en"", ""fr"")"),"trautonium")</f>
        <v>trautonium</v>
      </c>
      <c r="G576" s="8" t="str">
        <f>IFERROR(__xludf.DUMMYFUNCTION("GOOGLETRANSLATE(C576, ""en"", ""de"")"),"Trautonium")</f>
        <v>Trautonium</v>
      </c>
      <c r="H576" s="8" t="str">
        <f>IFERROR(__xludf.DUMMYFUNCTION("GOOGLETRANSLATE(C576, ""en"", ""ru"")"),"траутоний")</f>
        <v>траутоний</v>
      </c>
      <c r="I576" s="8" t="str">
        <f>IFERROR(__xludf.DUMMYFUNCTION("GOOGLETRANSLATE(C576, ""en"", ""ar"")"),"تراوتونيوم")</f>
        <v>تراوتونيوم</v>
      </c>
      <c r="J576" s="8"/>
      <c r="K576" s="7" t="str">
        <f>IFERROR(__xludf.DUMMYFUNCTION("CONCAT(REGEXREPLACE(C576,""[ ,]+"",""_""),"".mp3"")"),"trautonium.mp3")</f>
        <v>trautonium.mp3</v>
      </c>
      <c r="M576" s="4" t="s">
        <v>10</v>
      </c>
    </row>
    <row r="577" ht="15.75" customHeight="1">
      <c r="A577" s="1">
        <v>1945.0</v>
      </c>
      <c r="B577" s="3">
        <v>144.0</v>
      </c>
      <c r="C577" s="7" t="s">
        <v>622</v>
      </c>
      <c r="D577" s="8" t="str">
        <f>IFERROR(__xludf.DUMMYFUNCTION("GOOGLETRANSLATE(C577, ""en"", ""pt"")"),"violino elétrico")</f>
        <v>violino elétrico</v>
      </c>
      <c r="E577" s="8" t="str">
        <f>IFERROR(__xludf.DUMMYFUNCTION("GOOGLETRANSLATE(C577, ""en"", ""es"")"),"violín eléctrico")</f>
        <v>violín eléctrico</v>
      </c>
      <c r="F577" s="8" t="str">
        <f>IFERROR(__xludf.DUMMYFUNCTION("GOOGLETRANSLATE(C577, ""en"", ""fr"")"),"violon électrique")</f>
        <v>violon électrique</v>
      </c>
      <c r="G577" s="8" t="str">
        <f>IFERROR(__xludf.DUMMYFUNCTION("GOOGLETRANSLATE(C577, ""en"", ""de"")"),"elektrische Violine")</f>
        <v>elektrische Violine</v>
      </c>
      <c r="H577" s="8" t="str">
        <f>IFERROR(__xludf.DUMMYFUNCTION("GOOGLETRANSLATE(C577, ""en"", ""ru"")"),"электроскрипка")</f>
        <v>электроскрипка</v>
      </c>
      <c r="I577" s="8" t="str">
        <f>IFERROR(__xludf.DUMMYFUNCTION("GOOGLETRANSLATE(C577, ""en"", ""ar"")"),"الكمان الكهربائي")</f>
        <v>الكمان الكهربائي</v>
      </c>
      <c r="J577" s="8"/>
      <c r="K577" s="7" t="str">
        <f>IFERROR(__xludf.DUMMYFUNCTION("CONCAT(REGEXREPLACE(C577,""[ ,]+"",""_""),"".mp3"")"),"electric_violin.mp3")</f>
        <v>electric_violin.mp3</v>
      </c>
      <c r="M577" s="4" t="s">
        <v>10</v>
      </c>
    </row>
    <row r="578" ht="15.75" customHeight="1">
      <c r="A578" s="1">
        <v>1946.0</v>
      </c>
      <c r="B578" s="3">
        <v>144.0</v>
      </c>
      <c r="C578" s="7" t="s">
        <v>623</v>
      </c>
      <c r="D578" s="8" t="str">
        <f>IFERROR(__xludf.DUMMYFUNCTION("GOOGLETRANSLATE(C578, ""en"", ""pt"")"),"violoncelo elétrico")</f>
        <v>violoncelo elétrico</v>
      </c>
      <c r="E578" s="8" t="str">
        <f>IFERROR(__xludf.DUMMYFUNCTION("GOOGLETRANSLATE(C578, ""en"", ""es"")"),"violonchelo eléctrico")</f>
        <v>violonchelo eléctrico</v>
      </c>
      <c r="F578" s="8" t="str">
        <f>IFERROR(__xludf.DUMMYFUNCTION("GOOGLETRANSLATE(C578, ""en"", ""fr"")"),"violoncelle électrique")</f>
        <v>violoncelle électrique</v>
      </c>
      <c r="G578" s="8" t="str">
        <f>IFERROR(__xludf.DUMMYFUNCTION("GOOGLETRANSLATE(C578, ""en"", ""de"")"),"elektrisches Cello")</f>
        <v>elektrisches Cello</v>
      </c>
      <c r="H578" s="8" t="str">
        <f>IFERROR(__xludf.DUMMYFUNCTION("GOOGLETRANSLATE(C578, ""en"", ""ru"")"),"электрическая виолончель")</f>
        <v>электрическая виолончель</v>
      </c>
      <c r="I578" s="8" t="str">
        <f>IFERROR(__xludf.DUMMYFUNCTION("GOOGLETRANSLATE(C578, ""en"", ""ar"")"),"التشيلو الكهربائي")</f>
        <v>التشيلو الكهربائي</v>
      </c>
      <c r="J578" s="8"/>
      <c r="K578" s="7" t="str">
        <f>IFERROR(__xludf.DUMMYFUNCTION("CONCAT(REGEXREPLACE(C578,""[ ,]+"",""_""),"".mp3"")"),"electric_cello.mp3")</f>
        <v>electric_cello.mp3</v>
      </c>
      <c r="M578" s="4" t="s">
        <v>10</v>
      </c>
    </row>
    <row r="579" ht="15.75" customHeight="1">
      <c r="A579" s="1">
        <v>1947.0</v>
      </c>
      <c r="B579" s="3">
        <v>144.0</v>
      </c>
      <c r="C579" s="7" t="s">
        <v>624</v>
      </c>
      <c r="D579" s="8" t="str">
        <f>IFERROR(__xludf.DUMMYFUNCTION("GOOGLETRANSLATE(C579, ""en"", ""pt"")"),"baixo elétrico")</f>
        <v>baixo elétrico</v>
      </c>
      <c r="E579" s="8" t="str">
        <f>IFERROR(__xludf.DUMMYFUNCTION("GOOGLETRANSLATE(C579, ""en"", ""es"")"),"bajo eléctrico")</f>
        <v>bajo eléctrico</v>
      </c>
      <c r="F579" s="8" t="str">
        <f>IFERROR(__xludf.DUMMYFUNCTION("GOOGLETRANSLATE(C579, ""en"", ""fr"")"),"basse électrique")</f>
        <v>basse électrique</v>
      </c>
      <c r="G579" s="8" t="str">
        <f>IFERROR(__xludf.DUMMYFUNCTION("GOOGLETRANSLATE(C579, ""en"", ""de"")"),"E-Bass")</f>
        <v>E-Bass</v>
      </c>
      <c r="H579" s="8" t="str">
        <f>IFERROR(__xludf.DUMMYFUNCTION("GOOGLETRANSLATE(C579, ""en"", ""ru"")"),"электробас")</f>
        <v>электробас</v>
      </c>
      <c r="I579" s="8" t="str">
        <f>IFERROR(__xludf.DUMMYFUNCTION("GOOGLETRANSLATE(C579, ""en"", ""ar"")"),"غيتار كهربائي")</f>
        <v>غيتار كهربائي</v>
      </c>
      <c r="J579" s="8"/>
      <c r="K579" s="7" t="str">
        <f>IFERROR(__xludf.DUMMYFUNCTION("CONCAT(REGEXREPLACE(C579,""[ ,]+"",""_""),"".mp3"")"),"electric_bass.mp3")</f>
        <v>electric_bass.mp3</v>
      </c>
      <c r="M579" s="4" t="s">
        <v>10</v>
      </c>
    </row>
    <row r="580" ht="15.75" customHeight="1">
      <c r="A580" s="1">
        <v>1948.0</v>
      </c>
      <c r="B580" s="3">
        <v>144.0</v>
      </c>
      <c r="C580" s="7" t="s">
        <v>625</v>
      </c>
      <c r="D580" s="8" t="str">
        <f>IFERROR(__xludf.DUMMYFUNCTION("GOOGLETRANSLATE(C580, ""en"", ""pt"")"),"controlador de DJ")</f>
        <v>controlador de DJ</v>
      </c>
      <c r="E580" s="8" t="str">
        <f>IFERROR(__xludf.DUMMYFUNCTION("GOOGLETRANSLATE(C580, ""en"", ""es"")"),"Controlador de DJ")</f>
        <v>Controlador de DJ</v>
      </c>
      <c r="F580" s="8" t="str">
        <f>IFERROR(__xludf.DUMMYFUNCTION("GOOGLETRANSLATE(C580, ""en"", ""fr"")"),"contrôleur DJ")</f>
        <v>contrôleur DJ</v>
      </c>
      <c r="G580" s="8" t="str">
        <f>IFERROR(__xludf.DUMMYFUNCTION("GOOGLETRANSLATE(C580, ""en"", ""de"")"),"DJ-Controller")</f>
        <v>DJ-Controller</v>
      </c>
      <c r="H580" s="8" t="str">
        <f>IFERROR(__xludf.DUMMYFUNCTION("GOOGLETRANSLATE(C580, ""en"", ""ru"")"),"DJ-контроллер")</f>
        <v>DJ-контроллер</v>
      </c>
      <c r="I580" s="8" t="str">
        <f>IFERROR(__xludf.DUMMYFUNCTION("GOOGLETRANSLATE(C580, ""en"", ""ar"")"),"وحدة تحكم دي جي")</f>
        <v>وحدة تحكم دي جي</v>
      </c>
      <c r="J580" s="8"/>
      <c r="K580" s="7" t="str">
        <f>IFERROR(__xludf.DUMMYFUNCTION("CONCAT(REGEXREPLACE(C580,""[ ,]+"",""_""),"".mp3"")"),"DJ_controller.mp3")</f>
        <v>DJ_controller.mp3</v>
      </c>
      <c r="M580" s="4" t="s">
        <v>10</v>
      </c>
    </row>
    <row r="581" ht="15.75" customHeight="1">
      <c r="A581" s="1">
        <v>1949.0</v>
      </c>
      <c r="B581" s="3">
        <v>144.0</v>
      </c>
      <c r="C581" s="7" t="s">
        <v>626</v>
      </c>
      <c r="D581" s="8" t="str">
        <f>IFERROR(__xludf.DUMMYFUNCTION("GOOGLETRANSLATE(C581, ""en"", ""pt"")"),"toca-discos")</f>
        <v>toca-discos</v>
      </c>
      <c r="E581" s="8" t="str">
        <f>IFERROR(__xludf.DUMMYFUNCTION("GOOGLETRANSLATE(C581, ""en"", ""es"")"),"placa giratoria")</f>
        <v>placa giratoria</v>
      </c>
      <c r="F581" s="8" t="str">
        <f>IFERROR(__xludf.DUMMYFUNCTION("GOOGLETRANSLATE(C581, ""en"", ""fr"")"),"platine")</f>
        <v>platine</v>
      </c>
      <c r="G581" s="8" t="str">
        <f>IFERROR(__xludf.DUMMYFUNCTION("GOOGLETRANSLATE(C581, ""en"", ""de"")"),"Drehscheibe")</f>
        <v>Drehscheibe</v>
      </c>
      <c r="H581" s="8" t="str">
        <f>IFERROR(__xludf.DUMMYFUNCTION("GOOGLETRANSLATE(C581, ""en"", ""ru"")"),"проигрыватель виниловых пластинок")</f>
        <v>проигрыватель виниловых пластинок</v>
      </c>
      <c r="I581" s="8" t="str">
        <f>IFERROR(__xludf.DUMMYFUNCTION("GOOGLETRANSLATE(C581, ""en"", ""ar"")"),"القرص الدوار")</f>
        <v>القرص الدوار</v>
      </c>
      <c r="J581" s="8"/>
      <c r="K581" s="7" t="str">
        <f>IFERROR(__xludf.DUMMYFUNCTION("CONCAT(REGEXREPLACE(C581,""[ ,]+"",""_""),"".mp3"")"),"turntable.mp3")</f>
        <v>turntable.mp3</v>
      </c>
      <c r="M581" s="4" t="s">
        <v>10</v>
      </c>
    </row>
    <row r="582" ht="15.75" customHeight="1">
      <c r="A582" s="1">
        <v>1950.0</v>
      </c>
      <c r="B582" s="3">
        <v>144.0</v>
      </c>
      <c r="C582" s="7" t="s">
        <v>627</v>
      </c>
      <c r="D582" s="8" t="str">
        <f>IFERROR(__xludf.DUMMYFUNCTION("GOOGLETRANSLATE(C582, ""en"", ""pt"")"),"didgeridoo")</f>
        <v>didgeridoo</v>
      </c>
      <c r="E582" s="8" t="str">
        <f>IFERROR(__xludf.DUMMYFUNCTION("GOOGLETRANSLATE(C582, ""en"", ""es"")"),"didgeridoo")</f>
        <v>didgeridoo</v>
      </c>
      <c r="F582" s="8" t="str">
        <f>IFERROR(__xludf.DUMMYFUNCTION("GOOGLETRANSLATE(C582, ""en"", ""fr"")"),"didgeridoo")</f>
        <v>didgeridoo</v>
      </c>
      <c r="G582" s="8" t="str">
        <f>IFERROR(__xludf.DUMMYFUNCTION("GOOGLETRANSLATE(C582, ""en"", ""de"")"),"Didgeridoo")</f>
        <v>Didgeridoo</v>
      </c>
      <c r="H582" s="8" t="str">
        <f>IFERROR(__xludf.DUMMYFUNCTION("GOOGLETRANSLATE(C582, ""en"", ""ru"")"),"диджериду")</f>
        <v>диджериду</v>
      </c>
      <c r="I582" s="8" t="str">
        <f>IFERROR(__xludf.DUMMYFUNCTION("GOOGLETRANSLATE(C582, ""en"", ""ar"")"),"ديدجيريدو")</f>
        <v>ديدجيريدو</v>
      </c>
      <c r="J582" s="8"/>
      <c r="K582" s="7" t="str">
        <f>IFERROR(__xludf.DUMMYFUNCTION("CONCAT(REGEXREPLACE(C582,""[ ,]+"",""_""),"".mp3"")"),"didgeridoo.mp3")</f>
        <v>didgeridoo.mp3</v>
      </c>
      <c r="M582" s="4" t="s">
        <v>10</v>
      </c>
    </row>
    <row r="583" ht="15.75" customHeight="1">
      <c r="A583" s="1">
        <v>1951.0</v>
      </c>
      <c r="B583" s="3">
        <v>144.0</v>
      </c>
      <c r="C583" s="7" t="s">
        <v>628</v>
      </c>
      <c r="D583" s="8" t="str">
        <f>IFERROR(__xludf.DUMMYFUNCTION("GOOGLETRANSLATE(C583, ""en"", ""pt"")"),"shofar")</f>
        <v>shofar</v>
      </c>
      <c r="E583" s="8" t="str">
        <f>IFERROR(__xludf.DUMMYFUNCTION("GOOGLETRANSLATE(C583, ""en"", ""es"")"),"shofar")</f>
        <v>shofar</v>
      </c>
      <c r="F583" s="8" t="str">
        <f>IFERROR(__xludf.DUMMYFUNCTION("GOOGLETRANSLATE(C583, ""en"", ""fr"")"),"shofar")</f>
        <v>shofar</v>
      </c>
      <c r="G583" s="8" t="str">
        <f>IFERROR(__xludf.DUMMYFUNCTION("GOOGLETRANSLATE(C583, ""en"", ""de"")"),"Schofar")</f>
        <v>Schofar</v>
      </c>
      <c r="H583" s="8" t="str">
        <f>IFERROR(__xludf.DUMMYFUNCTION("GOOGLETRANSLATE(C583, ""en"", ""ru"")"),"шофар")</f>
        <v>шофар</v>
      </c>
      <c r="I583" s="8" t="str">
        <f>IFERROR(__xludf.DUMMYFUNCTION("GOOGLETRANSLATE(C583, ""en"", ""ar"")"),"الشوفار")</f>
        <v>الشوفار</v>
      </c>
      <c r="J583" s="8"/>
      <c r="K583" s="7" t="str">
        <f>IFERROR(__xludf.DUMMYFUNCTION("CONCAT(REGEXREPLACE(C583,""[ ,]+"",""_""),"".mp3"")"),"shofar.mp3")</f>
        <v>shofar.mp3</v>
      </c>
      <c r="M583" s="4" t="s">
        <v>10</v>
      </c>
    </row>
    <row r="584" ht="15.75" customHeight="1">
      <c r="A584" s="1">
        <v>1952.0</v>
      </c>
      <c r="B584" s="3">
        <v>144.0</v>
      </c>
      <c r="C584" s="7" t="s">
        <v>629</v>
      </c>
      <c r="D584" s="8" t="str">
        <f>IFERROR(__xludf.DUMMYFUNCTION("GOOGLETRANSLATE(C584, ""en"", ""pt"")"),"kora")</f>
        <v>kora</v>
      </c>
      <c r="E584" s="8" t="str">
        <f>IFERROR(__xludf.DUMMYFUNCTION("GOOGLETRANSLATE(C584, ""en"", ""es"")"),"kora")</f>
        <v>kora</v>
      </c>
      <c r="F584" s="8" t="str">
        <f>IFERROR(__xludf.DUMMYFUNCTION("GOOGLETRANSLATE(C584, ""en"", ""fr"")"),"kora")</f>
        <v>kora</v>
      </c>
      <c r="G584" s="8" t="str">
        <f>IFERROR(__xludf.DUMMYFUNCTION("GOOGLETRANSLATE(C584, ""en"", ""de"")"),"Kora")</f>
        <v>Kora</v>
      </c>
      <c r="H584" s="8" t="str">
        <f>IFERROR(__xludf.DUMMYFUNCTION("GOOGLETRANSLATE(C584, ""en"", ""ru"")"),"кора")</f>
        <v>кора</v>
      </c>
      <c r="I584" s="8" t="str">
        <f>IFERROR(__xludf.DUMMYFUNCTION("GOOGLETRANSLATE(C584, ""en"", ""ar"")"),"كورا")</f>
        <v>كورا</v>
      </c>
      <c r="J584" s="8"/>
      <c r="K584" s="7" t="str">
        <f>IFERROR(__xludf.DUMMYFUNCTION("CONCAT(REGEXREPLACE(C584,""[ ,]+"",""_""),"".mp3"")"),"kora.mp3")</f>
        <v>kora.mp3</v>
      </c>
      <c r="M584" s="4" t="s">
        <v>10</v>
      </c>
    </row>
    <row r="585" ht="15.75" customHeight="1">
      <c r="A585" s="1">
        <v>1953.0</v>
      </c>
      <c r="B585" s="3">
        <v>144.0</v>
      </c>
      <c r="C585" s="7" t="s">
        <v>630</v>
      </c>
      <c r="D585" s="8" t="str">
        <f>IFERROR(__xludf.DUMMYFUNCTION("GOOGLETRANSLATE(C585, ""en"", ""pt"")"),"balafon")</f>
        <v>balafon</v>
      </c>
      <c r="E585" s="8" t="str">
        <f>IFERROR(__xludf.DUMMYFUNCTION("GOOGLETRANSLATE(C585, ""en"", ""es"")"),"balafón")</f>
        <v>balafón</v>
      </c>
      <c r="F585" s="8" t="str">
        <f>IFERROR(__xludf.DUMMYFUNCTION("GOOGLETRANSLATE(C585, ""en"", ""fr"")"),"balafon")</f>
        <v>balafon</v>
      </c>
      <c r="G585" s="8" t="str">
        <f>IFERROR(__xludf.DUMMYFUNCTION("GOOGLETRANSLATE(C585, ""en"", ""de"")"),"Balafon")</f>
        <v>Balafon</v>
      </c>
      <c r="H585" s="8" t="str">
        <f>IFERROR(__xludf.DUMMYFUNCTION("GOOGLETRANSLATE(C585, ""en"", ""ru"")"),"балафон")</f>
        <v>балафон</v>
      </c>
      <c r="I585" s="8" t="str">
        <f>IFERROR(__xludf.DUMMYFUNCTION("GOOGLETRANSLATE(C585, ""en"", ""ar"")"),"بالافون")</f>
        <v>بالافون</v>
      </c>
      <c r="J585" s="8"/>
      <c r="K585" s="7" t="str">
        <f>IFERROR(__xludf.DUMMYFUNCTION("CONCAT(REGEXREPLACE(C585,""[ ,]+"",""_""),"".mp3"")"),"balafon.mp3")</f>
        <v>balafon.mp3</v>
      </c>
      <c r="M585" s="4" t="s">
        <v>10</v>
      </c>
    </row>
    <row r="586" ht="15.75" customHeight="1">
      <c r="A586" s="1">
        <v>1954.0</v>
      </c>
      <c r="B586" s="3">
        <v>144.0</v>
      </c>
      <c r="C586" s="7" t="s">
        <v>631</v>
      </c>
      <c r="D586" s="8" t="str">
        <f>IFERROR(__xludf.DUMMYFUNCTION("GOOGLETRANSLATE(C586, ""en"", ""pt"")"),"shekere")</f>
        <v>shekere</v>
      </c>
      <c r="E586" s="8" t="str">
        <f>IFERROR(__xludf.DUMMYFUNCTION("GOOGLETRANSLATE(C586, ""en"", ""es"")"),"shekere")</f>
        <v>shekere</v>
      </c>
      <c r="F586" s="8" t="str">
        <f>IFERROR(__xludf.DUMMYFUNCTION("GOOGLETRANSLATE(C586, ""en"", ""fr"")"),"shekere")</f>
        <v>shekere</v>
      </c>
      <c r="G586" s="8" t="str">
        <f>IFERROR(__xludf.DUMMYFUNCTION("GOOGLETRANSLATE(C586, ""en"", ""de"")"),"Shekere")</f>
        <v>Shekere</v>
      </c>
      <c r="H586" s="8" t="str">
        <f>IFERROR(__xludf.DUMMYFUNCTION("GOOGLETRANSLATE(C586, ""en"", ""ru"")"),"шекере")</f>
        <v>шекере</v>
      </c>
      <c r="I586" s="8" t="str">
        <f>IFERROR(__xludf.DUMMYFUNCTION("GOOGLETRANSLATE(C586, ""en"", ""ar"")"),"شكيري")</f>
        <v>شكيري</v>
      </c>
      <c r="J586" s="8"/>
      <c r="K586" s="7" t="str">
        <f>IFERROR(__xludf.DUMMYFUNCTION("CONCAT(REGEXREPLACE(C586,""[ ,]+"",""_""),"".mp3"")"),"shekere.mp3")</f>
        <v>shekere.mp3</v>
      </c>
      <c r="M586" s="4" t="s">
        <v>10</v>
      </c>
    </row>
    <row r="587" ht="15.75" customHeight="1">
      <c r="A587" s="1">
        <v>1955.0</v>
      </c>
      <c r="B587" s="3">
        <v>144.0</v>
      </c>
      <c r="C587" s="7" t="s">
        <v>632</v>
      </c>
      <c r="D587" s="8" t="str">
        <f>IFERROR(__xludf.DUMMYFUNCTION("GOOGLETRANSLATE(C587, ""en"", ""pt"")"),"cuíca")</f>
        <v>cuíca</v>
      </c>
      <c r="E587" s="8" t="str">
        <f>IFERROR(__xludf.DUMMYFUNCTION("GOOGLETRANSLATE(C587, ""en"", ""es"")"),"cuíca")</f>
        <v>cuíca</v>
      </c>
      <c r="F587" s="8" t="str">
        <f>IFERROR(__xludf.DUMMYFUNCTION("GOOGLETRANSLATE(C587, ""en"", ""fr"")"),"cuíca")</f>
        <v>cuíca</v>
      </c>
      <c r="G587" s="8" t="str">
        <f>IFERROR(__xludf.DUMMYFUNCTION("GOOGLETRANSLATE(C587, ""en"", ""de"")"),"cuíca")</f>
        <v>cuíca</v>
      </c>
      <c r="H587" s="8" t="str">
        <f>IFERROR(__xludf.DUMMYFUNCTION("GOOGLETRANSLATE(C587, ""en"", ""ru"")"),"куика")</f>
        <v>куика</v>
      </c>
      <c r="I587" s="8" t="str">
        <f>IFERROR(__xludf.DUMMYFUNCTION("GOOGLETRANSLATE(C587, ""en"", ""ar"")"),"كويكا")</f>
        <v>كويكا</v>
      </c>
      <c r="J587" s="8"/>
      <c r="K587" s="7" t="str">
        <f>IFERROR(__xludf.DUMMYFUNCTION("CONCAT(REGEXREPLACE(C587,""[ ,]+"",""_""),"".mp3"")"),"cuíca.mp3")</f>
        <v>cuíca.mp3</v>
      </c>
      <c r="M587" s="4" t="s">
        <v>10</v>
      </c>
    </row>
    <row r="588" ht="15.75" customHeight="1">
      <c r="A588" s="1">
        <v>1956.0</v>
      </c>
      <c r="B588" s="3">
        <v>144.0</v>
      </c>
      <c r="C588" s="7" t="s">
        <v>633</v>
      </c>
      <c r="D588" s="8" t="str">
        <f>IFERROR(__xludf.DUMMYFUNCTION("GOOGLETRANSLATE(C588, ""en"", ""pt"")"),"berimbau")</f>
        <v>berimbau</v>
      </c>
      <c r="E588" s="8" t="str">
        <f>IFERROR(__xludf.DUMMYFUNCTION("GOOGLETRANSLATE(C588, ""en"", ""es"")"),"berimbau")</f>
        <v>berimbau</v>
      </c>
      <c r="F588" s="8" t="str">
        <f>IFERROR(__xludf.DUMMYFUNCTION("GOOGLETRANSLATE(C588, ""en"", ""fr"")"),"berimbau")</f>
        <v>berimbau</v>
      </c>
      <c r="G588" s="8" t="str">
        <f>IFERROR(__xludf.DUMMYFUNCTION("GOOGLETRANSLATE(C588, ""en"", ""de"")"),"Berimbau")</f>
        <v>Berimbau</v>
      </c>
      <c r="H588" s="8" t="str">
        <f>IFERROR(__xludf.DUMMYFUNCTION("GOOGLETRANSLATE(C588, ""en"", ""ru"")"),"беримбау")</f>
        <v>беримбау</v>
      </c>
      <c r="I588" s="8" t="str">
        <f>IFERROR(__xludf.DUMMYFUNCTION("GOOGLETRANSLATE(C588, ""en"", ""ar"")"),"بيريمباو")</f>
        <v>بيريمباو</v>
      </c>
      <c r="J588" s="8"/>
      <c r="K588" s="7" t="str">
        <f>IFERROR(__xludf.DUMMYFUNCTION("CONCAT(REGEXREPLACE(C588,""[ ,]+"",""_""),"".mp3"")"),"berimbau.mp3")</f>
        <v>berimbau.mp3</v>
      </c>
      <c r="M588" s="4" t="s">
        <v>10</v>
      </c>
    </row>
    <row r="589" ht="15.75" customHeight="1">
      <c r="A589" s="1">
        <v>1957.0</v>
      </c>
      <c r="B589" s="3">
        <v>144.0</v>
      </c>
      <c r="C589" s="7" t="s">
        <v>634</v>
      </c>
      <c r="D589" s="8" t="str">
        <f>IFERROR(__xludf.DUMMYFUNCTION("GOOGLETRANSLATE(C589, ""en"", ""pt"")"),"bodhrán")</f>
        <v>bodhrán</v>
      </c>
      <c r="E589" s="8" t="str">
        <f>IFERROR(__xludf.DUMMYFUNCTION("GOOGLETRANSLATE(C589, ""en"", ""es"")"),"bodhrán")</f>
        <v>bodhrán</v>
      </c>
      <c r="F589" s="8" t="str">
        <f>IFERROR(__xludf.DUMMYFUNCTION("GOOGLETRANSLATE(C589, ""en"", ""fr"")"),"bodhrán")</f>
        <v>bodhrán</v>
      </c>
      <c r="G589" s="8" t="str">
        <f>IFERROR(__xludf.DUMMYFUNCTION("GOOGLETRANSLATE(C589, ""en"", ""de"")"),"Bodhrán")</f>
        <v>Bodhrán</v>
      </c>
      <c r="H589" s="8" t="str">
        <f>IFERROR(__xludf.DUMMYFUNCTION("GOOGLETRANSLATE(C589, ""en"", ""ru"")"),"бодран")</f>
        <v>бодран</v>
      </c>
      <c r="I589" s="8" t="str">
        <f>IFERROR(__xludf.DUMMYFUNCTION("GOOGLETRANSLATE(C589, ""en"", ""ar"")"),"بودران")</f>
        <v>بودران</v>
      </c>
      <c r="J589" s="8"/>
      <c r="K589" s="7" t="str">
        <f>IFERROR(__xludf.DUMMYFUNCTION("CONCAT(REGEXREPLACE(C589,""[ ,]+"",""_""),"".mp3"")"),"bodhrán.mp3")</f>
        <v>bodhrán.mp3</v>
      </c>
      <c r="M589" s="4" t="s">
        <v>10</v>
      </c>
    </row>
    <row r="590" ht="15.75" customHeight="1">
      <c r="A590" s="1">
        <v>1958.0</v>
      </c>
      <c r="B590" s="3">
        <v>144.0</v>
      </c>
      <c r="C590" s="7" t="s">
        <v>635</v>
      </c>
      <c r="D590" s="8" t="str">
        <f>IFERROR(__xludf.DUMMYFUNCTION("GOOGLETRANSLATE(C590, ""en"", ""pt"")"),"tambor de moldura")</f>
        <v>tambor de moldura</v>
      </c>
      <c r="E590" s="8" t="str">
        <f>IFERROR(__xludf.DUMMYFUNCTION("GOOGLETRANSLATE(C590, ""en"", ""es"")"),"tambor de marco")</f>
        <v>tambor de marco</v>
      </c>
      <c r="F590" s="8" t="str">
        <f>IFERROR(__xludf.DUMMYFUNCTION("GOOGLETRANSLATE(C590, ""en"", ""fr"")"),"tambour sur cadre")</f>
        <v>tambour sur cadre</v>
      </c>
      <c r="G590" s="8" t="str">
        <f>IFERROR(__xludf.DUMMYFUNCTION("GOOGLETRANSLATE(C590, ""en"", ""de"")"),"Rahmentrommel")</f>
        <v>Rahmentrommel</v>
      </c>
      <c r="H590" s="8" t="str">
        <f>IFERROR(__xludf.DUMMYFUNCTION("GOOGLETRANSLATE(C590, ""en"", ""ru"")"),"рамный барабан")</f>
        <v>рамный барабан</v>
      </c>
      <c r="I590" s="8" t="str">
        <f>IFERROR(__xludf.DUMMYFUNCTION("GOOGLETRANSLATE(C590, ""en"", ""ar"")"),"إطار الطبل")</f>
        <v>إطار الطبل</v>
      </c>
      <c r="J590" s="8"/>
      <c r="K590" s="7" t="str">
        <f>IFERROR(__xludf.DUMMYFUNCTION("CONCAT(REGEXREPLACE(C590,""[ ,]+"",""_""),"".mp3"")"),"frame_drum.mp3")</f>
        <v>frame_drum.mp3</v>
      </c>
      <c r="M590" s="4" t="s">
        <v>10</v>
      </c>
    </row>
    <row r="591" ht="15.75" customHeight="1">
      <c r="A591" s="1">
        <v>1959.0</v>
      </c>
      <c r="B591" s="3">
        <v>144.0</v>
      </c>
      <c r="C591" s="7" t="s">
        <v>636</v>
      </c>
      <c r="D591" s="8" t="str">
        <f>IFERROR(__xludf.DUMMYFUNCTION("GOOGLETRANSLATE(C591, ""en"", ""pt"")"),"udu")</f>
        <v>udu</v>
      </c>
      <c r="E591" s="8" t="str">
        <f>IFERROR(__xludf.DUMMYFUNCTION("GOOGLETRANSLATE(C591, ""en"", ""es"")"),"udu")</f>
        <v>udu</v>
      </c>
      <c r="F591" s="8" t="str">
        <f>IFERROR(__xludf.DUMMYFUNCTION("GOOGLETRANSLATE(C591, ""en"", ""fr"")"),"udu")</f>
        <v>udu</v>
      </c>
      <c r="G591" s="8" t="str">
        <f>IFERROR(__xludf.DUMMYFUNCTION("GOOGLETRANSLATE(C591, ""en"", ""de"")"),"Udu")</f>
        <v>Udu</v>
      </c>
      <c r="H591" s="8" t="str">
        <f>IFERROR(__xludf.DUMMYFUNCTION("GOOGLETRANSLATE(C591, ""en"", ""ru"")"),"уду")</f>
        <v>уду</v>
      </c>
      <c r="I591" s="8" t="str">
        <f>IFERROR(__xludf.DUMMYFUNCTION("GOOGLETRANSLATE(C591, ""en"", ""ar"")"),"أودو")</f>
        <v>أودو</v>
      </c>
      <c r="J591" s="8"/>
      <c r="K591" s="7" t="str">
        <f>IFERROR(__xludf.DUMMYFUNCTION("CONCAT(REGEXREPLACE(C591,""[ ,]+"",""_""),"".mp3"")"),"udu.mp3")</f>
        <v>udu.mp3</v>
      </c>
      <c r="M591" s="4" t="s">
        <v>10</v>
      </c>
    </row>
    <row r="592" ht="15.75" customHeight="1">
      <c r="A592" s="1">
        <v>1960.0</v>
      </c>
      <c r="B592" s="3">
        <v>144.0</v>
      </c>
      <c r="C592" s="7" t="s">
        <v>637</v>
      </c>
      <c r="D592" s="8" t="str">
        <f>IFERROR(__xludf.DUMMYFUNCTION("GOOGLETRANSLATE(C592, ""en"", ""pt"")"),"telefone de água")</f>
        <v>telefone de água</v>
      </c>
      <c r="E592" s="8" t="str">
        <f>IFERROR(__xludf.DUMMYFUNCTION("GOOGLETRANSLATE(C592, ""en"", ""es"")"),"teléfono de agua")</f>
        <v>teléfono de agua</v>
      </c>
      <c r="F592" s="8" t="str">
        <f>IFERROR(__xludf.DUMMYFUNCTION("GOOGLETRANSLATE(C592, ""en"", ""fr"")"),"Waterphone")</f>
        <v>Waterphone</v>
      </c>
      <c r="G592" s="8" t="str">
        <f>IFERROR(__xludf.DUMMYFUNCTION("GOOGLETRANSLATE(C592, ""en"", ""de"")"),"Wassertelefon")</f>
        <v>Wassertelefon</v>
      </c>
      <c r="H592" s="8" t="str">
        <f>IFERROR(__xludf.DUMMYFUNCTION("GOOGLETRANSLATE(C592, ""en"", ""ru"")"),"водотелефон")</f>
        <v>водотелефон</v>
      </c>
      <c r="I592" s="8" t="str">
        <f>IFERROR(__xludf.DUMMYFUNCTION("GOOGLETRANSLATE(C592, ""en"", ""ar"")"),"هاتف مائي")</f>
        <v>هاتف مائي</v>
      </c>
      <c r="J592" s="8"/>
      <c r="K592" s="7" t="str">
        <f>IFERROR(__xludf.DUMMYFUNCTION("CONCAT(REGEXREPLACE(C592,""[ ,]+"",""_""),"".mp3"")"),"waterphone.mp3")</f>
        <v>waterphone.mp3</v>
      </c>
      <c r="M592" s="4" t="s">
        <v>10</v>
      </c>
    </row>
    <row r="593" ht="15.75" customHeight="1">
      <c r="A593" s="1">
        <v>1961.0</v>
      </c>
      <c r="B593" s="3">
        <v>145.0</v>
      </c>
      <c r="C593" s="7" t="s">
        <v>638</v>
      </c>
      <c r="D593" s="8" t="str">
        <f>IFERROR(__xludf.DUMMYFUNCTION("GOOGLETRANSLATE(C593, ""en"", ""pt"")"),"casa")</f>
        <v>casa</v>
      </c>
      <c r="E593" s="8" t="str">
        <f>IFERROR(__xludf.DUMMYFUNCTION("GOOGLETRANSLATE(C593, ""en"", ""es"")"),"casa")</f>
        <v>casa</v>
      </c>
      <c r="F593" s="8" t="str">
        <f>IFERROR(__xludf.DUMMYFUNCTION("GOOGLETRANSLATE(C593, ""en"", ""fr"")"),"maison")</f>
        <v>maison</v>
      </c>
      <c r="G593" s="8" t="str">
        <f>IFERROR(__xludf.DUMMYFUNCTION("GOOGLETRANSLATE(C593, ""en"", ""de"")"),"Haus")</f>
        <v>Haus</v>
      </c>
      <c r="H593" s="8" t="str">
        <f>IFERROR(__xludf.DUMMYFUNCTION("GOOGLETRANSLATE(C593, ""en"", ""ru"")"),"дом")</f>
        <v>дом</v>
      </c>
      <c r="I593" s="8" t="str">
        <f>IFERROR(__xludf.DUMMYFUNCTION("GOOGLETRANSLATE(C593, ""en"", ""ar"")"),"منزل")</f>
        <v>منزل</v>
      </c>
      <c r="J593" s="8"/>
      <c r="K593" s="7" t="str">
        <f>IFERROR(__xludf.DUMMYFUNCTION("CONCAT(REGEXREPLACE(C593,""[ ,]+"",""_""),"".mp3"")"),"house.mp3")</f>
        <v>house.mp3</v>
      </c>
      <c r="M593" s="4" t="s">
        <v>10</v>
      </c>
    </row>
    <row r="594" ht="15.75" customHeight="1">
      <c r="A594" s="1">
        <v>1962.0</v>
      </c>
      <c r="B594" s="3">
        <v>145.0</v>
      </c>
      <c r="C594" s="3" t="s">
        <v>639</v>
      </c>
      <c r="D594" s="8" t="str">
        <f>IFERROR(__xludf.DUMMYFUNCTION("GOOGLETRANSLATE(C594, ""en"", ""pt"")"),"apartamento, flat")</f>
        <v>apartamento, flat</v>
      </c>
      <c r="E594" s="8" t="str">
        <f>IFERROR(__xludf.DUMMYFUNCTION("GOOGLETRANSLATE(C594, ""en"", ""es"")"),"apartamento, piso")</f>
        <v>apartamento, piso</v>
      </c>
      <c r="F594" s="8" t="str">
        <f>IFERROR(__xludf.DUMMYFUNCTION("GOOGLETRANSLATE(C594, ""en"", ""fr"")"),"appartement, appartement")</f>
        <v>appartement, appartement</v>
      </c>
      <c r="G594" s="8" t="str">
        <f>IFERROR(__xludf.DUMMYFUNCTION("GOOGLETRANSLATE(C594, ""en"", ""de"")"),"Wohnung, Apartment")</f>
        <v>Wohnung, Apartment</v>
      </c>
      <c r="H594" s="8" t="str">
        <f>IFERROR(__xludf.DUMMYFUNCTION("GOOGLETRANSLATE(C594, ""en"", ""ru"")"),"квартира, апартаменты")</f>
        <v>квартира, апартаменты</v>
      </c>
      <c r="I594" s="8" t="str">
        <f>IFERROR(__xludf.DUMMYFUNCTION("GOOGLETRANSLATE(C594, ""en"", ""ar"")"),"شقة، شقة")</f>
        <v>شقة، شقة</v>
      </c>
      <c r="J594" s="8"/>
      <c r="K594" s="7" t="str">
        <f>IFERROR(__xludf.DUMMYFUNCTION("CONCAT(REGEXREPLACE(C594,""[ ,]+"",""_""),"".mp3"")"),"apartment_flat.mp3")</f>
        <v>apartment_flat.mp3</v>
      </c>
      <c r="M594" s="4" t="s">
        <v>10</v>
      </c>
    </row>
    <row r="595" ht="15.75" customHeight="1">
      <c r="A595" s="1">
        <v>1963.0</v>
      </c>
      <c r="B595" s="3">
        <v>145.0</v>
      </c>
      <c r="C595" s="7" t="s">
        <v>640</v>
      </c>
      <c r="D595" s="8" t="str">
        <f>IFERROR(__xludf.DUMMYFUNCTION("GOOGLETRANSLATE(C595, ""en"", ""pt"")"),"lar")</f>
        <v>lar</v>
      </c>
      <c r="E595" s="8" t="str">
        <f>IFERROR(__xludf.DUMMYFUNCTION("GOOGLETRANSLATE(C595, ""en"", ""es"")"),"hogar")</f>
        <v>hogar</v>
      </c>
      <c r="F595" s="8" t="str">
        <f>IFERROR(__xludf.DUMMYFUNCTION("GOOGLETRANSLATE(C595, ""en"", ""fr"")"),"maison")</f>
        <v>maison</v>
      </c>
      <c r="G595" s="8" t="str">
        <f>IFERROR(__xludf.DUMMYFUNCTION("GOOGLETRANSLATE(C595, ""en"", ""de"")"),"heim")</f>
        <v>heim</v>
      </c>
      <c r="H595" s="8" t="str">
        <f>IFERROR(__xludf.DUMMYFUNCTION("GOOGLETRANSLATE(C595, ""en"", ""ru"")"),"дом")</f>
        <v>дом</v>
      </c>
      <c r="I595" s="8" t="str">
        <f>IFERROR(__xludf.DUMMYFUNCTION("GOOGLETRANSLATE(C595, ""en"", ""ar"")"),"بيت")</f>
        <v>بيت</v>
      </c>
      <c r="J595" s="8"/>
      <c r="K595" s="7" t="str">
        <f>IFERROR(__xludf.DUMMYFUNCTION("CONCAT(REGEXREPLACE(C595,""[ ,]+"",""_""),"".mp3"")"),"home.mp3")</f>
        <v>home.mp3</v>
      </c>
      <c r="M595" s="4" t="s">
        <v>10</v>
      </c>
    </row>
    <row r="596" ht="15.75" customHeight="1">
      <c r="A596" s="1">
        <v>1964.0</v>
      </c>
      <c r="B596" s="3">
        <v>145.0</v>
      </c>
      <c r="C596" s="7" t="s">
        <v>641</v>
      </c>
      <c r="D596" s="8" t="str">
        <f>IFERROR(__xludf.DUMMYFUNCTION("GOOGLETRANSLATE(C596, ""en"", ""pt"")"),"bangalô")</f>
        <v>bangalô</v>
      </c>
      <c r="E596" s="8" t="str">
        <f>IFERROR(__xludf.DUMMYFUNCTION("GOOGLETRANSLATE(C596, ""en"", ""es"")"),"bungalow")</f>
        <v>bungalow</v>
      </c>
      <c r="F596" s="8" t="str">
        <f>IFERROR(__xludf.DUMMYFUNCTION("GOOGLETRANSLATE(C596, ""en"", ""fr"")"),"bungalow")</f>
        <v>bungalow</v>
      </c>
      <c r="G596" s="8" t="str">
        <f>IFERROR(__xludf.DUMMYFUNCTION("GOOGLETRANSLATE(C596, ""en"", ""de"")"),"Bungalow")</f>
        <v>Bungalow</v>
      </c>
      <c r="H596" s="8" t="str">
        <f>IFERROR(__xludf.DUMMYFUNCTION("GOOGLETRANSLATE(C596, ""en"", ""ru"")"),"бунгало")</f>
        <v>бунгало</v>
      </c>
      <c r="I596" s="8" t="str">
        <f>IFERROR(__xludf.DUMMYFUNCTION("GOOGLETRANSLATE(C596, ""en"", ""ar"")"),"بنغل")</f>
        <v>بنغل</v>
      </c>
      <c r="J596" s="8"/>
      <c r="K596" s="7" t="str">
        <f>IFERROR(__xludf.DUMMYFUNCTION("CONCAT(REGEXREPLACE(C596,""[ ,]+"",""_""),"".mp3"")"),"bungalow.mp3")</f>
        <v>bungalow.mp3</v>
      </c>
      <c r="M596" s="4" t="s">
        <v>10</v>
      </c>
    </row>
    <row r="597" ht="15.75" customHeight="1">
      <c r="A597" s="1">
        <v>1965.0</v>
      </c>
      <c r="B597" s="3">
        <v>145.0</v>
      </c>
      <c r="C597" s="7" t="s">
        <v>642</v>
      </c>
      <c r="D597" s="8" t="str">
        <f>IFERROR(__xludf.DUMMYFUNCTION("GOOGLETRANSLATE(C597, ""en"", ""pt"")"),"vila")</f>
        <v>vila</v>
      </c>
      <c r="E597" s="8" t="str">
        <f>IFERROR(__xludf.DUMMYFUNCTION("GOOGLETRANSLATE(C597, ""en"", ""es"")"),"villa")</f>
        <v>villa</v>
      </c>
      <c r="F597" s="8" t="str">
        <f>IFERROR(__xludf.DUMMYFUNCTION("GOOGLETRANSLATE(C597, ""en"", ""fr"")"),"villa")</f>
        <v>villa</v>
      </c>
      <c r="G597" s="8" t="str">
        <f>IFERROR(__xludf.DUMMYFUNCTION("GOOGLETRANSLATE(C597, ""en"", ""de"")"),"Villa")</f>
        <v>Villa</v>
      </c>
      <c r="H597" s="8" t="str">
        <f>IFERROR(__xludf.DUMMYFUNCTION("GOOGLETRANSLATE(C597, ""en"", ""ru"")"),"вилла")</f>
        <v>вилла</v>
      </c>
      <c r="I597" s="8" t="str">
        <f>IFERROR(__xludf.DUMMYFUNCTION("GOOGLETRANSLATE(C597, ""en"", ""ar"")"),"فيلا")</f>
        <v>فيلا</v>
      </c>
      <c r="J597" s="8"/>
      <c r="K597" s="7" t="str">
        <f>IFERROR(__xludf.DUMMYFUNCTION("CONCAT(REGEXREPLACE(C597,""[ ,]+"",""_""),"".mp3"")"),"villa.mp3")</f>
        <v>villa.mp3</v>
      </c>
      <c r="M597" s="4" t="s">
        <v>10</v>
      </c>
    </row>
    <row r="598" ht="15.75" customHeight="1">
      <c r="A598" s="1">
        <v>1966.0</v>
      </c>
      <c r="B598" s="3">
        <v>145.0</v>
      </c>
      <c r="C598" s="7" t="s">
        <v>643</v>
      </c>
      <c r="D598" s="8" t="str">
        <f>IFERROR(__xludf.DUMMYFUNCTION("GOOGLETRANSLATE(C598, ""en"", ""pt"")"),"cabana")</f>
        <v>cabana</v>
      </c>
      <c r="E598" s="8" t="str">
        <f>IFERROR(__xludf.DUMMYFUNCTION("GOOGLETRANSLATE(C598, ""en"", ""es"")"),"cabaña")</f>
        <v>cabaña</v>
      </c>
      <c r="F598" s="8" t="str">
        <f>IFERROR(__xludf.DUMMYFUNCTION("GOOGLETRANSLATE(C598, ""en"", ""fr"")"),"chalet")</f>
        <v>chalet</v>
      </c>
      <c r="G598" s="8" t="str">
        <f>IFERROR(__xludf.DUMMYFUNCTION("GOOGLETRANSLATE(C598, ""en"", ""de"")"),"Hütte")</f>
        <v>Hütte</v>
      </c>
      <c r="H598" s="8" t="str">
        <f>IFERROR(__xludf.DUMMYFUNCTION("GOOGLETRANSLATE(C598, ""en"", ""ru"")"),"коттедж")</f>
        <v>коттедж</v>
      </c>
      <c r="I598" s="8" t="str">
        <f>IFERROR(__xludf.DUMMYFUNCTION("GOOGLETRANSLATE(C598, ""en"", ""ar"")"),"كوخ")</f>
        <v>كوخ</v>
      </c>
      <c r="J598" s="8"/>
      <c r="K598" s="7" t="str">
        <f>IFERROR(__xludf.DUMMYFUNCTION("CONCAT(REGEXREPLACE(C598,""[ ,]+"",""_""),"".mp3"")"),"cottage.mp3")</f>
        <v>cottage.mp3</v>
      </c>
      <c r="M598" s="4" t="s">
        <v>10</v>
      </c>
    </row>
    <row r="599" ht="15.75" customHeight="1">
      <c r="A599" s="1">
        <v>1967.0</v>
      </c>
      <c r="B599" s="3">
        <v>145.0</v>
      </c>
      <c r="C599" s="7" t="s">
        <v>644</v>
      </c>
      <c r="D599" s="8" t="str">
        <f>IFERROR(__xludf.DUMMYFUNCTION("GOOGLETRANSLATE(C599, ""en"", ""pt"")"),"cabine")</f>
        <v>cabine</v>
      </c>
      <c r="E599" s="8" t="str">
        <f>IFERROR(__xludf.DUMMYFUNCTION("GOOGLETRANSLATE(C599, ""en"", ""es"")"),"cabina")</f>
        <v>cabina</v>
      </c>
      <c r="F599" s="8" t="str">
        <f>IFERROR(__xludf.DUMMYFUNCTION("GOOGLETRANSLATE(C599, ""en"", ""fr"")"),"cabine")</f>
        <v>cabine</v>
      </c>
      <c r="G599" s="8" t="str">
        <f>IFERROR(__xludf.DUMMYFUNCTION("GOOGLETRANSLATE(C599, ""en"", ""de"")"),"Kabine")</f>
        <v>Kabine</v>
      </c>
      <c r="H599" s="8" t="str">
        <f>IFERROR(__xludf.DUMMYFUNCTION("GOOGLETRANSLATE(C599, ""en"", ""ru"")"),"кабина")</f>
        <v>кабина</v>
      </c>
      <c r="I599" s="8" t="str">
        <f>IFERROR(__xludf.DUMMYFUNCTION("GOOGLETRANSLATE(C599, ""en"", ""ar"")"),"مقصورة")</f>
        <v>مقصورة</v>
      </c>
      <c r="J599" s="8"/>
      <c r="K599" s="7" t="str">
        <f>IFERROR(__xludf.DUMMYFUNCTION("CONCAT(REGEXREPLACE(C599,""[ ,]+"",""_""),"".mp3"")"),"cabin.mp3")</f>
        <v>cabin.mp3</v>
      </c>
      <c r="M599" s="4" t="s">
        <v>10</v>
      </c>
    </row>
    <row r="600" ht="15.75" customHeight="1">
      <c r="A600" s="1">
        <v>1968.0</v>
      </c>
      <c r="B600" s="3">
        <v>145.0</v>
      </c>
      <c r="C600" s="7" t="s">
        <v>645</v>
      </c>
      <c r="D600" s="8" t="str">
        <f>IFERROR(__xludf.DUMMYFUNCTION("GOOGLETRANSLATE(C600, ""en"", ""pt"")"),"cabana")</f>
        <v>cabana</v>
      </c>
      <c r="E600" s="8" t="str">
        <f>IFERROR(__xludf.DUMMYFUNCTION("GOOGLETRANSLATE(C600, ""en"", ""es"")"),"cabaña")</f>
        <v>cabaña</v>
      </c>
      <c r="F600" s="8" t="str">
        <f>IFERROR(__xludf.DUMMYFUNCTION("GOOGLETRANSLATE(C600, ""en"", ""fr"")"),"cabane")</f>
        <v>cabane</v>
      </c>
      <c r="G600" s="8" t="str">
        <f>IFERROR(__xludf.DUMMYFUNCTION("GOOGLETRANSLATE(C600, ""en"", ""de"")"),"Hütte")</f>
        <v>Hütte</v>
      </c>
      <c r="H600" s="8" t="str">
        <f>IFERROR(__xludf.DUMMYFUNCTION("GOOGLETRANSLATE(C600, ""en"", ""ru"")"),"хижина")</f>
        <v>хижина</v>
      </c>
      <c r="I600" s="8" t="str">
        <f>IFERROR(__xludf.DUMMYFUNCTION("GOOGLETRANSLATE(C600, ""en"", ""ar"")"),"كوخ")</f>
        <v>كوخ</v>
      </c>
      <c r="J600" s="8"/>
      <c r="K600" s="7" t="str">
        <f>IFERROR(__xludf.DUMMYFUNCTION("CONCAT(REGEXREPLACE(C600,""[ ,]+"",""_""),"".mp3"")"),"hut.mp3")</f>
        <v>hut.mp3</v>
      </c>
      <c r="M600" s="4" t="s">
        <v>10</v>
      </c>
    </row>
    <row r="601" ht="15.75" customHeight="1">
      <c r="A601" s="1">
        <v>1969.0</v>
      </c>
      <c r="B601" s="3">
        <v>145.0</v>
      </c>
      <c r="C601" s="7" t="s">
        <v>646</v>
      </c>
      <c r="D601" s="8" t="str">
        <f>IFERROR(__xludf.DUMMYFUNCTION("GOOGLETRANSLATE(C601, ""en"", ""pt"")"),"mansão")</f>
        <v>mansão</v>
      </c>
      <c r="E601" s="8" t="str">
        <f>IFERROR(__xludf.DUMMYFUNCTION("GOOGLETRANSLATE(C601, ""en"", ""es"")"),"palacio")</f>
        <v>palacio</v>
      </c>
      <c r="F601" s="8" t="str">
        <f>IFERROR(__xludf.DUMMYFUNCTION("GOOGLETRANSLATE(C601, ""en"", ""fr"")"),"manoir")</f>
        <v>manoir</v>
      </c>
      <c r="G601" s="8" t="str">
        <f>IFERROR(__xludf.DUMMYFUNCTION("GOOGLETRANSLATE(C601, ""en"", ""de"")"),"Villa")</f>
        <v>Villa</v>
      </c>
      <c r="H601" s="8" t="str">
        <f>IFERROR(__xludf.DUMMYFUNCTION("GOOGLETRANSLATE(C601, ""en"", ""ru"")"),"особняк")</f>
        <v>особняк</v>
      </c>
      <c r="I601" s="8" t="str">
        <f>IFERROR(__xludf.DUMMYFUNCTION("GOOGLETRANSLATE(C601, ""en"", ""ar"")"),"قصر")</f>
        <v>قصر</v>
      </c>
      <c r="J601" s="8"/>
      <c r="K601" s="7" t="str">
        <f>IFERROR(__xludf.DUMMYFUNCTION("CONCAT(REGEXREPLACE(C601,""[ ,]+"",""_""),"".mp3"")"),"mansion.mp3")</f>
        <v>mansion.mp3</v>
      </c>
      <c r="M601" s="4" t="s">
        <v>10</v>
      </c>
    </row>
    <row r="602" ht="15.75" customHeight="1">
      <c r="A602" s="1">
        <v>1970.0</v>
      </c>
      <c r="B602" s="3">
        <v>145.0</v>
      </c>
      <c r="C602" s="7" t="s">
        <v>647</v>
      </c>
      <c r="D602" s="8" t="str">
        <f>IFERROR(__xludf.DUMMYFUNCTION("GOOGLETRANSLATE(C602, ""en"", ""pt"")"),"palácio")</f>
        <v>palácio</v>
      </c>
      <c r="E602" s="8" t="str">
        <f>IFERROR(__xludf.DUMMYFUNCTION("GOOGLETRANSLATE(C602, ""en"", ""es"")"),"palacio")</f>
        <v>palacio</v>
      </c>
      <c r="F602" s="8" t="str">
        <f>IFERROR(__xludf.DUMMYFUNCTION("GOOGLETRANSLATE(C602, ""en"", ""fr"")"),"palais")</f>
        <v>palais</v>
      </c>
      <c r="G602" s="8" t="str">
        <f>IFERROR(__xludf.DUMMYFUNCTION("GOOGLETRANSLATE(C602, ""en"", ""de"")"),"Palast")</f>
        <v>Palast</v>
      </c>
      <c r="H602" s="8" t="str">
        <f>IFERROR(__xludf.DUMMYFUNCTION("GOOGLETRANSLATE(C602, ""en"", ""ru"")"),"дворец")</f>
        <v>дворец</v>
      </c>
      <c r="I602" s="8" t="str">
        <f>IFERROR(__xludf.DUMMYFUNCTION("GOOGLETRANSLATE(C602, ""en"", ""ar"")"),"قصر")</f>
        <v>قصر</v>
      </c>
      <c r="J602" s="8"/>
      <c r="K602" s="7" t="str">
        <f>IFERROR(__xludf.DUMMYFUNCTION("CONCAT(REGEXREPLACE(C602,""[ ,]+"",""_""),"".mp3"")"),"palace.mp3")</f>
        <v>palace.mp3</v>
      </c>
      <c r="M602" s="4" t="s">
        <v>10</v>
      </c>
    </row>
    <row r="603" ht="15.75" customHeight="1">
      <c r="A603" s="1">
        <v>1971.0</v>
      </c>
      <c r="B603" s="3">
        <v>145.0</v>
      </c>
      <c r="C603" s="7" t="s">
        <v>648</v>
      </c>
      <c r="D603" s="8" t="str">
        <f>IFERROR(__xludf.DUMMYFUNCTION("GOOGLETRANSLATE(C603, ""en"", ""pt"")"),"dormitório")</f>
        <v>dormitório</v>
      </c>
      <c r="E603" s="8" t="str">
        <f>IFERROR(__xludf.DUMMYFUNCTION("GOOGLETRANSLATE(C603, ""en"", ""es"")"),"dormitorio")</f>
        <v>dormitorio</v>
      </c>
      <c r="F603" s="8" t="str">
        <f>IFERROR(__xludf.DUMMYFUNCTION("GOOGLETRANSLATE(C603, ""en"", ""fr"")"),"dortoir")</f>
        <v>dortoir</v>
      </c>
      <c r="G603" s="8" t="str">
        <f>IFERROR(__xludf.DUMMYFUNCTION("GOOGLETRANSLATE(C603, ""en"", ""de"")"),"Schlafsaal")</f>
        <v>Schlafsaal</v>
      </c>
      <c r="H603" s="8" t="str">
        <f>IFERROR(__xludf.DUMMYFUNCTION("GOOGLETRANSLATE(C603, ""en"", ""ru"")"),"общежитие")</f>
        <v>общежитие</v>
      </c>
      <c r="I603" s="8" t="str">
        <f>IFERROR(__xludf.DUMMYFUNCTION("GOOGLETRANSLATE(C603, ""en"", ""ar"")"),"المهجع")</f>
        <v>المهجع</v>
      </c>
      <c r="J603" s="8"/>
      <c r="K603" s="7" t="str">
        <f>IFERROR(__xludf.DUMMYFUNCTION("CONCAT(REGEXREPLACE(C603,""[ ,]+"",""_""),"".mp3"")"),"dormitory.mp3")</f>
        <v>dormitory.mp3</v>
      </c>
      <c r="M603" s="4" t="s">
        <v>10</v>
      </c>
    </row>
    <row r="604" ht="15.75" customHeight="1">
      <c r="A604" s="1">
        <v>1972.0</v>
      </c>
      <c r="B604" s="3">
        <v>145.0</v>
      </c>
      <c r="C604" s="7" t="s">
        <v>649</v>
      </c>
      <c r="D604" s="8" t="str">
        <f>IFERROR(__xludf.DUMMYFUNCTION("GOOGLETRANSLATE(C604, ""en"", ""pt"")"),"Hostel")</f>
        <v>Hostel</v>
      </c>
      <c r="E604" s="8" t="str">
        <f>IFERROR(__xludf.DUMMYFUNCTION("GOOGLETRANSLATE(C604, ""en"", ""es"")"),"Albergue")</f>
        <v>Albergue</v>
      </c>
      <c r="F604" s="8" t="str">
        <f>IFERROR(__xludf.DUMMYFUNCTION("GOOGLETRANSLATE(C604, ""en"", ""fr"")"),"auberge")</f>
        <v>auberge</v>
      </c>
      <c r="G604" s="8" t="str">
        <f>IFERROR(__xludf.DUMMYFUNCTION("GOOGLETRANSLATE(C604, ""en"", ""de"")"),"Herberge")</f>
        <v>Herberge</v>
      </c>
      <c r="H604" s="8" t="str">
        <f>IFERROR(__xludf.DUMMYFUNCTION("GOOGLETRANSLATE(C604, ""en"", ""ru"")"),"общежитие")</f>
        <v>общежитие</v>
      </c>
      <c r="I604" s="8" t="str">
        <f>IFERROR(__xludf.DUMMYFUNCTION("GOOGLETRANSLATE(C604, ""en"", ""ar"")"),"نُزُل")</f>
        <v>نُزُل</v>
      </c>
      <c r="J604" s="8"/>
      <c r="K604" s="7" t="str">
        <f>IFERROR(__xludf.DUMMYFUNCTION("CONCAT(REGEXREPLACE(C604,""[ ,]+"",""_""),"".mp3"")"),"hostel.mp3")</f>
        <v>hostel.mp3</v>
      </c>
      <c r="M604" s="4" t="s">
        <v>10</v>
      </c>
    </row>
    <row r="605" ht="15.75" customHeight="1">
      <c r="A605" s="1">
        <v>1973.0</v>
      </c>
      <c r="B605" s="3">
        <v>145.0</v>
      </c>
      <c r="C605" s="7" t="s">
        <v>650</v>
      </c>
      <c r="D605" s="8" t="str">
        <f>IFERROR(__xludf.DUMMYFUNCTION("GOOGLETRANSLATE(C605, ""en"", ""pt"")"),"lar de idosos")</f>
        <v>lar de idosos</v>
      </c>
      <c r="E605" s="8" t="str">
        <f>IFERROR(__xludf.DUMMYFUNCTION("GOOGLETRANSLATE(C605, ""en"", ""es"")"),"residencia de ancianos")</f>
        <v>residencia de ancianos</v>
      </c>
      <c r="F605" s="8" t="str">
        <f>IFERROR(__xludf.DUMMYFUNCTION("GOOGLETRANSLATE(C605, ""en"", ""fr"")"),"maison de retraite")</f>
        <v>maison de retraite</v>
      </c>
      <c r="G605" s="8" t="str">
        <f>IFERROR(__xludf.DUMMYFUNCTION("GOOGLETRANSLATE(C605, ""en"", ""de"")"),"Seniorenheim")</f>
        <v>Seniorenheim</v>
      </c>
      <c r="H605" s="8" t="str">
        <f>IFERROR(__xludf.DUMMYFUNCTION("GOOGLETRANSLATE(C605, ""en"", ""ru"")"),"дом престарелых")</f>
        <v>дом престарелых</v>
      </c>
      <c r="I605" s="8" t="str">
        <f>IFERROR(__xludf.DUMMYFUNCTION("GOOGLETRANSLATE(C605, ""en"", ""ar"")"),"دار رعاية المسنين")</f>
        <v>دار رعاية المسنين</v>
      </c>
      <c r="J605" s="8"/>
      <c r="K605" s="7" t="str">
        <f>IFERROR(__xludf.DUMMYFUNCTION("CONCAT(REGEXREPLACE(C605,""[ ,]+"",""_""),"".mp3"")"),"retirement_home.mp3")</f>
        <v>retirement_home.mp3</v>
      </c>
      <c r="M605" s="4" t="s">
        <v>10</v>
      </c>
    </row>
    <row r="606" ht="15.75" customHeight="1">
      <c r="A606" s="1">
        <v>1974.0</v>
      </c>
      <c r="B606" s="3">
        <v>145.0</v>
      </c>
      <c r="C606" s="7" t="s">
        <v>651</v>
      </c>
      <c r="D606" s="8" t="str">
        <f>IFERROR(__xludf.DUMMYFUNCTION("GOOGLETRANSLATE(C606, ""en"", ""pt"")"),"lar de idosos")</f>
        <v>lar de idosos</v>
      </c>
      <c r="E606" s="8" t="str">
        <f>IFERROR(__xludf.DUMMYFUNCTION("GOOGLETRANSLATE(C606, ""en"", ""es"")"),"asilo de ancianos")</f>
        <v>asilo de ancianos</v>
      </c>
      <c r="F606" s="8" t="str">
        <f>IFERROR(__xludf.DUMMYFUNCTION("GOOGLETRANSLATE(C606, ""en"", ""fr"")"),"maison de repos")</f>
        <v>maison de repos</v>
      </c>
      <c r="G606" s="8" t="str">
        <f>IFERROR(__xludf.DUMMYFUNCTION("GOOGLETRANSLATE(C606, ""en"", ""de"")"),"Pflegeheim")</f>
        <v>Pflegeheim</v>
      </c>
      <c r="H606" s="8" t="str">
        <f>IFERROR(__xludf.DUMMYFUNCTION("GOOGLETRANSLATE(C606, ""en"", ""ru"")"),"дом престарелых")</f>
        <v>дом престарелых</v>
      </c>
      <c r="I606" s="8" t="str">
        <f>IFERROR(__xludf.DUMMYFUNCTION("GOOGLETRANSLATE(C606, ""en"", ""ar"")"),"دار رعاية المسنين")</f>
        <v>دار رعاية المسنين</v>
      </c>
      <c r="J606" s="8"/>
      <c r="K606" s="7" t="str">
        <f>IFERROR(__xludf.DUMMYFUNCTION("CONCAT(REGEXREPLACE(C606,""[ ,]+"",""_""),"".mp3"")"),"nursing_home.mp3")</f>
        <v>nursing_home.mp3</v>
      </c>
      <c r="M606" s="4" t="s">
        <v>10</v>
      </c>
    </row>
    <row r="607" ht="15.75" customHeight="1">
      <c r="A607" s="1">
        <v>1975.0</v>
      </c>
      <c r="B607" s="3">
        <v>145.0</v>
      </c>
      <c r="C607" s="7" t="s">
        <v>652</v>
      </c>
      <c r="D607" s="8" t="str">
        <f>IFERROR(__xludf.DUMMYFUNCTION("GOOGLETRANSLATE(C607, ""en"", ""pt"")"),"abrigo")</f>
        <v>abrigo</v>
      </c>
      <c r="E607" s="8" t="str">
        <f>IFERROR(__xludf.DUMMYFUNCTION("GOOGLETRANSLATE(C607, ""en"", ""es"")"),"refugio")</f>
        <v>refugio</v>
      </c>
      <c r="F607" s="8" t="str">
        <f>IFERROR(__xludf.DUMMYFUNCTION("GOOGLETRANSLATE(C607, ""en"", ""fr"")"),"abri")</f>
        <v>abri</v>
      </c>
      <c r="G607" s="8" t="str">
        <f>IFERROR(__xludf.DUMMYFUNCTION("GOOGLETRANSLATE(C607, ""en"", ""de"")"),"Unterschlupf")</f>
        <v>Unterschlupf</v>
      </c>
      <c r="H607" s="8" t="str">
        <f>IFERROR(__xludf.DUMMYFUNCTION("GOOGLETRANSLATE(C607, ""en"", ""ru"")"),"приют")</f>
        <v>приют</v>
      </c>
      <c r="I607" s="8" t="str">
        <f>IFERROR(__xludf.DUMMYFUNCTION("GOOGLETRANSLATE(C607, ""en"", ""ar"")"),"مَأوىً")</f>
        <v>مَأوىً</v>
      </c>
      <c r="J607" s="8"/>
      <c r="K607" s="7" t="str">
        <f>IFERROR(__xludf.DUMMYFUNCTION("CONCAT(REGEXREPLACE(C607,""[ ,]+"",""_""),"".mp3"")"),"shelter.mp3")</f>
        <v>shelter.mp3</v>
      </c>
      <c r="M607" s="4" t="s">
        <v>10</v>
      </c>
    </row>
    <row r="608" ht="15.75" customHeight="1">
      <c r="A608" s="1">
        <v>1976.0</v>
      </c>
      <c r="B608" s="3">
        <v>145.0</v>
      </c>
      <c r="C608" s="7" t="s">
        <v>653</v>
      </c>
      <c r="D608" s="8" t="str">
        <f>IFERROR(__xludf.DUMMYFUNCTION("GOOGLETRANSLATE(C608, ""en"", ""pt"")"),"escola")</f>
        <v>escola</v>
      </c>
      <c r="E608" s="8" t="str">
        <f>IFERROR(__xludf.DUMMYFUNCTION("GOOGLETRANSLATE(C608, ""en"", ""es"")"),"escuela")</f>
        <v>escuela</v>
      </c>
      <c r="F608" s="8" t="str">
        <f>IFERROR(__xludf.DUMMYFUNCTION("GOOGLETRANSLATE(C608, ""en"", ""fr"")"),"école")</f>
        <v>école</v>
      </c>
      <c r="G608" s="8" t="str">
        <f>IFERROR(__xludf.DUMMYFUNCTION("GOOGLETRANSLATE(C608, ""en"", ""de"")"),"Schule")</f>
        <v>Schule</v>
      </c>
      <c r="H608" s="8" t="str">
        <f>IFERROR(__xludf.DUMMYFUNCTION("GOOGLETRANSLATE(C608, ""en"", ""ru"")"),"школа")</f>
        <v>школа</v>
      </c>
      <c r="I608" s="8" t="str">
        <f>IFERROR(__xludf.DUMMYFUNCTION("GOOGLETRANSLATE(C608, ""en"", ""ar"")"),"مدرسة")</f>
        <v>مدرسة</v>
      </c>
      <c r="J608" s="8"/>
      <c r="K608" s="7" t="str">
        <f>IFERROR(__xludf.DUMMYFUNCTION("CONCAT(REGEXREPLACE(C608,""[ ,]+"",""_""),"".mp3"")"),"school.mp3")</f>
        <v>school.mp3</v>
      </c>
      <c r="M608" s="4" t="s">
        <v>10</v>
      </c>
    </row>
    <row r="609" ht="15.75" customHeight="1">
      <c r="A609" s="1">
        <v>1977.0</v>
      </c>
      <c r="B609" s="3">
        <v>145.0</v>
      </c>
      <c r="C609" s="7" t="s">
        <v>654</v>
      </c>
      <c r="D609" s="8" t="str">
        <f>IFERROR(__xludf.DUMMYFUNCTION("GOOGLETRANSLATE(C609, ""en"", ""pt"")"),"escola primária")</f>
        <v>escola primária</v>
      </c>
      <c r="E609" s="8" t="str">
        <f>IFERROR(__xludf.DUMMYFUNCTION("GOOGLETRANSLATE(C609, ""en"", ""es"")"),"escuela primaria")</f>
        <v>escuela primaria</v>
      </c>
      <c r="F609" s="8" t="str">
        <f>IFERROR(__xludf.DUMMYFUNCTION("GOOGLETRANSLATE(C609, ""en"", ""fr"")"),"école primaire")</f>
        <v>école primaire</v>
      </c>
      <c r="G609" s="8" t="str">
        <f>IFERROR(__xludf.DUMMYFUNCTION("GOOGLETRANSLATE(C609, ""en"", ""de"")"),"Grundschule")</f>
        <v>Grundschule</v>
      </c>
      <c r="H609" s="8" t="str">
        <f>IFERROR(__xludf.DUMMYFUNCTION("GOOGLETRANSLATE(C609, ""en"", ""ru"")"),"Начальная школа")</f>
        <v>Начальная школа</v>
      </c>
      <c r="I609" s="8" t="str">
        <f>IFERROR(__xludf.DUMMYFUNCTION("GOOGLETRANSLATE(C609, ""en"", ""ar"")"),"مدرسة إبتدائية")</f>
        <v>مدرسة إبتدائية</v>
      </c>
      <c r="J609" s="8"/>
      <c r="K609" s="7" t="str">
        <f>IFERROR(__xludf.DUMMYFUNCTION("CONCAT(REGEXREPLACE(C609,""[ ,]+"",""_""),"".mp3"")"),"primary_school.mp3")</f>
        <v>primary_school.mp3</v>
      </c>
      <c r="M609" s="4" t="s">
        <v>10</v>
      </c>
    </row>
    <row r="610" ht="15.75" customHeight="1">
      <c r="A610" s="1">
        <v>1978.0</v>
      </c>
      <c r="B610" s="3">
        <v>145.0</v>
      </c>
      <c r="C610" s="7" t="s">
        <v>655</v>
      </c>
      <c r="D610" s="8" t="str">
        <f>IFERROR(__xludf.DUMMYFUNCTION("GOOGLETRANSLATE(C610, ""en"", ""pt"")"),"Ensino Médio")</f>
        <v>Ensino Médio</v>
      </c>
      <c r="E610" s="8" t="str">
        <f>IFERROR(__xludf.DUMMYFUNCTION("GOOGLETRANSLATE(C610, ""en"", ""es"")"),"Escuela secundaria")</f>
        <v>Escuela secundaria</v>
      </c>
      <c r="F610" s="8" t="str">
        <f>IFERROR(__xludf.DUMMYFUNCTION("GOOGLETRANSLATE(C610, ""en"", ""fr"")"),"lycée")</f>
        <v>lycée</v>
      </c>
      <c r="G610" s="8" t="str">
        <f>IFERROR(__xludf.DUMMYFUNCTION("GOOGLETRANSLATE(C610, ""en"", ""de"")"),"weiterführende Schule")</f>
        <v>weiterführende Schule</v>
      </c>
      <c r="H610" s="8" t="str">
        <f>IFERROR(__xludf.DUMMYFUNCTION("GOOGLETRANSLATE(C610, ""en"", ""ru"")"),"средняя школа")</f>
        <v>средняя школа</v>
      </c>
      <c r="I610" s="8" t="str">
        <f>IFERROR(__xludf.DUMMYFUNCTION("GOOGLETRANSLATE(C610, ""en"", ""ar"")"),".مدرسة ثانوية")</f>
        <v>.مدرسة ثانوية</v>
      </c>
      <c r="J610" s="8"/>
      <c r="K610" s="7" t="str">
        <f>IFERROR(__xludf.DUMMYFUNCTION("CONCAT(REGEXREPLACE(C610,""[ ,]+"",""_""),"".mp3"")"),"secondary_school.mp3")</f>
        <v>secondary_school.mp3</v>
      </c>
      <c r="M610" s="4" t="s">
        <v>10</v>
      </c>
    </row>
    <row r="611" ht="15.75" customHeight="1">
      <c r="A611" s="1">
        <v>1979.0</v>
      </c>
      <c r="B611" s="3">
        <v>145.0</v>
      </c>
      <c r="C611" s="7" t="s">
        <v>656</v>
      </c>
      <c r="D611" s="8" t="str">
        <f>IFERROR(__xludf.DUMMYFUNCTION("GOOGLETRANSLATE(C611, ""en"", ""pt"")"),"ensino médio")</f>
        <v>ensino médio</v>
      </c>
      <c r="E611" s="8" t="str">
        <f>IFERROR(__xludf.DUMMYFUNCTION("GOOGLETRANSLATE(C611, ""en"", ""es"")"),"escuela secundaria")</f>
        <v>escuela secundaria</v>
      </c>
      <c r="F611" s="8" t="str">
        <f>IFERROR(__xludf.DUMMYFUNCTION("GOOGLETRANSLATE(C611, ""en"", ""fr"")"),"lycée")</f>
        <v>lycée</v>
      </c>
      <c r="G611" s="8" t="str">
        <f>IFERROR(__xludf.DUMMYFUNCTION("GOOGLETRANSLATE(C611, ""en"", ""de"")"),"Gymnasium")</f>
        <v>Gymnasium</v>
      </c>
      <c r="H611" s="8" t="str">
        <f>IFERROR(__xludf.DUMMYFUNCTION("GOOGLETRANSLATE(C611, ""en"", ""ru"")"),"средняя школа")</f>
        <v>средняя школа</v>
      </c>
      <c r="I611" s="8" t="str">
        <f>IFERROR(__xludf.DUMMYFUNCTION("GOOGLETRANSLATE(C611, ""en"", ""ar"")"),"مدرسة ثانوية")</f>
        <v>مدرسة ثانوية</v>
      </c>
      <c r="J611" s="8"/>
      <c r="K611" s="7" t="str">
        <f>IFERROR(__xludf.DUMMYFUNCTION("CONCAT(REGEXREPLACE(C611,""[ ,]+"",""_""),"".mp3"")"),"high_school.mp3")</f>
        <v>high_school.mp3</v>
      </c>
      <c r="M611" s="4" t="s">
        <v>10</v>
      </c>
    </row>
    <row r="612" ht="15.75" customHeight="1">
      <c r="A612" s="1">
        <v>1980.0</v>
      </c>
      <c r="B612" s="3">
        <v>145.0</v>
      </c>
      <c r="C612" s="7" t="s">
        <v>657</v>
      </c>
      <c r="D612" s="8" t="str">
        <f>IFERROR(__xludf.DUMMYFUNCTION("GOOGLETRANSLATE(C612, ""en"", ""pt"")"),"faculdade")</f>
        <v>faculdade</v>
      </c>
      <c r="E612" s="8" t="str">
        <f>IFERROR(__xludf.DUMMYFUNCTION("GOOGLETRANSLATE(C612, ""en"", ""es"")"),"colega")</f>
        <v>colega</v>
      </c>
      <c r="F612" s="8" t="str">
        <f>IFERROR(__xludf.DUMMYFUNCTION("GOOGLETRANSLATE(C612, ""en"", ""fr"")"),"collège")</f>
        <v>collège</v>
      </c>
      <c r="G612" s="8" t="str">
        <f>IFERROR(__xludf.DUMMYFUNCTION("GOOGLETRANSLATE(C612, ""en"", ""de"")"),"Hochschule")</f>
        <v>Hochschule</v>
      </c>
      <c r="H612" s="8" t="str">
        <f>IFERROR(__xludf.DUMMYFUNCTION("GOOGLETRANSLATE(C612, ""en"", ""ru"")"),"колледж")</f>
        <v>колледж</v>
      </c>
      <c r="I612" s="8" t="str">
        <f>IFERROR(__xludf.DUMMYFUNCTION("GOOGLETRANSLATE(C612, ""en"", ""ar"")"),"كلية")</f>
        <v>كلية</v>
      </c>
      <c r="J612" s="8"/>
      <c r="K612" s="7" t="str">
        <f>IFERROR(__xludf.DUMMYFUNCTION("CONCAT(REGEXREPLACE(C612,""[ ,]+"",""_""),"".mp3"")"),"college.mp3")</f>
        <v>college.mp3</v>
      </c>
      <c r="M612" s="4" t="s">
        <v>10</v>
      </c>
    </row>
    <row r="613" ht="15.75" customHeight="1">
      <c r="A613" s="1">
        <v>1981.0</v>
      </c>
      <c r="B613" s="3">
        <v>145.0</v>
      </c>
      <c r="C613" s="7" t="s">
        <v>658</v>
      </c>
      <c r="D613" s="8" t="str">
        <f>IFERROR(__xludf.DUMMYFUNCTION("GOOGLETRANSLATE(C613, ""en"", ""pt"")"),"universidade")</f>
        <v>universidade</v>
      </c>
      <c r="E613" s="8" t="str">
        <f>IFERROR(__xludf.DUMMYFUNCTION("GOOGLETRANSLATE(C613, ""en"", ""es"")"),"universidad")</f>
        <v>universidad</v>
      </c>
      <c r="F613" s="8" t="str">
        <f>IFERROR(__xludf.DUMMYFUNCTION("GOOGLETRANSLATE(C613, ""en"", ""fr"")"),"université")</f>
        <v>université</v>
      </c>
      <c r="G613" s="8" t="str">
        <f>IFERROR(__xludf.DUMMYFUNCTION("GOOGLETRANSLATE(C613, ""en"", ""de"")"),"Universität")</f>
        <v>Universität</v>
      </c>
      <c r="H613" s="8" t="str">
        <f>IFERROR(__xludf.DUMMYFUNCTION("GOOGLETRANSLATE(C613, ""en"", ""ru"")"),"университет")</f>
        <v>университет</v>
      </c>
      <c r="I613" s="8" t="str">
        <f>IFERROR(__xludf.DUMMYFUNCTION("GOOGLETRANSLATE(C613, ""en"", ""ar"")"),"جامعة")</f>
        <v>جامعة</v>
      </c>
      <c r="J613" s="8"/>
      <c r="K613" s="7" t="str">
        <f>IFERROR(__xludf.DUMMYFUNCTION("CONCAT(REGEXREPLACE(C613,""[ ,]+"",""_""),"".mp3"")"),"university.mp3")</f>
        <v>university.mp3</v>
      </c>
      <c r="M613" s="4" t="s">
        <v>10</v>
      </c>
    </row>
    <row r="614" ht="15.75" customHeight="1">
      <c r="A614" s="1">
        <v>1982.0</v>
      </c>
      <c r="B614" s="3">
        <v>145.0</v>
      </c>
      <c r="C614" s="7" t="s">
        <v>659</v>
      </c>
      <c r="D614" s="8" t="str">
        <f>IFERROR(__xludf.DUMMYFUNCTION("GOOGLETRANSLATE(C614, ""en"", ""pt"")"),"campus")</f>
        <v>campus</v>
      </c>
      <c r="E614" s="8" t="str">
        <f>IFERROR(__xludf.DUMMYFUNCTION("GOOGLETRANSLATE(C614, ""en"", ""es"")"),"campus")</f>
        <v>campus</v>
      </c>
      <c r="F614" s="8" t="str">
        <f>IFERROR(__xludf.DUMMYFUNCTION("GOOGLETRANSLATE(C614, ""en"", ""fr"")"),"campus")</f>
        <v>campus</v>
      </c>
      <c r="G614" s="8" t="str">
        <f>IFERROR(__xludf.DUMMYFUNCTION("GOOGLETRANSLATE(C614, ""en"", ""de"")"),"Campus")</f>
        <v>Campus</v>
      </c>
      <c r="H614" s="8" t="str">
        <f>IFERROR(__xludf.DUMMYFUNCTION("GOOGLETRANSLATE(C614, ""en"", ""ru"")"),"кампус")</f>
        <v>кампус</v>
      </c>
      <c r="I614" s="8" t="str">
        <f>IFERROR(__xludf.DUMMYFUNCTION("GOOGLETRANSLATE(C614, ""en"", ""ar"")"),"حرم الجامعة")</f>
        <v>حرم الجامعة</v>
      </c>
      <c r="J614" s="8"/>
      <c r="K614" s="7" t="str">
        <f>IFERROR(__xludf.DUMMYFUNCTION("CONCAT(REGEXREPLACE(C614,""[ ,]+"",""_""),"".mp3"")"),"campus.mp3")</f>
        <v>campus.mp3</v>
      </c>
      <c r="M614" s="4" t="s">
        <v>10</v>
      </c>
    </row>
    <row r="615" ht="15.75" customHeight="1">
      <c r="A615" s="1">
        <v>1983.0</v>
      </c>
      <c r="B615" s="3">
        <v>145.0</v>
      </c>
      <c r="C615" s="7" t="s">
        <v>660</v>
      </c>
      <c r="D615" s="8" t="str">
        <f>IFERROR(__xludf.DUMMYFUNCTION("GOOGLETRANSLATE(C615, ""en"", ""pt"")"),"sala de aula")</f>
        <v>sala de aula</v>
      </c>
      <c r="E615" s="8" t="str">
        <f>IFERROR(__xludf.DUMMYFUNCTION("GOOGLETRANSLATE(C615, ""en"", ""es"")"),"aula")</f>
        <v>aula</v>
      </c>
      <c r="F615" s="8" t="str">
        <f>IFERROR(__xludf.DUMMYFUNCTION("GOOGLETRANSLATE(C615, ""en"", ""fr"")"),"classe")</f>
        <v>classe</v>
      </c>
      <c r="G615" s="8" t="str">
        <f>IFERROR(__xludf.DUMMYFUNCTION("GOOGLETRANSLATE(C615, ""en"", ""de"")"),"Klassenzimmer")</f>
        <v>Klassenzimmer</v>
      </c>
      <c r="H615" s="8" t="str">
        <f>IFERROR(__xludf.DUMMYFUNCTION("GOOGLETRANSLATE(C615, ""en"", ""ru"")"),"классная комната")</f>
        <v>классная комната</v>
      </c>
      <c r="I615" s="8" t="str">
        <f>IFERROR(__xludf.DUMMYFUNCTION("GOOGLETRANSLATE(C615, ""en"", ""ar"")"),"الفصل الدراسي")</f>
        <v>الفصل الدراسي</v>
      </c>
      <c r="J615" s="8"/>
      <c r="K615" s="7" t="str">
        <f>IFERROR(__xludf.DUMMYFUNCTION("CONCAT(REGEXREPLACE(C615,""[ ,]+"",""_""),"".mp3"")"),"classroom.mp3")</f>
        <v>classroom.mp3</v>
      </c>
      <c r="M615" s="4" t="s">
        <v>10</v>
      </c>
    </row>
    <row r="616" ht="15.75" customHeight="1">
      <c r="A616" s="1">
        <v>1984.0</v>
      </c>
      <c r="B616" s="3">
        <v>145.0</v>
      </c>
      <c r="C616" s="7" t="s">
        <v>661</v>
      </c>
      <c r="D616" s="8" t="str">
        <f>IFERROR(__xludf.DUMMYFUNCTION("GOOGLETRANSLATE(C616, ""en"", ""pt"")"),"auditório")</f>
        <v>auditório</v>
      </c>
      <c r="E616" s="8" t="str">
        <f>IFERROR(__xludf.DUMMYFUNCTION("GOOGLETRANSLATE(C616, ""en"", ""es"")"),"sala de conferencias")</f>
        <v>sala de conferencias</v>
      </c>
      <c r="F616" s="8" t="str">
        <f>IFERROR(__xludf.DUMMYFUNCTION("GOOGLETRANSLATE(C616, ""en"", ""fr"")"),"amphithéâtre")</f>
        <v>amphithéâtre</v>
      </c>
      <c r="G616" s="8" t="str">
        <f>IFERROR(__xludf.DUMMYFUNCTION("GOOGLETRANSLATE(C616, ""en"", ""de"")"),"Hörsaal")</f>
        <v>Hörsaal</v>
      </c>
      <c r="H616" s="8" t="str">
        <f>IFERROR(__xludf.DUMMYFUNCTION("GOOGLETRANSLATE(C616, ""en"", ""ru"")"),"лекционный зал")</f>
        <v>лекционный зал</v>
      </c>
      <c r="I616" s="8" t="str">
        <f>IFERROR(__xludf.DUMMYFUNCTION("GOOGLETRANSLATE(C616, ""en"", ""ar"")"),"قاعة المحاضرات")</f>
        <v>قاعة المحاضرات</v>
      </c>
      <c r="J616" s="8"/>
      <c r="K616" s="7" t="str">
        <f>IFERROR(__xludf.DUMMYFUNCTION("CONCAT(REGEXREPLACE(C616,""[ ,]+"",""_""),"".mp3"")"),"lecture_hall.mp3")</f>
        <v>lecture_hall.mp3</v>
      </c>
      <c r="M616" s="4" t="s">
        <v>10</v>
      </c>
    </row>
    <row r="617" ht="15.75" customHeight="1">
      <c r="A617" s="1">
        <v>1985.0</v>
      </c>
      <c r="B617" s="3">
        <v>145.0</v>
      </c>
      <c r="C617" s="7" t="s">
        <v>662</v>
      </c>
      <c r="D617" s="8" t="str">
        <f>IFERROR(__xludf.DUMMYFUNCTION("GOOGLETRANSLATE(C617, ""en"", ""pt"")"),"biblioteca")</f>
        <v>biblioteca</v>
      </c>
      <c r="E617" s="8" t="str">
        <f>IFERROR(__xludf.DUMMYFUNCTION("GOOGLETRANSLATE(C617, ""en"", ""es"")"),"biblioteca")</f>
        <v>biblioteca</v>
      </c>
      <c r="F617" s="8" t="str">
        <f>IFERROR(__xludf.DUMMYFUNCTION("GOOGLETRANSLATE(C617, ""en"", ""fr"")"),"bibliothèque")</f>
        <v>bibliothèque</v>
      </c>
      <c r="G617" s="8" t="str">
        <f>IFERROR(__xludf.DUMMYFUNCTION("GOOGLETRANSLATE(C617, ""en"", ""de"")"),"Bibliothek")</f>
        <v>Bibliothek</v>
      </c>
      <c r="H617" s="8" t="str">
        <f>IFERROR(__xludf.DUMMYFUNCTION("GOOGLETRANSLATE(C617, ""en"", ""ru"")"),"библиотека")</f>
        <v>библиотека</v>
      </c>
      <c r="I617" s="8" t="str">
        <f>IFERROR(__xludf.DUMMYFUNCTION("GOOGLETRANSLATE(C617, ""en"", ""ar"")"),"مكتبة")</f>
        <v>مكتبة</v>
      </c>
      <c r="J617" s="8"/>
      <c r="K617" s="7" t="str">
        <f>IFERROR(__xludf.DUMMYFUNCTION("CONCAT(REGEXREPLACE(C617,""[ ,]+"",""_""),"".mp3"")"),"library.mp3")</f>
        <v>library.mp3</v>
      </c>
      <c r="M617" s="4" t="s">
        <v>10</v>
      </c>
    </row>
    <row r="618" ht="15.75" customHeight="1">
      <c r="A618" s="1">
        <v>1986.0</v>
      </c>
      <c r="B618" s="3">
        <v>145.0</v>
      </c>
      <c r="C618" s="7" t="s">
        <v>663</v>
      </c>
      <c r="D618" s="8" t="str">
        <f>IFERROR(__xludf.DUMMYFUNCTION("GOOGLETRANSLATE(C618, ""en"", ""pt"")"),"laboratório")</f>
        <v>laboratório</v>
      </c>
      <c r="E618" s="8" t="str">
        <f>IFERROR(__xludf.DUMMYFUNCTION("GOOGLETRANSLATE(C618, ""en"", ""es"")"),"laboratorio")</f>
        <v>laboratorio</v>
      </c>
      <c r="F618" s="8" t="str">
        <f>IFERROR(__xludf.DUMMYFUNCTION("GOOGLETRANSLATE(C618, ""en"", ""fr"")"),"laboratoire")</f>
        <v>laboratoire</v>
      </c>
      <c r="G618" s="8" t="str">
        <f>IFERROR(__xludf.DUMMYFUNCTION("GOOGLETRANSLATE(C618, ""en"", ""de"")"),"Labor")</f>
        <v>Labor</v>
      </c>
      <c r="H618" s="8" t="str">
        <f>IFERROR(__xludf.DUMMYFUNCTION("GOOGLETRANSLATE(C618, ""en"", ""ru"")"),"лаборатория")</f>
        <v>лаборатория</v>
      </c>
      <c r="I618" s="8" t="str">
        <f>IFERROR(__xludf.DUMMYFUNCTION("GOOGLETRANSLATE(C618, ""en"", ""ar"")"),"معمل")</f>
        <v>معمل</v>
      </c>
      <c r="J618" s="8"/>
      <c r="K618" s="7" t="str">
        <f>IFERROR(__xludf.DUMMYFUNCTION("CONCAT(REGEXREPLACE(C618,""[ ,]+"",""_""),"".mp3"")"),"laboratory.mp3")</f>
        <v>laboratory.mp3</v>
      </c>
      <c r="M618" s="4" t="s">
        <v>10</v>
      </c>
    </row>
    <row r="619" ht="15.75" customHeight="1">
      <c r="A619" s="1">
        <v>1987.0</v>
      </c>
      <c r="B619" s="3">
        <v>145.0</v>
      </c>
      <c r="C619" s="7" t="s">
        <v>664</v>
      </c>
      <c r="D619" s="8" t="str">
        <f>IFERROR(__xludf.DUMMYFUNCTION("GOOGLETRANSLATE(C619, ""en"", ""pt"")"),"centro de pesquisa")</f>
        <v>centro de pesquisa</v>
      </c>
      <c r="E619" s="8" t="str">
        <f>IFERROR(__xludf.DUMMYFUNCTION("GOOGLETRANSLATE(C619, ""en"", ""es"")"),"centro de investigación")</f>
        <v>centro de investigación</v>
      </c>
      <c r="F619" s="8" t="str">
        <f>IFERROR(__xludf.DUMMYFUNCTION("GOOGLETRANSLATE(C619, ""en"", ""fr"")"),"centre de recherche")</f>
        <v>centre de recherche</v>
      </c>
      <c r="G619" s="8" t="str">
        <f>IFERROR(__xludf.DUMMYFUNCTION("GOOGLETRANSLATE(C619, ""en"", ""de"")"),"Forschungszentrum")</f>
        <v>Forschungszentrum</v>
      </c>
      <c r="H619" s="8" t="str">
        <f>IFERROR(__xludf.DUMMYFUNCTION("GOOGLETRANSLATE(C619, ""en"", ""ru"")"),"исследовательский центр")</f>
        <v>исследовательский центр</v>
      </c>
      <c r="I619" s="8" t="str">
        <f>IFERROR(__xludf.DUMMYFUNCTION("GOOGLETRANSLATE(C619, ""en"", ""ar"")"),"مركز الأبحاث")</f>
        <v>مركز الأبحاث</v>
      </c>
      <c r="J619" s="8"/>
      <c r="K619" s="7" t="str">
        <f>IFERROR(__xludf.DUMMYFUNCTION("CONCAT(REGEXREPLACE(C619,""[ ,]+"",""_""),"".mp3"")"),"research_center.mp3")</f>
        <v>research_center.mp3</v>
      </c>
      <c r="M619" s="4" t="s">
        <v>10</v>
      </c>
    </row>
    <row r="620" ht="15.75" customHeight="1">
      <c r="A620" s="1">
        <v>1988.0</v>
      </c>
      <c r="B620" s="3">
        <v>145.0</v>
      </c>
      <c r="C620" s="7" t="s">
        <v>665</v>
      </c>
      <c r="D620" s="8" t="str">
        <f>IFERROR(__xludf.DUMMYFUNCTION("GOOGLETRANSLATE(C620, ""en"", ""pt"")"),"centro de treinamento")</f>
        <v>centro de treinamento</v>
      </c>
      <c r="E620" s="8" t="str">
        <f>IFERROR(__xludf.DUMMYFUNCTION("GOOGLETRANSLATE(C620, ""en"", ""es"")"),"centro de formación")</f>
        <v>centro de formación</v>
      </c>
      <c r="F620" s="8" t="str">
        <f>IFERROR(__xludf.DUMMYFUNCTION("GOOGLETRANSLATE(C620, ""en"", ""fr"")"),"centre de formation")</f>
        <v>centre de formation</v>
      </c>
      <c r="G620" s="8" t="str">
        <f>IFERROR(__xludf.DUMMYFUNCTION("GOOGLETRANSLATE(C620, ""en"", ""de"")"),"Trainingszentrum")</f>
        <v>Trainingszentrum</v>
      </c>
      <c r="H620" s="8" t="str">
        <f>IFERROR(__xludf.DUMMYFUNCTION("GOOGLETRANSLATE(C620, ""en"", ""ru"")"),"учебный центр")</f>
        <v>учебный центр</v>
      </c>
      <c r="I620" s="8" t="str">
        <f>IFERROR(__xludf.DUMMYFUNCTION("GOOGLETRANSLATE(C620, ""en"", ""ar"")"),"مركز تدريب")</f>
        <v>مركز تدريب</v>
      </c>
      <c r="J620" s="8"/>
      <c r="K620" s="7" t="str">
        <f>IFERROR(__xludf.DUMMYFUNCTION("CONCAT(REGEXREPLACE(C620,""[ ,]+"",""_""),"".mp3"")"),"training_center.mp3")</f>
        <v>training_center.mp3</v>
      </c>
      <c r="M620" s="4" t="s">
        <v>10</v>
      </c>
    </row>
    <row r="621" ht="15.75" customHeight="1">
      <c r="A621" s="1">
        <v>1989.0</v>
      </c>
      <c r="B621" s="3">
        <v>145.0</v>
      </c>
      <c r="C621" s="7" t="s">
        <v>666</v>
      </c>
      <c r="D621" s="8" t="str">
        <f>IFERROR(__xludf.DUMMYFUNCTION("GOOGLETRANSLATE(C621, ""en"", ""pt"")"),"escola de idiomas")</f>
        <v>escola de idiomas</v>
      </c>
      <c r="E621" s="8" t="str">
        <f>IFERROR(__xludf.DUMMYFUNCTION("GOOGLETRANSLATE(C621, ""en"", ""es"")"),"escuela de idiomas")</f>
        <v>escuela de idiomas</v>
      </c>
      <c r="F621" s="8" t="str">
        <f>IFERROR(__xludf.DUMMYFUNCTION("GOOGLETRANSLATE(C621, ""en"", ""fr"")"),"école de langues")</f>
        <v>école de langues</v>
      </c>
      <c r="G621" s="8" t="str">
        <f>IFERROR(__xludf.DUMMYFUNCTION("GOOGLETRANSLATE(C621, ""en"", ""de"")"),"Sprachschule")</f>
        <v>Sprachschule</v>
      </c>
      <c r="H621" s="8" t="str">
        <f>IFERROR(__xludf.DUMMYFUNCTION("GOOGLETRANSLATE(C621, ""en"", ""ru"")"),"языковая школа")</f>
        <v>языковая школа</v>
      </c>
      <c r="I621" s="8" t="str">
        <f>IFERROR(__xludf.DUMMYFUNCTION("GOOGLETRANSLATE(C621, ""en"", ""ar"")"),"مدرسة لغات")</f>
        <v>مدرسة لغات</v>
      </c>
      <c r="J621" s="8"/>
      <c r="K621" s="7" t="str">
        <f>IFERROR(__xludf.DUMMYFUNCTION("CONCAT(REGEXREPLACE(C621,""[ ,]+"",""_""),"".mp3"")"),"language_school.mp3")</f>
        <v>language_school.mp3</v>
      </c>
      <c r="M621" s="4" t="s">
        <v>10</v>
      </c>
    </row>
    <row r="622" ht="15.75" customHeight="1">
      <c r="A622" s="1">
        <v>1990.0</v>
      </c>
      <c r="B622" s="3">
        <v>145.0</v>
      </c>
      <c r="C622" s="7" t="s">
        <v>667</v>
      </c>
      <c r="D622" s="8" t="str">
        <f>IFERROR(__xludf.DUMMYFUNCTION("GOOGLETRANSLATE(C622, ""en"", ""pt"")"),"escola de música")</f>
        <v>escola de música</v>
      </c>
      <c r="E622" s="8" t="str">
        <f>IFERROR(__xludf.DUMMYFUNCTION("GOOGLETRANSLATE(C622, ""en"", ""es"")"),"escuela de música")</f>
        <v>escuela de música</v>
      </c>
      <c r="F622" s="8" t="str">
        <f>IFERROR(__xludf.DUMMYFUNCTION("GOOGLETRANSLATE(C622, ""en"", ""fr"")"),"école de musique")</f>
        <v>école de musique</v>
      </c>
      <c r="G622" s="8" t="str">
        <f>IFERROR(__xludf.DUMMYFUNCTION("GOOGLETRANSLATE(C622, ""en"", ""de"")"),"Musikschule")</f>
        <v>Musikschule</v>
      </c>
      <c r="H622" s="8" t="str">
        <f>IFERROR(__xludf.DUMMYFUNCTION("GOOGLETRANSLATE(C622, ""en"", ""ru"")"),"музыкальная школа")</f>
        <v>музыкальная школа</v>
      </c>
      <c r="I622" s="8" t="str">
        <f>IFERROR(__xludf.DUMMYFUNCTION("GOOGLETRANSLATE(C622, ""en"", ""ar"")"),"مدرسة الموسيقى")</f>
        <v>مدرسة الموسيقى</v>
      </c>
      <c r="J622" s="8"/>
      <c r="K622" s="7" t="str">
        <f>IFERROR(__xludf.DUMMYFUNCTION("CONCAT(REGEXREPLACE(C622,""[ ,]+"",""_""),"".mp3"")"),"music_school.mp3")</f>
        <v>music_school.mp3</v>
      </c>
      <c r="M622" s="4" t="s">
        <v>10</v>
      </c>
    </row>
    <row r="623" ht="15.75" customHeight="1">
      <c r="A623" s="1">
        <v>1991.0</v>
      </c>
      <c r="B623" s="3">
        <v>145.0</v>
      </c>
      <c r="C623" s="7" t="s">
        <v>668</v>
      </c>
      <c r="D623" s="8" t="str">
        <f>IFERROR(__xludf.DUMMYFUNCTION("GOOGLETRANSLATE(C623, ""en"", ""pt"")"),"hospital")</f>
        <v>hospital</v>
      </c>
      <c r="E623" s="8" t="str">
        <f>IFERROR(__xludf.DUMMYFUNCTION("GOOGLETRANSLATE(C623, ""en"", ""es"")"),"hospital")</f>
        <v>hospital</v>
      </c>
      <c r="F623" s="8" t="str">
        <f>IFERROR(__xludf.DUMMYFUNCTION("GOOGLETRANSLATE(C623, ""en"", ""fr"")"),"hôpital")</f>
        <v>hôpital</v>
      </c>
      <c r="G623" s="8" t="str">
        <f>IFERROR(__xludf.DUMMYFUNCTION("GOOGLETRANSLATE(C623, ""en"", ""de"")"),"Krankenhaus")</f>
        <v>Krankenhaus</v>
      </c>
      <c r="H623" s="8" t="str">
        <f>IFERROR(__xludf.DUMMYFUNCTION("GOOGLETRANSLATE(C623, ""en"", ""ru"")"),"больница")</f>
        <v>больница</v>
      </c>
      <c r="I623" s="8" t="str">
        <f>IFERROR(__xludf.DUMMYFUNCTION("GOOGLETRANSLATE(C623, ""en"", ""ar"")"),"مستشفى")</f>
        <v>مستشفى</v>
      </c>
      <c r="J623" s="8"/>
      <c r="K623" s="7" t="str">
        <f>IFERROR(__xludf.DUMMYFUNCTION("CONCAT(REGEXREPLACE(C623,""[ ,]+"",""_""),"".mp3"")"),"hospital.mp3")</f>
        <v>hospital.mp3</v>
      </c>
      <c r="M623" s="4" t="s">
        <v>10</v>
      </c>
    </row>
    <row r="624" ht="15.75" customHeight="1">
      <c r="A624" s="1">
        <v>1992.0</v>
      </c>
      <c r="B624" s="3">
        <v>145.0</v>
      </c>
      <c r="C624" s="7" t="s">
        <v>669</v>
      </c>
      <c r="D624" s="8" t="str">
        <f>IFERROR(__xludf.DUMMYFUNCTION("GOOGLETRANSLATE(C624, ""en"", ""pt"")"),"clínica")</f>
        <v>clínica</v>
      </c>
      <c r="E624" s="8" t="str">
        <f>IFERROR(__xludf.DUMMYFUNCTION("GOOGLETRANSLATE(C624, ""en"", ""es"")"),"clínica")</f>
        <v>clínica</v>
      </c>
      <c r="F624" s="8" t="str">
        <f>IFERROR(__xludf.DUMMYFUNCTION("GOOGLETRANSLATE(C624, ""en"", ""fr"")"),"clinique")</f>
        <v>clinique</v>
      </c>
      <c r="G624" s="8" t="str">
        <f>IFERROR(__xludf.DUMMYFUNCTION("GOOGLETRANSLATE(C624, ""en"", ""de"")"),"Klinik")</f>
        <v>Klinik</v>
      </c>
      <c r="H624" s="8" t="str">
        <f>IFERROR(__xludf.DUMMYFUNCTION("GOOGLETRANSLATE(C624, ""en"", ""ru"")"),"клиника")</f>
        <v>клиника</v>
      </c>
      <c r="I624" s="8" t="str">
        <f>IFERROR(__xludf.DUMMYFUNCTION("GOOGLETRANSLATE(C624, ""en"", ""ar"")"),"عيادة")</f>
        <v>عيادة</v>
      </c>
      <c r="J624" s="8"/>
      <c r="K624" s="7" t="str">
        <f>IFERROR(__xludf.DUMMYFUNCTION("CONCAT(REGEXREPLACE(C624,""[ ,]+"",""_""),"".mp3"")"),"clinic.mp3")</f>
        <v>clinic.mp3</v>
      </c>
      <c r="M624" s="4" t="s">
        <v>10</v>
      </c>
    </row>
    <row r="625" ht="15.75" customHeight="1">
      <c r="A625" s="1">
        <v>1993.0</v>
      </c>
      <c r="B625" s="3">
        <v>145.0</v>
      </c>
      <c r="C625" s="7" t="s">
        <v>670</v>
      </c>
      <c r="D625" s="8" t="str">
        <f>IFERROR(__xludf.DUMMYFUNCTION("GOOGLETRANSLATE(C625, ""en"", ""pt"")"),"centro de saúde")</f>
        <v>centro de saúde</v>
      </c>
      <c r="E625" s="8" t="str">
        <f>IFERROR(__xludf.DUMMYFUNCTION("GOOGLETRANSLATE(C625, ""en"", ""es"")"),"centro de salud")</f>
        <v>centro de salud</v>
      </c>
      <c r="F625" s="8" t="str">
        <f>IFERROR(__xludf.DUMMYFUNCTION("GOOGLETRANSLATE(C625, ""en"", ""fr"")"),"centre de santé")</f>
        <v>centre de santé</v>
      </c>
      <c r="G625" s="8" t="str">
        <f>IFERROR(__xludf.DUMMYFUNCTION("GOOGLETRANSLATE(C625, ""en"", ""de"")"),"Gesundheitszentrum")</f>
        <v>Gesundheitszentrum</v>
      </c>
      <c r="H625" s="8" t="str">
        <f>IFERROR(__xludf.DUMMYFUNCTION("GOOGLETRANSLATE(C625, ""en"", ""ru"")"),"медицинский центр")</f>
        <v>медицинский центр</v>
      </c>
      <c r="I625" s="8" t="str">
        <f>IFERROR(__xludf.DUMMYFUNCTION("GOOGLETRANSLATE(C625, ""en"", ""ar"")"),"مركز صحي")</f>
        <v>مركز صحي</v>
      </c>
      <c r="J625" s="8"/>
      <c r="K625" s="7" t="str">
        <f>IFERROR(__xludf.DUMMYFUNCTION("CONCAT(REGEXREPLACE(C625,""[ ,]+"",""_""),"".mp3"")"),"health_center.mp3")</f>
        <v>health_center.mp3</v>
      </c>
      <c r="M625" s="4" t="s">
        <v>10</v>
      </c>
    </row>
    <row r="626" ht="15.75" customHeight="1">
      <c r="A626" s="1">
        <v>1994.0</v>
      </c>
      <c r="B626" s="3">
        <v>145.0</v>
      </c>
      <c r="C626" s="7" t="s">
        <v>671</v>
      </c>
      <c r="D626" s="8" t="str">
        <f>IFERROR(__xludf.DUMMYFUNCTION("GOOGLETRANSLATE(C626, ""en"", ""pt"")"),"centro médico")</f>
        <v>centro médico</v>
      </c>
      <c r="E626" s="8" t="str">
        <f>IFERROR(__xludf.DUMMYFUNCTION("GOOGLETRANSLATE(C626, ""en"", ""es"")"),"centro médico")</f>
        <v>centro médico</v>
      </c>
      <c r="F626" s="8" t="str">
        <f>IFERROR(__xludf.DUMMYFUNCTION("GOOGLETRANSLATE(C626, ""en"", ""fr"")"),"centre médical")</f>
        <v>centre médical</v>
      </c>
      <c r="G626" s="8" t="str">
        <f>IFERROR(__xludf.DUMMYFUNCTION("GOOGLETRANSLATE(C626, ""en"", ""de"")"),"medizinisches Zentrum")</f>
        <v>medizinisches Zentrum</v>
      </c>
      <c r="H626" s="8" t="str">
        <f>IFERROR(__xludf.DUMMYFUNCTION("GOOGLETRANSLATE(C626, ""en"", ""ru"")"),"медицинский центр")</f>
        <v>медицинский центр</v>
      </c>
      <c r="I626" s="8" t="str">
        <f>IFERROR(__xludf.DUMMYFUNCTION("GOOGLETRANSLATE(C626, ""en"", ""ar"")"),"المركز الطبي")</f>
        <v>المركز الطبي</v>
      </c>
      <c r="J626" s="8"/>
      <c r="K626" s="7" t="str">
        <f>IFERROR(__xludf.DUMMYFUNCTION("CONCAT(REGEXREPLACE(C626,""[ ,]+"",""_""),"".mp3"")"),"medical_center.mp3")</f>
        <v>medical_center.mp3</v>
      </c>
      <c r="M626" s="4" t="s">
        <v>10</v>
      </c>
    </row>
    <row r="627" ht="15.75" customHeight="1">
      <c r="A627" s="1">
        <v>1995.0</v>
      </c>
      <c r="B627" s="3">
        <v>145.0</v>
      </c>
      <c r="C627" s="7" t="s">
        <v>672</v>
      </c>
      <c r="D627" s="8" t="str">
        <f>IFERROR(__xludf.DUMMYFUNCTION("GOOGLETRANSLATE(C627, ""en"", ""pt"")"),"dentista")</f>
        <v>dentista</v>
      </c>
      <c r="E627" s="8" t="str">
        <f>IFERROR(__xludf.DUMMYFUNCTION("GOOGLETRANSLATE(C627, ""en"", ""es"")"),"dentista")</f>
        <v>dentista</v>
      </c>
      <c r="F627" s="8" t="str">
        <f>IFERROR(__xludf.DUMMYFUNCTION("GOOGLETRANSLATE(C627, ""en"", ""fr"")"),"dentiste")</f>
        <v>dentiste</v>
      </c>
      <c r="G627" s="8" t="str">
        <f>IFERROR(__xludf.DUMMYFUNCTION("GOOGLETRANSLATE(C627, ""en"", ""de"")"),"Zahnarzt")</f>
        <v>Zahnarzt</v>
      </c>
      <c r="H627" s="8" t="str">
        <f>IFERROR(__xludf.DUMMYFUNCTION("GOOGLETRANSLATE(C627, ""en"", ""ru"")"),"стоматолог")</f>
        <v>стоматолог</v>
      </c>
      <c r="I627" s="8" t="str">
        <f>IFERROR(__xludf.DUMMYFUNCTION("GOOGLETRANSLATE(C627, ""en"", ""ar"")"),"طبيب أسنان")</f>
        <v>طبيب أسنان</v>
      </c>
      <c r="J627" s="8"/>
      <c r="K627" s="7" t="str">
        <f>IFERROR(__xludf.DUMMYFUNCTION("CONCAT(REGEXREPLACE(C627,""[ ,]+"",""_""),"".mp3"")"),"dentist.mp3")</f>
        <v>dentist.mp3</v>
      </c>
      <c r="M627" s="4" t="s">
        <v>10</v>
      </c>
    </row>
    <row r="628" ht="15.75" customHeight="1">
      <c r="A628" s="1">
        <v>1996.0</v>
      </c>
      <c r="B628" s="3">
        <v>145.0</v>
      </c>
      <c r="C628" s="7" t="s">
        <v>673</v>
      </c>
      <c r="D628" s="8" t="str">
        <f>IFERROR(__xludf.DUMMYFUNCTION("GOOGLETRANSLATE(C628, ""en"", ""pt"")"),"farmácia")</f>
        <v>farmácia</v>
      </c>
      <c r="E628" s="8" t="str">
        <f>IFERROR(__xludf.DUMMYFUNCTION("GOOGLETRANSLATE(C628, ""en"", ""es"")"),"farmacia")</f>
        <v>farmacia</v>
      </c>
      <c r="F628" s="8" t="str">
        <f>IFERROR(__xludf.DUMMYFUNCTION("GOOGLETRANSLATE(C628, ""en"", ""fr"")"),"pharmacie")</f>
        <v>pharmacie</v>
      </c>
      <c r="G628" s="8" t="str">
        <f>IFERROR(__xludf.DUMMYFUNCTION("GOOGLETRANSLATE(C628, ""en"", ""de"")"),"Apotheke")</f>
        <v>Apotheke</v>
      </c>
      <c r="H628" s="8" t="str">
        <f>IFERROR(__xludf.DUMMYFUNCTION("GOOGLETRANSLATE(C628, ""en"", ""ru"")"),"аптека")</f>
        <v>аптека</v>
      </c>
      <c r="I628" s="8" t="str">
        <f>IFERROR(__xludf.DUMMYFUNCTION("GOOGLETRANSLATE(C628, ""en"", ""ar"")"),"صيدلية")</f>
        <v>صيدلية</v>
      </c>
      <c r="J628" s="8"/>
      <c r="K628" s="7" t="str">
        <f>IFERROR(__xludf.DUMMYFUNCTION("CONCAT(REGEXREPLACE(C628,""[ ,]+"",""_""),"".mp3"")"),"pharmacy.mp3")</f>
        <v>pharmacy.mp3</v>
      </c>
      <c r="M628" s="4" t="s">
        <v>10</v>
      </c>
    </row>
    <row r="629" ht="15.75" customHeight="1">
      <c r="A629" s="1">
        <v>1997.0</v>
      </c>
      <c r="B629" s="3">
        <v>145.0</v>
      </c>
      <c r="C629" s="7" t="s">
        <v>674</v>
      </c>
      <c r="D629" s="8" t="str">
        <f>IFERROR(__xludf.DUMMYFUNCTION("GOOGLETRANSLATE(C629, ""en"", ""pt"")"),"posto de ambulâncias")</f>
        <v>posto de ambulâncias</v>
      </c>
      <c r="E629" s="8" t="str">
        <f>IFERROR(__xludf.DUMMYFUNCTION("GOOGLETRANSLATE(C629, ""en"", ""es"")"),"estación de ambulancias")</f>
        <v>estación de ambulancias</v>
      </c>
      <c r="F629" s="8" t="str">
        <f>IFERROR(__xludf.DUMMYFUNCTION("GOOGLETRANSLATE(C629, ""en"", ""fr"")"),"poste d'ambulance")</f>
        <v>poste d'ambulance</v>
      </c>
      <c r="G629" s="8" t="str">
        <f>IFERROR(__xludf.DUMMYFUNCTION("GOOGLETRANSLATE(C629, ""en"", ""de"")"),"Rettungswache")</f>
        <v>Rettungswache</v>
      </c>
      <c r="H629" s="8" t="str">
        <f>IFERROR(__xludf.DUMMYFUNCTION("GOOGLETRANSLATE(C629, ""en"", ""ru"")"),"станция скорой помощи")</f>
        <v>станция скорой помощи</v>
      </c>
      <c r="I629" s="8" t="str">
        <f>IFERROR(__xludf.DUMMYFUNCTION("GOOGLETRANSLATE(C629, ""en"", ""ar"")"),"محطة الإسعاف")</f>
        <v>محطة الإسعاف</v>
      </c>
      <c r="J629" s="8"/>
      <c r="K629" s="7" t="str">
        <f>IFERROR(__xludf.DUMMYFUNCTION("CONCAT(REGEXREPLACE(C629,""[ ,]+"",""_""),"".mp3"")"),"ambulance_station.mp3")</f>
        <v>ambulance_station.mp3</v>
      </c>
      <c r="M629" s="4" t="s">
        <v>10</v>
      </c>
    </row>
    <row r="630" ht="15.75" customHeight="1">
      <c r="A630" s="1">
        <v>1998.0</v>
      </c>
      <c r="B630" s="3">
        <v>145.0</v>
      </c>
      <c r="C630" s="7" t="s">
        <v>675</v>
      </c>
      <c r="D630" s="8" t="str">
        <f>IFERROR(__xludf.DUMMYFUNCTION("GOOGLETRANSLATE(C630, ""en"", ""pt"")"),"Pronto Socorro")</f>
        <v>Pronto Socorro</v>
      </c>
      <c r="E630" s="8" t="str">
        <f>IFERROR(__xludf.DUMMYFUNCTION("GOOGLETRANSLATE(C630, ""en"", ""es"")"),"sala de emergencia")</f>
        <v>sala de emergencia</v>
      </c>
      <c r="F630" s="8" t="str">
        <f>IFERROR(__xludf.DUMMYFUNCTION("GOOGLETRANSLATE(C630, ""en"", ""fr"")"),"salle d'urgence")</f>
        <v>salle d'urgence</v>
      </c>
      <c r="G630" s="8" t="str">
        <f>IFERROR(__xludf.DUMMYFUNCTION("GOOGLETRANSLATE(C630, ""en"", ""de"")"),"Notaufnahme")</f>
        <v>Notaufnahme</v>
      </c>
      <c r="H630" s="8" t="str">
        <f>IFERROR(__xludf.DUMMYFUNCTION("GOOGLETRANSLATE(C630, ""en"", ""ru"")"),"приемный покой")</f>
        <v>приемный покой</v>
      </c>
      <c r="I630" s="8" t="str">
        <f>IFERROR(__xludf.DUMMYFUNCTION("GOOGLETRANSLATE(C630, ""en"", ""ar"")"),"غرفة الطوارئ")</f>
        <v>غرفة الطوارئ</v>
      </c>
      <c r="J630" s="8"/>
      <c r="K630" s="7" t="str">
        <f>IFERROR(__xludf.DUMMYFUNCTION("CONCAT(REGEXREPLACE(C630,""[ ,]+"",""_""),"".mp3"")"),"emergency_room.mp3")</f>
        <v>emergency_room.mp3</v>
      </c>
      <c r="M630" s="4" t="s">
        <v>10</v>
      </c>
    </row>
    <row r="631" ht="15.75" customHeight="1">
      <c r="A631" s="1">
        <v>1999.0</v>
      </c>
      <c r="B631" s="3">
        <v>145.0</v>
      </c>
      <c r="C631" s="7" t="s">
        <v>676</v>
      </c>
      <c r="D631" s="8" t="str">
        <f>IFERROR(__xludf.DUMMYFUNCTION("GOOGLETRANSLATE(C631, ""en"", ""pt"")"),"estação de bombeiros")</f>
        <v>estação de bombeiros</v>
      </c>
      <c r="E631" s="8" t="str">
        <f>IFERROR(__xludf.DUMMYFUNCTION("GOOGLETRANSLATE(C631, ""en"", ""es"")"),"estación de bomberos")</f>
        <v>estación de bomberos</v>
      </c>
      <c r="F631" s="8" t="str">
        <f>IFERROR(__xludf.DUMMYFUNCTION("GOOGLETRANSLATE(C631, ""en"", ""fr"")"),"caserne de pompiers")</f>
        <v>caserne de pompiers</v>
      </c>
      <c r="G631" s="8" t="str">
        <f>IFERROR(__xludf.DUMMYFUNCTION("GOOGLETRANSLATE(C631, ""en"", ""de"")"),"Feuerwache")</f>
        <v>Feuerwache</v>
      </c>
      <c r="H631" s="8" t="str">
        <f>IFERROR(__xludf.DUMMYFUNCTION("GOOGLETRANSLATE(C631, ""en"", ""ru"")"),"пожарная станция")</f>
        <v>пожарная станция</v>
      </c>
      <c r="I631" s="8" t="str">
        <f>IFERROR(__xludf.DUMMYFUNCTION("GOOGLETRANSLATE(C631, ""en"", ""ar"")"),"مركز الإطفاء")</f>
        <v>مركز الإطفاء</v>
      </c>
      <c r="J631" s="8"/>
      <c r="K631" s="7" t="str">
        <f>IFERROR(__xludf.DUMMYFUNCTION("CONCAT(REGEXREPLACE(C631,""[ ,]+"",""_""),"".mp3"")"),"fire_station.mp3")</f>
        <v>fire_station.mp3</v>
      </c>
      <c r="M631" s="4" t="s">
        <v>10</v>
      </c>
    </row>
    <row r="632" ht="15.75" customHeight="1">
      <c r="A632" s="1">
        <v>2000.0</v>
      </c>
      <c r="B632" s="3">
        <v>145.0</v>
      </c>
      <c r="C632" s="7" t="s">
        <v>677</v>
      </c>
      <c r="D632" s="8" t="str">
        <f>IFERROR(__xludf.DUMMYFUNCTION("GOOGLETRANSLATE(C632, ""en"", ""pt"")"),"delegacia de polícia")</f>
        <v>delegacia de polícia</v>
      </c>
      <c r="E632" s="8" t="str">
        <f>IFERROR(__xludf.DUMMYFUNCTION("GOOGLETRANSLATE(C632, ""en"", ""es"")"),"comisaría de policía")</f>
        <v>comisaría de policía</v>
      </c>
      <c r="F632" s="8" t="str">
        <f>IFERROR(__xludf.DUMMYFUNCTION("GOOGLETRANSLATE(C632, ""en"", ""fr"")"),"poste de police")</f>
        <v>poste de police</v>
      </c>
      <c r="G632" s="8" t="str">
        <f>IFERROR(__xludf.DUMMYFUNCTION("GOOGLETRANSLATE(C632, ""en"", ""de"")"),"Polizeistation")</f>
        <v>Polizeistation</v>
      </c>
      <c r="H632" s="8" t="str">
        <f>IFERROR(__xludf.DUMMYFUNCTION("GOOGLETRANSLATE(C632, ""en"", ""ru"")"),"полицейский участок")</f>
        <v>полицейский участок</v>
      </c>
      <c r="I632" s="8" t="str">
        <f>IFERROR(__xludf.DUMMYFUNCTION("GOOGLETRANSLATE(C632, ""en"", ""ar"")"),"مركز الشرطة")</f>
        <v>مركز الشرطة</v>
      </c>
      <c r="J632" s="8"/>
      <c r="K632" s="7" t="str">
        <f>IFERROR(__xludf.DUMMYFUNCTION("CONCAT(REGEXREPLACE(C632,""[ ,]+"",""_""),"".mp3"")"),"police_station.mp3")</f>
        <v>police_station.mp3</v>
      </c>
      <c r="M632" s="4" t="s">
        <v>10</v>
      </c>
    </row>
    <row r="633" ht="15.75" customHeight="1">
      <c r="A633" s="1">
        <v>2001.0</v>
      </c>
      <c r="B633" s="3">
        <v>145.0</v>
      </c>
      <c r="C633" s="7" t="s">
        <v>678</v>
      </c>
      <c r="D633" s="8" t="str">
        <f>IFERROR(__xludf.DUMMYFUNCTION("GOOGLETRANSLATE(C633, ""en"", ""pt"")"),"centro de resgate")</f>
        <v>centro de resgate</v>
      </c>
      <c r="E633" s="8" t="str">
        <f>IFERROR(__xludf.DUMMYFUNCTION("GOOGLETRANSLATE(C633, ""en"", ""es"")"),"centro de rescate")</f>
        <v>centro de rescate</v>
      </c>
      <c r="F633" s="8" t="str">
        <f>IFERROR(__xludf.DUMMYFUNCTION("GOOGLETRANSLATE(C633, ""en"", ""fr"")"),"centre de sauvetage")</f>
        <v>centre de sauvetage</v>
      </c>
      <c r="G633" s="8" t="str">
        <f>IFERROR(__xludf.DUMMYFUNCTION("GOOGLETRANSLATE(C633, ""en"", ""de"")"),"Rettungszentrum")</f>
        <v>Rettungszentrum</v>
      </c>
      <c r="H633" s="8" t="str">
        <f>IFERROR(__xludf.DUMMYFUNCTION("GOOGLETRANSLATE(C633, ""en"", ""ru"")"),"спасательный центр")</f>
        <v>спасательный центр</v>
      </c>
      <c r="I633" s="8" t="str">
        <f>IFERROR(__xludf.DUMMYFUNCTION("GOOGLETRANSLATE(C633, ""en"", ""ar"")"),"مركز الإنقاذ")</f>
        <v>مركز الإنقاذ</v>
      </c>
      <c r="J633" s="8"/>
      <c r="K633" s="7" t="str">
        <f>IFERROR(__xludf.DUMMYFUNCTION("CONCAT(REGEXREPLACE(C633,""[ ,]+"",""_""),"".mp3"")"),"rescue_center.mp3")</f>
        <v>rescue_center.mp3</v>
      </c>
      <c r="M633" s="4" t="s">
        <v>10</v>
      </c>
    </row>
    <row r="634" ht="15.75" customHeight="1">
      <c r="A634" s="1">
        <v>2002.0</v>
      </c>
      <c r="B634" s="3">
        <v>145.0</v>
      </c>
      <c r="C634" s="7" t="s">
        <v>679</v>
      </c>
      <c r="D634" s="8" t="str">
        <f>IFERROR(__xludf.DUMMYFUNCTION("GOOGLETRANSLATE(C634, ""en"", ""pt"")"),"clínica veterinária")</f>
        <v>clínica veterinária</v>
      </c>
      <c r="E634" s="8" t="str">
        <f>IFERROR(__xludf.DUMMYFUNCTION("GOOGLETRANSLATE(C634, ""en"", ""es"")"),"clínica veterinaria")</f>
        <v>clínica veterinaria</v>
      </c>
      <c r="F634" s="8" t="str">
        <f>IFERROR(__xludf.DUMMYFUNCTION("GOOGLETRANSLATE(C634, ""en"", ""fr"")"),"clinique vétérinaire")</f>
        <v>clinique vétérinaire</v>
      </c>
      <c r="G634" s="8" t="str">
        <f>IFERROR(__xludf.DUMMYFUNCTION("GOOGLETRANSLATE(C634, ""en"", ""de"")"),"Tierklinik")</f>
        <v>Tierklinik</v>
      </c>
      <c r="H634" s="8" t="str">
        <f>IFERROR(__xludf.DUMMYFUNCTION("GOOGLETRANSLATE(C634, ""en"", ""ru"")"),"ветеринарная клиника")</f>
        <v>ветеринарная клиника</v>
      </c>
      <c r="I634" s="8" t="str">
        <f>IFERROR(__xludf.DUMMYFUNCTION("GOOGLETRANSLATE(C634, ""en"", ""ar"")"),"عيادة بيطرية")</f>
        <v>عيادة بيطرية</v>
      </c>
      <c r="J634" s="8"/>
      <c r="K634" s="7" t="str">
        <f>IFERROR(__xludf.DUMMYFUNCTION("CONCAT(REGEXREPLACE(C634,""[ ,]+"",""_""),"".mp3"")"),"veterinary_clinic.mp3")</f>
        <v>veterinary_clinic.mp3</v>
      </c>
      <c r="M634" s="4" t="s">
        <v>10</v>
      </c>
    </row>
    <row r="635" ht="15.75" customHeight="1">
      <c r="A635" s="1">
        <v>2003.0</v>
      </c>
      <c r="B635" s="3">
        <v>145.0</v>
      </c>
      <c r="C635" s="7" t="s">
        <v>680</v>
      </c>
      <c r="D635" s="8" t="str">
        <f>IFERROR(__xludf.DUMMYFUNCTION("GOOGLETRANSLATE(C635, ""en"", ""pt"")"),"escritório")</f>
        <v>escritório</v>
      </c>
      <c r="E635" s="8" t="str">
        <f>IFERROR(__xludf.DUMMYFUNCTION("GOOGLETRANSLATE(C635, ""en"", ""es"")"),"oficina")</f>
        <v>oficina</v>
      </c>
      <c r="F635" s="8" t="str">
        <f>IFERROR(__xludf.DUMMYFUNCTION("GOOGLETRANSLATE(C635, ""en"", ""fr"")"),"bureau")</f>
        <v>bureau</v>
      </c>
      <c r="G635" s="8" t="str">
        <f>IFERROR(__xludf.DUMMYFUNCTION("GOOGLETRANSLATE(C635, ""en"", ""de"")"),"Büro")</f>
        <v>Büro</v>
      </c>
      <c r="H635" s="8" t="str">
        <f>IFERROR(__xludf.DUMMYFUNCTION("GOOGLETRANSLATE(C635, ""en"", ""ru"")"),"офис")</f>
        <v>офис</v>
      </c>
      <c r="I635" s="8" t="str">
        <f>IFERROR(__xludf.DUMMYFUNCTION("GOOGLETRANSLATE(C635, ""en"", ""ar"")"),"مكتب")</f>
        <v>مكتب</v>
      </c>
      <c r="J635" s="8"/>
      <c r="K635" s="7" t="str">
        <f>IFERROR(__xludf.DUMMYFUNCTION("CONCAT(REGEXREPLACE(C635,""[ ,]+"",""_""),"".mp3"")"),"office.mp3")</f>
        <v>office.mp3</v>
      </c>
      <c r="M635" s="4" t="s">
        <v>10</v>
      </c>
    </row>
    <row r="636" ht="15.75" customHeight="1">
      <c r="A636" s="1">
        <v>2004.0</v>
      </c>
      <c r="B636" s="3">
        <v>145.0</v>
      </c>
      <c r="C636" s="7" t="s">
        <v>681</v>
      </c>
      <c r="D636" s="8" t="str">
        <f>IFERROR(__xludf.DUMMYFUNCTION("GOOGLETRANSLATE(C636, ""en"", ""pt"")"),"local de trabalho")</f>
        <v>local de trabalho</v>
      </c>
      <c r="E636" s="8" t="str">
        <f>IFERROR(__xludf.DUMMYFUNCTION("GOOGLETRANSLATE(C636, ""en"", ""es"")"),"lugar de trabajo")</f>
        <v>lugar de trabajo</v>
      </c>
      <c r="F636" s="8" t="str">
        <f>IFERROR(__xludf.DUMMYFUNCTION("GOOGLETRANSLATE(C636, ""en"", ""fr"")"),"lieu de travail")</f>
        <v>lieu de travail</v>
      </c>
      <c r="G636" s="8" t="str">
        <f>IFERROR(__xludf.DUMMYFUNCTION("GOOGLETRANSLATE(C636, ""en"", ""de"")"),"Arbeitsplatz")</f>
        <v>Arbeitsplatz</v>
      </c>
      <c r="H636" s="8" t="str">
        <f>IFERROR(__xludf.DUMMYFUNCTION("GOOGLETRANSLATE(C636, ""en"", ""ru"")"),"рабочее место")</f>
        <v>рабочее место</v>
      </c>
      <c r="I636" s="8" t="str">
        <f>IFERROR(__xludf.DUMMYFUNCTION("GOOGLETRANSLATE(C636, ""en"", ""ar"")"),"مكان العمل")</f>
        <v>مكان العمل</v>
      </c>
      <c r="J636" s="8"/>
      <c r="K636" s="7" t="str">
        <f>IFERROR(__xludf.DUMMYFUNCTION("CONCAT(REGEXREPLACE(C636,""[ ,]+"",""_""),"".mp3"")"),"workplace.mp3")</f>
        <v>workplace.mp3</v>
      </c>
      <c r="M636" s="4" t="s">
        <v>10</v>
      </c>
    </row>
    <row r="637" ht="15.75" customHeight="1">
      <c r="A637" s="1">
        <v>2005.0</v>
      </c>
      <c r="B637" s="3">
        <v>145.0</v>
      </c>
      <c r="C637" s="7" t="s">
        <v>682</v>
      </c>
      <c r="D637" s="8" t="str">
        <f>IFERROR(__xludf.DUMMYFUNCTION("GOOGLETRANSLATE(C637, ""en"", ""pt"")"),"sede")</f>
        <v>sede</v>
      </c>
      <c r="E637" s="8" t="str">
        <f>IFERROR(__xludf.DUMMYFUNCTION("GOOGLETRANSLATE(C637, ""en"", ""es"")"),"sede")</f>
        <v>sede</v>
      </c>
      <c r="F637" s="8" t="str">
        <f>IFERROR(__xludf.DUMMYFUNCTION("GOOGLETRANSLATE(C637, ""en"", ""fr"")"),"quartier général")</f>
        <v>quartier général</v>
      </c>
      <c r="G637" s="8" t="str">
        <f>IFERROR(__xludf.DUMMYFUNCTION("GOOGLETRANSLATE(C637, ""en"", ""de"")"),"Hauptsitz")</f>
        <v>Hauptsitz</v>
      </c>
      <c r="H637" s="8" t="str">
        <f>IFERROR(__xludf.DUMMYFUNCTION("GOOGLETRANSLATE(C637, ""en"", ""ru"")"),"штаб-квартира")</f>
        <v>штаб-квартира</v>
      </c>
      <c r="I637" s="8" t="str">
        <f>IFERROR(__xludf.DUMMYFUNCTION("GOOGLETRANSLATE(C637, ""en"", ""ar"")"),"المقر الرئيسي")</f>
        <v>المقر الرئيسي</v>
      </c>
      <c r="J637" s="8"/>
      <c r="K637" s="7" t="str">
        <f>IFERROR(__xludf.DUMMYFUNCTION("CONCAT(REGEXREPLACE(C637,""[ ,]+"",""_""),"".mp3"")"),"headquarters.mp3")</f>
        <v>headquarters.mp3</v>
      </c>
      <c r="M637" s="4" t="s">
        <v>10</v>
      </c>
    </row>
    <row r="638" ht="15.75" customHeight="1">
      <c r="A638" s="1">
        <v>2006.0</v>
      </c>
      <c r="B638" s="3">
        <v>145.0</v>
      </c>
      <c r="C638" s="7" t="s">
        <v>683</v>
      </c>
      <c r="D638" s="8" t="str">
        <f>IFERROR(__xludf.DUMMYFUNCTION("GOOGLETRANSLATE(C638, ""en"", ""pt"")"),"fábrica")</f>
        <v>fábrica</v>
      </c>
      <c r="E638" s="8" t="str">
        <f>IFERROR(__xludf.DUMMYFUNCTION("GOOGLETRANSLATE(C638, ""en"", ""es"")"),"fábrica")</f>
        <v>fábrica</v>
      </c>
      <c r="F638" s="8" t="str">
        <f>IFERROR(__xludf.DUMMYFUNCTION("GOOGLETRANSLATE(C638, ""en"", ""fr"")"),"usine")</f>
        <v>usine</v>
      </c>
      <c r="G638" s="8" t="str">
        <f>IFERROR(__xludf.DUMMYFUNCTION("GOOGLETRANSLATE(C638, ""en"", ""de"")"),"Fabrik")</f>
        <v>Fabrik</v>
      </c>
      <c r="H638" s="8" t="str">
        <f>IFERROR(__xludf.DUMMYFUNCTION("GOOGLETRANSLATE(C638, ""en"", ""ru"")"),"фабрика")</f>
        <v>фабрика</v>
      </c>
      <c r="I638" s="8" t="str">
        <f>IFERROR(__xludf.DUMMYFUNCTION("GOOGLETRANSLATE(C638, ""en"", ""ar"")"),"مصنع")</f>
        <v>مصنع</v>
      </c>
      <c r="J638" s="8"/>
      <c r="K638" s="7" t="str">
        <f>IFERROR(__xludf.DUMMYFUNCTION("CONCAT(REGEXREPLACE(C638,""[ ,]+"",""_""),"".mp3"")"),"factory.mp3")</f>
        <v>factory.mp3</v>
      </c>
      <c r="M638" s="4" t="s">
        <v>10</v>
      </c>
    </row>
    <row r="639" ht="15.75" customHeight="1">
      <c r="A639" s="1">
        <v>2007.0</v>
      </c>
      <c r="B639" s="3">
        <v>145.0</v>
      </c>
      <c r="C639" s="7" t="s">
        <v>684</v>
      </c>
      <c r="D639" s="8" t="str">
        <f>IFERROR(__xludf.DUMMYFUNCTION("GOOGLETRANSLATE(C639, ""en"", ""pt"")"),"plantar")</f>
        <v>plantar</v>
      </c>
      <c r="E639" s="8" t="str">
        <f>IFERROR(__xludf.DUMMYFUNCTION("GOOGLETRANSLATE(C639, ""en"", ""es"")"),"planta")</f>
        <v>planta</v>
      </c>
      <c r="F639" s="8" t="str">
        <f>IFERROR(__xludf.DUMMYFUNCTION("GOOGLETRANSLATE(C639, ""en"", ""fr"")"),"usine")</f>
        <v>usine</v>
      </c>
      <c r="G639" s="8" t="str">
        <f>IFERROR(__xludf.DUMMYFUNCTION("GOOGLETRANSLATE(C639, ""en"", ""de"")"),"Anlage")</f>
        <v>Anlage</v>
      </c>
      <c r="H639" s="8" t="str">
        <f>IFERROR(__xludf.DUMMYFUNCTION("GOOGLETRANSLATE(C639, ""en"", ""ru"")"),"растение")</f>
        <v>растение</v>
      </c>
      <c r="I639" s="8" t="str">
        <f>IFERROR(__xludf.DUMMYFUNCTION("GOOGLETRANSLATE(C639, ""en"", ""ar"")"),"نبات")</f>
        <v>نبات</v>
      </c>
      <c r="J639" s="8"/>
      <c r="K639" s="7" t="str">
        <f>IFERROR(__xludf.DUMMYFUNCTION("CONCAT(REGEXREPLACE(C639,""[ ,]+"",""_""),"".mp3"")"),"plant.mp3")</f>
        <v>plant.mp3</v>
      </c>
      <c r="M639" s="4" t="s">
        <v>10</v>
      </c>
    </row>
    <row r="640" ht="15.75" customHeight="1">
      <c r="A640" s="1">
        <v>2008.0</v>
      </c>
      <c r="B640" s="3">
        <v>145.0</v>
      </c>
      <c r="C640" s="7" t="s">
        <v>685</v>
      </c>
      <c r="D640" s="8" t="str">
        <f>IFERROR(__xludf.DUMMYFUNCTION("GOOGLETRANSLATE(C640, ""en"", ""pt"")"),"armazém")</f>
        <v>armazém</v>
      </c>
      <c r="E640" s="8" t="str">
        <f>IFERROR(__xludf.DUMMYFUNCTION("GOOGLETRANSLATE(C640, ""en"", ""es"")"),"depósito")</f>
        <v>depósito</v>
      </c>
      <c r="F640" s="8" t="str">
        <f>IFERROR(__xludf.DUMMYFUNCTION("GOOGLETRANSLATE(C640, ""en"", ""fr"")"),"entrepôt")</f>
        <v>entrepôt</v>
      </c>
      <c r="G640" s="8" t="str">
        <f>IFERROR(__xludf.DUMMYFUNCTION("GOOGLETRANSLATE(C640, ""en"", ""de"")"),"Lager")</f>
        <v>Lager</v>
      </c>
      <c r="H640" s="8" t="str">
        <f>IFERROR(__xludf.DUMMYFUNCTION("GOOGLETRANSLATE(C640, ""en"", ""ru"")"),"склад")</f>
        <v>склад</v>
      </c>
      <c r="I640" s="8" t="str">
        <f>IFERROR(__xludf.DUMMYFUNCTION("GOOGLETRANSLATE(C640, ""en"", ""ar"")"),"مستودع")</f>
        <v>مستودع</v>
      </c>
      <c r="J640" s="8"/>
      <c r="K640" s="7" t="str">
        <f>IFERROR(__xludf.DUMMYFUNCTION("CONCAT(REGEXREPLACE(C640,""[ ,]+"",""_""),"".mp3"")"),"warehouse.mp3")</f>
        <v>warehouse.mp3</v>
      </c>
      <c r="M640" s="4" t="s">
        <v>10</v>
      </c>
    </row>
    <row r="641" ht="15.75" customHeight="1">
      <c r="A641" s="1">
        <v>2009.0</v>
      </c>
      <c r="B641" s="3">
        <v>145.0</v>
      </c>
      <c r="C641" s="7" t="s">
        <v>686</v>
      </c>
      <c r="D641" s="8" t="str">
        <f>IFERROR(__xludf.DUMMYFUNCTION("GOOGLETRANSLATE(C641, ""en"", ""pt"")"),"oficina")</f>
        <v>oficina</v>
      </c>
      <c r="E641" s="8" t="str">
        <f>IFERROR(__xludf.DUMMYFUNCTION("GOOGLETRANSLATE(C641, ""en"", ""es"")"),"taller")</f>
        <v>taller</v>
      </c>
      <c r="F641" s="8" t="str">
        <f>IFERROR(__xludf.DUMMYFUNCTION("GOOGLETRANSLATE(C641, ""en"", ""fr"")"),"atelier")</f>
        <v>atelier</v>
      </c>
      <c r="G641" s="8" t="str">
        <f>IFERROR(__xludf.DUMMYFUNCTION("GOOGLETRANSLATE(C641, ""en"", ""de"")"),"Werkstatt")</f>
        <v>Werkstatt</v>
      </c>
      <c r="H641" s="8" t="str">
        <f>IFERROR(__xludf.DUMMYFUNCTION("GOOGLETRANSLATE(C641, ""en"", ""ru"")"),"мастерская")</f>
        <v>мастерская</v>
      </c>
      <c r="I641" s="8" t="str">
        <f>IFERROR(__xludf.DUMMYFUNCTION("GOOGLETRANSLATE(C641, ""en"", ""ar"")"),"ورشة عمل")</f>
        <v>ورشة عمل</v>
      </c>
      <c r="J641" s="8"/>
      <c r="K641" s="7" t="str">
        <f>IFERROR(__xludf.DUMMYFUNCTION("CONCAT(REGEXREPLACE(C641,""[ ,]+"",""_""),"".mp3"")"),"workshop.mp3")</f>
        <v>workshop.mp3</v>
      </c>
      <c r="M641" s="4" t="s">
        <v>10</v>
      </c>
    </row>
    <row r="642" ht="15.75" customHeight="1">
      <c r="A642" s="1">
        <v>2010.0</v>
      </c>
      <c r="B642" s="3">
        <v>145.0</v>
      </c>
      <c r="C642" s="7" t="s">
        <v>687</v>
      </c>
      <c r="D642" s="8" t="str">
        <f>IFERROR(__xludf.DUMMYFUNCTION("GOOGLETRANSLATE(C642, ""en"", ""pt"")"),"estúdio")</f>
        <v>estúdio</v>
      </c>
      <c r="E642" s="8" t="str">
        <f>IFERROR(__xludf.DUMMYFUNCTION("GOOGLETRANSLATE(C642, ""en"", ""es"")"),"estudio")</f>
        <v>estudio</v>
      </c>
      <c r="F642" s="8" t="str">
        <f>IFERROR(__xludf.DUMMYFUNCTION("GOOGLETRANSLATE(C642, ""en"", ""fr"")"),"studio")</f>
        <v>studio</v>
      </c>
      <c r="G642" s="8" t="str">
        <f>IFERROR(__xludf.DUMMYFUNCTION("GOOGLETRANSLATE(C642, ""en"", ""de"")"),"Studio")</f>
        <v>Studio</v>
      </c>
      <c r="H642" s="8" t="str">
        <f>IFERROR(__xludf.DUMMYFUNCTION("GOOGLETRANSLATE(C642, ""en"", ""ru"")"),"студия")</f>
        <v>студия</v>
      </c>
      <c r="I642" s="8" t="str">
        <f>IFERROR(__xludf.DUMMYFUNCTION("GOOGLETRANSLATE(C642, ""en"", ""ar"")"),"استوديو")</f>
        <v>استوديو</v>
      </c>
      <c r="J642" s="8"/>
      <c r="K642" s="7" t="str">
        <f>IFERROR(__xludf.DUMMYFUNCTION("CONCAT(REGEXREPLACE(C642,""[ ,]+"",""_""),"".mp3"")"),"studio.mp3")</f>
        <v>studio.mp3</v>
      </c>
      <c r="M642" s="4" t="s">
        <v>10</v>
      </c>
    </row>
    <row r="643" ht="15.75" customHeight="1">
      <c r="A643" s="1">
        <v>2011.0</v>
      </c>
      <c r="B643" s="3">
        <v>145.0</v>
      </c>
      <c r="C643" s="7" t="s">
        <v>663</v>
      </c>
      <c r="D643" s="8" t="str">
        <f>IFERROR(__xludf.DUMMYFUNCTION("GOOGLETRANSLATE(C643, ""en"", ""pt"")"),"laboratório")</f>
        <v>laboratório</v>
      </c>
      <c r="E643" s="8" t="str">
        <f>IFERROR(__xludf.DUMMYFUNCTION("GOOGLETRANSLATE(C643, ""en"", ""es"")"),"laboratorio")</f>
        <v>laboratorio</v>
      </c>
      <c r="F643" s="8" t="str">
        <f>IFERROR(__xludf.DUMMYFUNCTION("GOOGLETRANSLATE(C643, ""en"", ""fr"")"),"laboratoire")</f>
        <v>laboratoire</v>
      </c>
      <c r="G643" s="8" t="str">
        <f>IFERROR(__xludf.DUMMYFUNCTION("GOOGLETRANSLATE(C643, ""en"", ""de"")"),"Labor")</f>
        <v>Labor</v>
      </c>
      <c r="H643" s="8" t="str">
        <f>IFERROR(__xludf.DUMMYFUNCTION("GOOGLETRANSLATE(C643, ""en"", ""ru"")"),"лаборатория")</f>
        <v>лаборатория</v>
      </c>
      <c r="I643" s="8" t="str">
        <f>IFERROR(__xludf.DUMMYFUNCTION("GOOGLETRANSLATE(C643, ""en"", ""ar"")"),"معمل")</f>
        <v>معمل</v>
      </c>
      <c r="J643" s="8"/>
      <c r="K643" s="7" t="str">
        <f>IFERROR(__xludf.DUMMYFUNCTION("CONCAT(REGEXREPLACE(C643,""[ ,]+"",""_""),"".mp3"")"),"laboratory.mp3")</f>
        <v>laboratory.mp3</v>
      </c>
      <c r="M643" s="4" t="s">
        <v>10</v>
      </c>
    </row>
    <row r="644" ht="15.75" customHeight="1">
      <c r="A644" s="1">
        <v>2012.0</v>
      </c>
      <c r="B644" s="3">
        <v>145.0</v>
      </c>
      <c r="C644" s="7" t="s">
        <v>688</v>
      </c>
      <c r="D644" s="8" t="str">
        <f>IFERROR(__xludf.DUMMYFUNCTION("GOOGLETRANSLATE(C644, ""en"", ""pt"")"),"canteiro de obras")</f>
        <v>canteiro de obras</v>
      </c>
      <c r="E644" s="8" t="str">
        <f>IFERROR(__xludf.DUMMYFUNCTION("GOOGLETRANSLATE(C644, ""en"", ""es"")"),"obra en construcción")</f>
        <v>obra en construcción</v>
      </c>
      <c r="F644" s="8" t="str">
        <f>IFERROR(__xludf.DUMMYFUNCTION("GOOGLETRANSLATE(C644, ""en"", ""fr"")"),"chantier")</f>
        <v>chantier</v>
      </c>
      <c r="G644" s="8" t="str">
        <f>IFERROR(__xludf.DUMMYFUNCTION("GOOGLETRANSLATE(C644, ""en"", ""de"")"),"Baustelle")</f>
        <v>Baustelle</v>
      </c>
      <c r="H644" s="8" t="str">
        <f>IFERROR(__xludf.DUMMYFUNCTION("GOOGLETRANSLATE(C644, ""en"", ""ru"")"),"строительная площадка")</f>
        <v>строительная площадка</v>
      </c>
      <c r="I644" s="8" t="str">
        <f>IFERROR(__xludf.DUMMYFUNCTION("GOOGLETRANSLATE(C644, ""en"", ""ar"")"),"موقع بناء")</f>
        <v>موقع بناء</v>
      </c>
      <c r="J644" s="8"/>
      <c r="K644" s="7" t="str">
        <f>IFERROR(__xludf.DUMMYFUNCTION("CONCAT(REGEXREPLACE(C644,""[ ,]+"",""_""),"".mp3"")"),"construction_site.mp3")</f>
        <v>construction_site.mp3</v>
      </c>
      <c r="M644" s="4" t="s">
        <v>10</v>
      </c>
    </row>
    <row r="645" ht="15.75" customHeight="1">
      <c r="A645" s="1">
        <v>2013.0</v>
      </c>
      <c r="B645" s="3">
        <v>145.0</v>
      </c>
      <c r="C645" s="7" t="s">
        <v>689</v>
      </c>
      <c r="D645" s="8" t="str">
        <f>IFERROR(__xludf.DUMMYFUNCTION("GOOGLETRANSLATE(C645, ""en"", ""pt"")"),"parque empresarial")</f>
        <v>parque empresarial</v>
      </c>
      <c r="E645" s="8" t="str">
        <f>IFERROR(__xludf.DUMMYFUNCTION("GOOGLETRANSLATE(C645, ""en"", ""es"")"),"parque empresarial")</f>
        <v>parque empresarial</v>
      </c>
      <c r="F645" s="8" t="str">
        <f>IFERROR(__xludf.DUMMYFUNCTION("GOOGLETRANSLATE(C645, ""en"", ""fr"")"),"parc d'activités")</f>
        <v>parc d'activités</v>
      </c>
      <c r="G645" s="8" t="str">
        <f>IFERROR(__xludf.DUMMYFUNCTION("GOOGLETRANSLATE(C645, ""en"", ""de"")"),"Gewerbepark")</f>
        <v>Gewerbepark</v>
      </c>
      <c r="H645" s="8" t="str">
        <f>IFERROR(__xludf.DUMMYFUNCTION("GOOGLETRANSLATE(C645, ""en"", ""ru"")"),"бизнес-парк")</f>
        <v>бизнес-парк</v>
      </c>
      <c r="I645" s="8" t="str">
        <f>IFERROR(__xludf.DUMMYFUNCTION("GOOGLETRANSLATE(C645, ""en"", ""ar"")"),"مجمع أعمال")</f>
        <v>مجمع أعمال</v>
      </c>
      <c r="J645" s="8"/>
      <c r="K645" s="7" t="str">
        <f>IFERROR(__xludf.DUMMYFUNCTION("CONCAT(REGEXREPLACE(C645,""[ ,]+"",""_""),"".mp3"")"),"business_park.mp3")</f>
        <v>business_park.mp3</v>
      </c>
      <c r="M645" s="4" t="s">
        <v>10</v>
      </c>
    </row>
    <row r="646" ht="15.75" customHeight="1">
      <c r="A646" s="1">
        <v>2014.0</v>
      </c>
      <c r="B646" s="3">
        <v>145.0</v>
      </c>
      <c r="C646" s="7" t="s">
        <v>690</v>
      </c>
      <c r="D646" s="8" t="str">
        <f>IFERROR(__xludf.DUMMYFUNCTION("GOOGLETRANSLATE(C646, ""en"", ""pt"")"),"zona industrial")</f>
        <v>zona industrial</v>
      </c>
      <c r="E646" s="8" t="str">
        <f>IFERROR(__xludf.DUMMYFUNCTION("GOOGLETRANSLATE(C646, ""en"", ""es"")"),"zona industrial")</f>
        <v>zona industrial</v>
      </c>
      <c r="F646" s="8" t="str">
        <f>IFERROR(__xludf.DUMMYFUNCTION("GOOGLETRANSLATE(C646, ""en"", ""fr"")"),"zone industrielle")</f>
        <v>zone industrielle</v>
      </c>
      <c r="G646" s="8" t="str">
        <f>IFERROR(__xludf.DUMMYFUNCTION("GOOGLETRANSLATE(C646, ""en"", ""de"")"),"Industriegebiet")</f>
        <v>Industriegebiet</v>
      </c>
      <c r="H646" s="8" t="str">
        <f>IFERROR(__xludf.DUMMYFUNCTION("GOOGLETRANSLATE(C646, ""en"", ""ru"")"),"промышленная зона")</f>
        <v>промышленная зона</v>
      </c>
      <c r="I646" s="8" t="str">
        <f>IFERROR(__xludf.DUMMYFUNCTION("GOOGLETRANSLATE(C646, ""en"", ""ar"")"),"المنطقة الصناعية")</f>
        <v>المنطقة الصناعية</v>
      </c>
      <c r="J646" s="8"/>
      <c r="K646" s="7" t="str">
        <f>IFERROR(__xludf.DUMMYFUNCTION("CONCAT(REGEXREPLACE(C646,""[ ,]+"",""_""),"".mp3"")"),"industrial_zone.mp3")</f>
        <v>industrial_zone.mp3</v>
      </c>
      <c r="M646" s="4" t="s">
        <v>10</v>
      </c>
    </row>
    <row r="647" ht="15.75" customHeight="1">
      <c r="A647" s="1">
        <v>2015.0</v>
      </c>
      <c r="B647" s="3">
        <v>145.0</v>
      </c>
      <c r="C647" s="7" t="s">
        <v>691</v>
      </c>
      <c r="D647" s="8" t="str">
        <f>IFERROR(__xludf.DUMMYFUNCTION("GOOGLETRANSLATE(C647, ""en"", ""pt"")"),"comprar")</f>
        <v>comprar</v>
      </c>
      <c r="E647" s="8" t="str">
        <f>IFERROR(__xludf.DUMMYFUNCTION("GOOGLETRANSLATE(C647, ""en"", ""es"")"),"comercio")</f>
        <v>comercio</v>
      </c>
      <c r="F647" s="8" t="str">
        <f>IFERROR(__xludf.DUMMYFUNCTION("GOOGLETRANSLATE(C647, ""en"", ""fr"")"),"boutique")</f>
        <v>boutique</v>
      </c>
      <c r="G647" s="8" t="str">
        <f>IFERROR(__xludf.DUMMYFUNCTION("GOOGLETRANSLATE(C647, ""en"", ""de"")"),"Geschäft")</f>
        <v>Geschäft</v>
      </c>
      <c r="H647" s="8" t="str">
        <f>IFERROR(__xludf.DUMMYFUNCTION("GOOGLETRANSLATE(C647, ""en"", ""ru"")"),"магазин")</f>
        <v>магазин</v>
      </c>
      <c r="I647" s="8" t="str">
        <f>IFERROR(__xludf.DUMMYFUNCTION("GOOGLETRANSLATE(C647, ""en"", ""ar"")"),"محل")</f>
        <v>محل</v>
      </c>
      <c r="J647" s="8"/>
      <c r="K647" s="7" t="str">
        <f>IFERROR(__xludf.DUMMYFUNCTION("CONCAT(REGEXREPLACE(C647,""[ ,]+"",""_""),"".mp3"")"),"shop.mp3")</f>
        <v>shop.mp3</v>
      </c>
      <c r="M647" s="4" t="s">
        <v>10</v>
      </c>
    </row>
    <row r="648" ht="15.75" customHeight="1">
      <c r="A648" s="1">
        <v>2016.0</v>
      </c>
      <c r="B648" s="3">
        <v>145.0</v>
      </c>
      <c r="C648" s="7" t="s">
        <v>692</v>
      </c>
      <c r="D648" s="8" t="str">
        <f>IFERROR(__xludf.DUMMYFUNCTION("GOOGLETRANSLATE(C648, ""en"", ""pt"")"),"loja")</f>
        <v>loja</v>
      </c>
      <c r="E648" s="8" t="str">
        <f>IFERROR(__xludf.DUMMYFUNCTION("GOOGLETRANSLATE(C648, ""en"", ""es"")"),"almacenar")</f>
        <v>almacenar</v>
      </c>
      <c r="F648" s="8" t="str">
        <f>IFERROR(__xludf.DUMMYFUNCTION("GOOGLETRANSLATE(C648, ""en"", ""fr"")"),"magasin")</f>
        <v>magasin</v>
      </c>
      <c r="G648" s="8" t="str">
        <f>IFERROR(__xludf.DUMMYFUNCTION("GOOGLETRANSLATE(C648, ""en"", ""de"")"),"speichern")</f>
        <v>speichern</v>
      </c>
      <c r="H648" s="8" t="str">
        <f>IFERROR(__xludf.DUMMYFUNCTION("GOOGLETRANSLATE(C648, ""en"", ""ru"")"),"магазин")</f>
        <v>магазин</v>
      </c>
      <c r="I648" s="8" t="str">
        <f>IFERROR(__xludf.DUMMYFUNCTION("GOOGLETRANSLATE(C648, ""en"", ""ar"")"),"محل")</f>
        <v>محل</v>
      </c>
      <c r="J648" s="8"/>
      <c r="K648" s="7" t="str">
        <f>IFERROR(__xludf.DUMMYFUNCTION("CONCAT(REGEXREPLACE(C648,""[ ,]+"",""_""),"".mp3"")"),"store.mp3")</f>
        <v>store.mp3</v>
      </c>
      <c r="M648" s="4" t="s">
        <v>10</v>
      </c>
    </row>
    <row r="649" ht="15.75" customHeight="1">
      <c r="A649" s="1">
        <v>2017.0</v>
      </c>
      <c r="B649" s="3">
        <v>145.0</v>
      </c>
      <c r="C649" s="7" t="s">
        <v>693</v>
      </c>
      <c r="D649" s="8" t="str">
        <f>IFERROR(__xludf.DUMMYFUNCTION("GOOGLETRANSLATE(C649, ""en"", ""pt"")"),"supermercado")</f>
        <v>supermercado</v>
      </c>
      <c r="E649" s="8" t="str">
        <f>IFERROR(__xludf.DUMMYFUNCTION("GOOGLETRANSLATE(C649, ""en"", ""es"")"),"supermercado")</f>
        <v>supermercado</v>
      </c>
      <c r="F649" s="8" t="str">
        <f>IFERROR(__xludf.DUMMYFUNCTION("GOOGLETRANSLATE(C649, ""en"", ""fr"")"),"supermarché")</f>
        <v>supermarché</v>
      </c>
      <c r="G649" s="8" t="str">
        <f>IFERROR(__xludf.DUMMYFUNCTION("GOOGLETRANSLATE(C649, ""en"", ""de"")"),"Supermarkt")</f>
        <v>Supermarkt</v>
      </c>
      <c r="H649" s="8" t="str">
        <f>IFERROR(__xludf.DUMMYFUNCTION("GOOGLETRANSLATE(C649, ""en"", ""ru"")"),"супермаркет")</f>
        <v>супермаркет</v>
      </c>
      <c r="I649" s="8" t="str">
        <f>IFERROR(__xludf.DUMMYFUNCTION("GOOGLETRANSLATE(C649, ""en"", ""ar"")"),"سوبر ماركت")</f>
        <v>سوبر ماركت</v>
      </c>
      <c r="J649" s="8"/>
      <c r="K649" s="7" t="str">
        <f>IFERROR(__xludf.DUMMYFUNCTION("CONCAT(REGEXREPLACE(C649,""[ ,]+"",""_""),"".mp3"")"),"supermarket.mp3")</f>
        <v>supermarket.mp3</v>
      </c>
      <c r="M649" s="4" t="s">
        <v>10</v>
      </c>
    </row>
    <row r="650" ht="15.75" customHeight="1">
      <c r="A650" s="1">
        <v>2018.0</v>
      </c>
      <c r="B650" s="3">
        <v>145.0</v>
      </c>
      <c r="C650" s="7" t="s">
        <v>694</v>
      </c>
      <c r="D650" s="8" t="str">
        <f>IFERROR(__xludf.DUMMYFUNCTION("GOOGLETRANSLATE(C650, ""en"", ""pt"")"),"mercado")</f>
        <v>mercado</v>
      </c>
      <c r="E650" s="8" t="str">
        <f>IFERROR(__xludf.DUMMYFUNCTION("GOOGLETRANSLATE(C650, ""en"", ""es"")"),"mercado")</f>
        <v>mercado</v>
      </c>
      <c r="F650" s="8" t="str">
        <f>IFERROR(__xludf.DUMMYFUNCTION("GOOGLETRANSLATE(C650, ""en"", ""fr"")"),"marché")</f>
        <v>marché</v>
      </c>
      <c r="G650" s="8" t="str">
        <f>IFERROR(__xludf.DUMMYFUNCTION("GOOGLETRANSLATE(C650, ""en"", ""de"")"),"Markt")</f>
        <v>Markt</v>
      </c>
      <c r="H650" s="8" t="str">
        <f>IFERROR(__xludf.DUMMYFUNCTION("GOOGLETRANSLATE(C650, ""en"", ""ru"")"),"рынок")</f>
        <v>рынок</v>
      </c>
      <c r="I650" s="8" t="str">
        <f>IFERROR(__xludf.DUMMYFUNCTION("GOOGLETRANSLATE(C650, ""en"", ""ar"")"),"سوق")</f>
        <v>سوق</v>
      </c>
      <c r="J650" s="8"/>
      <c r="K650" s="7" t="str">
        <f>IFERROR(__xludf.DUMMYFUNCTION("CONCAT(REGEXREPLACE(C650,""[ ,]+"",""_""),"".mp3"")"),"market.mp3")</f>
        <v>market.mp3</v>
      </c>
      <c r="M650" s="4" t="s">
        <v>10</v>
      </c>
    </row>
    <row r="651" ht="15.75" customHeight="1">
      <c r="A651" s="1">
        <v>2019.0</v>
      </c>
      <c r="B651" s="3">
        <v>145.0</v>
      </c>
      <c r="C651" s="7" t="s">
        <v>695</v>
      </c>
      <c r="D651" s="8" t="str">
        <f>IFERROR(__xludf.DUMMYFUNCTION("GOOGLETRANSLATE(C651, ""en"", ""pt"")"),"shopping center")</f>
        <v>shopping center</v>
      </c>
      <c r="E651" s="8" t="str">
        <f>IFERROR(__xludf.DUMMYFUNCTION("GOOGLETRANSLATE(C651, ""en"", ""es"")"),"centro comercial")</f>
        <v>centro comercial</v>
      </c>
      <c r="F651" s="8" t="str">
        <f>IFERROR(__xludf.DUMMYFUNCTION("GOOGLETRANSLATE(C651, ""en"", ""fr"")"),"centre commercial")</f>
        <v>centre commercial</v>
      </c>
      <c r="G651" s="8" t="str">
        <f>IFERROR(__xludf.DUMMYFUNCTION("GOOGLETRANSLATE(C651, ""en"", ""de"")"),"Einkaufszentrum")</f>
        <v>Einkaufszentrum</v>
      </c>
      <c r="H651" s="8" t="str">
        <f>IFERROR(__xludf.DUMMYFUNCTION("GOOGLETRANSLATE(C651, ""en"", ""ru"")"),"торговый центр")</f>
        <v>торговый центр</v>
      </c>
      <c r="I651" s="8" t="str">
        <f>IFERROR(__xludf.DUMMYFUNCTION("GOOGLETRANSLATE(C651, ""en"", ""ar"")"),"مركز تجاري")</f>
        <v>مركز تجاري</v>
      </c>
      <c r="J651" s="8"/>
      <c r="K651" s="7" t="str">
        <f>IFERROR(__xludf.DUMMYFUNCTION("CONCAT(REGEXREPLACE(C651,""[ ,]+"",""_""),"".mp3"")"),"shopping_mall.mp3")</f>
        <v>shopping_mall.mp3</v>
      </c>
      <c r="M651" s="4" t="s">
        <v>10</v>
      </c>
    </row>
    <row r="652" ht="15.75" customHeight="1">
      <c r="A652" s="1">
        <v>2020.0</v>
      </c>
      <c r="B652" s="3">
        <v>145.0</v>
      </c>
      <c r="C652" s="7" t="s">
        <v>696</v>
      </c>
      <c r="D652" s="8" t="str">
        <f>IFERROR(__xludf.DUMMYFUNCTION("GOOGLETRANSLATE(C652, ""en"", ""pt"")"),"loja de departamentos")</f>
        <v>loja de departamentos</v>
      </c>
      <c r="E652" s="8" t="str">
        <f>IFERROR(__xludf.DUMMYFUNCTION("GOOGLETRANSLATE(C652, ""en"", ""es"")"),"grandes almacenes")</f>
        <v>grandes almacenes</v>
      </c>
      <c r="F652" s="8" t="str">
        <f>IFERROR(__xludf.DUMMYFUNCTION("GOOGLETRANSLATE(C652, ""en"", ""fr"")"),"grand magasin")</f>
        <v>grand magasin</v>
      </c>
      <c r="G652" s="8" t="str">
        <f>IFERROR(__xludf.DUMMYFUNCTION("GOOGLETRANSLATE(C652, ""en"", ""de"")"),"Kaufhaus")</f>
        <v>Kaufhaus</v>
      </c>
      <c r="H652" s="8" t="str">
        <f>IFERROR(__xludf.DUMMYFUNCTION("GOOGLETRANSLATE(C652, ""en"", ""ru"")"),"универмаг")</f>
        <v>универмаг</v>
      </c>
      <c r="I652" s="8" t="str">
        <f>IFERROR(__xludf.DUMMYFUNCTION("GOOGLETRANSLATE(C652, ""en"", ""ar"")"),"متجر متعدد الأقسام")</f>
        <v>متجر متعدد الأقسام</v>
      </c>
      <c r="J652" s="8"/>
      <c r="K652" s="7" t="str">
        <f>IFERROR(__xludf.DUMMYFUNCTION("CONCAT(REGEXREPLACE(C652,""[ ,]+"",""_""),"".mp3"")"),"department_store.mp3")</f>
        <v>department_store.mp3</v>
      </c>
      <c r="M652" s="4" t="s">
        <v>10</v>
      </c>
    </row>
    <row r="653" ht="15.75" customHeight="1">
      <c r="A653" s="1">
        <v>2021.0</v>
      </c>
      <c r="B653" s="3">
        <v>145.0</v>
      </c>
      <c r="C653" s="7" t="s">
        <v>697</v>
      </c>
      <c r="D653" s="8" t="str">
        <f>IFERROR(__xludf.DUMMYFUNCTION("GOOGLETRANSLATE(C653, ""en"", ""pt"")"),"loja de conveniência")</f>
        <v>loja de conveniência</v>
      </c>
      <c r="E653" s="8" t="str">
        <f>IFERROR(__xludf.DUMMYFUNCTION("GOOGLETRANSLATE(C653, ""en"", ""es"")"),"tienda de conveniencia")</f>
        <v>tienda de conveniencia</v>
      </c>
      <c r="F653" s="8" t="str">
        <f>IFERROR(__xludf.DUMMYFUNCTION("GOOGLETRANSLATE(C653, ""en"", ""fr"")"),"dépanneur")</f>
        <v>dépanneur</v>
      </c>
      <c r="G653" s="8" t="str">
        <f>IFERROR(__xludf.DUMMYFUNCTION("GOOGLETRANSLATE(C653, ""en"", ""de"")"),"Lebensmittelladen")</f>
        <v>Lebensmittelladen</v>
      </c>
      <c r="H653" s="8" t="str">
        <f>IFERROR(__xludf.DUMMYFUNCTION("GOOGLETRANSLATE(C653, ""en"", ""ru"")"),"магазин товаров повседневного спроса")</f>
        <v>магазин товаров повседневного спроса</v>
      </c>
      <c r="I653" s="8" t="str">
        <f>IFERROR(__xludf.DUMMYFUNCTION("GOOGLETRANSLATE(C653, ""en"", ""ar"")"),"متجر بقالة")</f>
        <v>متجر بقالة</v>
      </c>
      <c r="J653" s="8"/>
      <c r="K653" s="7" t="str">
        <f>IFERROR(__xludf.DUMMYFUNCTION("CONCAT(REGEXREPLACE(C653,""[ ,]+"",""_""),"".mp3"")"),"convenience_store.mp3")</f>
        <v>convenience_store.mp3</v>
      </c>
      <c r="M653" s="4" t="s">
        <v>10</v>
      </c>
    </row>
    <row r="654" ht="15.75" customHeight="1">
      <c r="A654" s="1">
        <v>2022.0</v>
      </c>
      <c r="B654" s="3">
        <v>145.0</v>
      </c>
      <c r="C654" s="7" t="s">
        <v>698</v>
      </c>
      <c r="D654" s="8" t="str">
        <f>IFERROR(__xludf.DUMMYFUNCTION("GOOGLETRANSLATE(C654, ""en"", ""pt"")"),"padaria")</f>
        <v>padaria</v>
      </c>
      <c r="E654" s="8" t="str">
        <f>IFERROR(__xludf.DUMMYFUNCTION("GOOGLETRANSLATE(C654, ""en"", ""es"")"),"panadería")</f>
        <v>panadería</v>
      </c>
      <c r="F654" s="8" t="str">
        <f>IFERROR(__xludf.DUMMYFUNCTION("GOOGLETRANSLATE(C654, ""en"", ""fr"")"),"boulangerie")</f>
        <v>boulangerie</v>
      </c>
      <c r="G654" s="8" t="str">
        <f>IFERROR(__xludf.DUMMYFUNCTION("GOOGLETRANSLATE(C654, ""en"", ""de"")"),"Bäckerei")</f>
        <v>Bäckerei</v>
      </c>
      <c r="H654" s="8" t="str">
        <f>IFERROR(__xludf.DUMMYFUNCTION("GOOGLETRANSLATE(C654, ""en"", ""ru"")"),"пекарня")</f>
        <v>пекарня</v>
      </c>
      <c r="I654" s="8" t="str">
        <f>IFERROR(__xludf.DUMMYFUNCTION("GOOGLETRANSLATE(C654, ""en"", ""ar"")"),"مخبز")</f>
        <v>مخبز</v>
      </c>
      <c r="J654" s="8"/>
      <c r="K654" s="7" t="str">
        <f>IFERROR(__xludf.DUMMYFUNCTION("CONCAT(REGEXREPLACE(C654,""[ ,]+"",""_""),"".mp3"")"),"bakery.mp3")</f>
        <v>bakery.mp3</v>
      </c>
      <c r="M654" s="4" t="s">
        <v>10</v>
      </c>
    </row>
    <row r="655" ht="15.75" customHeight="1">
      <c r="A655" s="1">
        <v>2023.0</v>
      </c>
      <c r="B655" s="3">
        <v>145.0</v>
      </c>
      <c r="C655" s="7" t="s">
        <v>699</v>
      </c>
      <c r="D655" s="8" t="str">
        <f>IFERROR(__xludf.DUMMYFUNCTION("GOOGLETRANSLATE(C655, ""en"", ""pt"")"),"açougueiro")</f>
        <v>açougueiro</v>
      </c>
      <c r="E655" s="8" t="str">
        <f>IFERROR(__xludf.DUMMYFUNCTION("GOOGLETRANSLATE(C655, ""en"", ""es"")"),"carnicero")</f>
        <v>carnicero</v>
      </c>
      <c r="F655" s="8" t="str">
        <f>IFERROR(__xludf.DUMMYFUNCTION("GOOGLETRANSLATE(C655, ""en"", ""fr"")"),"Boucher")</f>
        <v>Boucher</v>
      </c>
      <c r="G655" s="8" t="str">
        <f>IFERROR(__xludf.DUMMYFUNCTION("GOOGLETRANSLATE(C655, ""en"", ""de"")"),"Metzger")</f>
        <v>Metzger</v>
      </c>
      <c r="H655" s="8" t="str">
        <f>IFERROR(__xludf.DUMMYFUNCTION("GOOGLETRANSLATE(C655, ""en"", ""ru"")"),"мясник")</f>
        <v>мясник</v>
      </c>
      <c r="I655" s="8" t="str">
        <f>IFERROR(__xludf.DUMMYFUNCTION("GOOGLETRANSLATE(C655, ""en"", ""ar"")"),"جزار")</f>
        <v>جزار</v>
      </c>
      <c r="J655" s="8"/>
      <c r="K655" s="7" t="str">
        <f>IFERROR(__xludf.DUMMYFUNCTION("CONCAT(REGEXREPLACE(C655,""[ ,]+"",""_""),"".mp3"")"),"butcher.mp3")</f>
        <v>butcher.mp3</v>
      </c>
      <c r="M655" s="4" t="s">
        <v>10</v>
      </c>
    </row>
    <row r="656" ht="15.75" customHeight="1">
      <c r="A656" s="1">
        <v>2024.0</v>
      </c>
      <c r="B656" s="3">
        <v>145.0</v>
      </c>
      <c r="C656" s="7" t="s">
        <v>673</v>
      </c>
      <c r="D656" s="8" t="str">
        <f>IFERROR(__xludf.DUMMYFUNCTION("GOOGLETRANSLATE(C656, ""en"", ""pt"")"),"farmácia")</f>
        <v>farmácia</v>
      </c>
      <c r="E656" s="8" t="str">
        <f>IFERROR(__xludf.DUMMYFUNCTION("GOOGLETRANSLATE(C656, ""en"", ""es"")"),"farmacia")</f>
        <v>farmacia</v>
      </c>
      <c r="F656" s="8" t="str">
        <f>IFERROR(__xludf.DUMMYFUNCTION("GOOGLETRANSLATE(C656, ""en"", ""fr"")"),"pharmacie")</f>
        <v>pharmacie</v>
      </c>
      <c r="G656" s="8" t="str">
        <f>IFERROR(__xludf.DUMMYFUNCTION("GOOGLETRANSLATE(C656, ""en"", ""de"")"),"Apotheke")</f>
        <v>Apotheke</v>
      </c>
      <c r="H656" s="8" t="str">
        <f>IFERROR(__xludf.DUMMYFUNCTION("GOOGLETRANSLATE(C656, ""en"", ""ru"")"),"аптека")</f>
        <v>аптека</v>
      </c>
      <c r="I656" s="8" t="str">
        <f>IFERROR(__xludf.DUMMYFUNCTION("GOOGLETRANSLATE(C656, ""en"", ""ar"")"),"صيدلية")</f>
        <v>صيدلية</v>
      </c>
      <c r="J656" s="8"/>
      <c r="K656" s="7" t="str">
        <f>IFERROR(__xludf.DUMMYFUNCTION("CONCAT(REGEXREPLACE(C656,""[ ,]+"",""_""),"".mp3"")"),"pharmacy.mp3")</f>
        <v>pharmacy.mp3</v>
      </c>
      <c r="M656" s="4" t="s">
        <v>10</v>
      </c>
    </row>
    <row r="657" ht="15.75" customHeight="1">
      <c r="A657" s="1">
        <v>2025.0</v>
      </c>
      <c r="B657" s="3">
        <v>145.0</v>
      </c>
      <c r="C657" s="7" t="s">
        <v>700</v>
      </c>
      <c r="D657" s="8" t="str">
        <f>IFERROR(__xludf.DUMMYFUNCTION("GOOGLETRANSLATE(C657, ""en"", ""pt"")"),"livraria")</f>
        <v>livraria</v>
      </c>
      <c r="E657" s="8" t="str">
        <f>IFERROR(__xludf.DUMMYFUNCTION("GOOGLETRANSLATE(C657, ""en"", ""es"")"),"librería")</f>
        <v>librería</v>
      </c>
      <c r="F657" s="8" t="str">
        <f>IFERROR(__xludf.DUMMYFUNCTION("GOOGLETRANSLATE(C657, ""en"", ""fr"")"),"librairie")</f>
        <v>librairie</v>
      </c>
      <c r="G657" s="8" t="str">
        <f>IFERROR(__xludf.DUMMYFUNCTION("GOOGLETRANSLATE(C657, ""en"", ""de"")"),"Buchhandlung")</f>
        <v>Buchhandlung</v>
      </c>
      <c r="H657" s="8" t="str">
        <f>IFERROR(__xludf.DUMMYFUNCTION("GOOGLETRANSLATE(C657, ""en"", ""ru"")"),"книжный магазин")</f>
        <v>книжный магазин</v>
      </c>
      <c r="I657" s="8" t="str">
        <f>IFERROR(__xludf.DUMMYFUNCTION("GOOGLETRANSLATE(C657, ""en"", ""ar"")"),"مكتبة")</f>
        <v>مكتبة</v>
      </c>
      <c r="J657" s="8"/>
      <c r="K657" s="7" t="str">
        <f>IFERROR(__xludf.DUMMYFUNCTION("CONCAT(REGEXREPLACE(C657,""[ ,]+"",""_""),"".mp3"")"),"bookstore.mp3")</f>
        <v>bookstore.mp3</v>
      </c>
      <c r="M657" s="4" t="s">
        <v>10</v>
      </c>
    </row>
    <row r="658" ht="15.75" customHeight="1">
      <c r="A658" s="1">
        <v>2026.0</v>
      </c>
      <c r="B658" s="3">
        <v>145.0</v>
      </c>
      <c r="C658" s="7" t="s">
        <v>701</v>
      </c>
      <c r="D658" s="8" t="str">
        <f>IFERROR(__xludf.DUMMYFUNCTION("GOOGLETRANSLATE(C658, ""en"", ""pt"")"),"loja de roupas")</f>
        <v>loja de roupas</v>
      </c>
      <c r="E658" s="8" t="str">
        <f>IFERROR(__xludf.DUMMYFUNCTION("GOOGLETRANSLATE(C658, ""en"", ""es"")"),"tienda de ropa")</f>
        <v>tienda de ropa</v>
      </c>
      <c r="F658" s="8" t="str">
        <f>IFERROR(__xludf.DUMMYFUNCTION("GOOGLETRANSLATE(C658, ""en"", ""fr"")"),"magasin de vêtements")</f>
        <v>magasin de vêtements</v>
      </c>
      <c r="G658" s="8" t="str">
        <f>IFERROR(__xludf.DUMMYFUNCTION("GOOGLETRANSLATE(C658, ""en"", ""de"")"),"Bekleidungsgeschäft")</f>
        <v>Bekleidungsgeschäft</v>
      </c>
      <c r="H658" s="8" t="str">
        <f>IFERROR(__xludf.DUMMYFUNCTION("GOOGLETRANSLATE(C658, ""en"", ""ru"")"),"магазин одежды")</f>
        <v>магазин одежды</v>
      </c>
      <c r="I658" s="8" t="str">
        <f>IFERROR(__xludf.DUMMYFUNCTION("GOOGLETRANSLATE(C658, ""en"", ""ar"")"),"متجر ملابس")</f>
        <v>متجر ملابس</v>
      </c>
      <c r="J658" s="8"/>
      <c r="K658" s="7" t="str">
        <f>IFERROR(__xludf.DUMMYFUNCTION("CONCAT(REGEXREPLACE(C658,""[ ,]+"",""_""),"".mp3"")"),"clothing_store.mp3")</f>
        <v>clothing_store.mp3</v>
      </c>
      <c r="M658" s="4" t="s">
        <v>10</v>
      </c>
    </row>
    <row r="659" ht="15.75" customHeight="1">
      <c r="A659" s="1">
        <v>2027.0</v>
      </c>
      <c r="B659" s="3">
        <v>145.0</v>
      </c>
      <c r="C659" s="7" t="s">
        <v>702</v>
      </c>
      <c r="D659" s="8" t="str">
        <f>IFERROR(__xludf.DUMMYFUNCTION("GOOGLETRANSLATE(C659, ""en"", ""pt"")"),"loja de eletrônicos")</f>
        <v>loja de eletrônicos</v>
      </c>
      <c r="E659" s="8" t="str">
        <f>IFERROR(__xludf.DUMMYFUNCTION("GOOGLETRANSLATE(C659, ""en"", ""es"")"),"tienda de electrónica")</f>
        <v>tienda de electrónica</v>
      </c>
      <c r="F659" s="8" t="str">
        <f>IFERROR(__xludf.DUMMYFUNCTION("GOOGLETRANSLATE(C659, ""en"", ""fr"")"),"magasin d'électronique")</f>
        <v>magasin d'électronique</v>
      </c>
      <c r="G659" s="8" t="str">
        <f>IFERROR(__xludf.DUMMYFUNCTION("GOOGLETRANSLATE(C659, ""en"", ""de"")"),"Elektronikgeschäft")</f>
        <v>Elektronikgeschäft</v>
      </c>
      <c r="H659" s="8" t="str">
        <f>IFERROR(__xludf.DUMMYFUNCTION("GOOGLETRANSLATE(C659, ""en"", ""ru"")"),"магазин электроники")</f>
        <v>магазин электроники</v>
      </c>
      <c r="I659" s="8" t="str">
        <f>IFERROR(__xludf.DUMMYFUNCTION("GOOGLETRANSLATE(C659, ""en"", ""ar"")"),"متجر إلكترونيات")</f>
        <v>متجر إلكترونيات</v>
      </c>
      <c r="J659" s="8"/>
      <c r="K659" s="7" t="str">
        <f>IFERROR(__xludf.DUMMYFUNCTION("CONCAT(REGEXREPLACE(C659,""[ ,]+"",""_""),"".mp3"")"),"electronics_store.mp3")</f>
        <v>electronics_store.mp3</v>
      </c>
      <c r="M659" s="4" t="s">
        <v>10</v>
      </c>
    </row>
    <row r="660" ht="15.75" customHeight="1">
      <c r="A660" s="1">
        <v>2028.0</v>
      </c>
      <c r="B660" s="3">
        <v>145.0</v>
      </c>
      <c r="C660" s="7" t="s">
        <v>703</v>
      </c>
      <c r="D660" s="8" t="str">
        <f>IFERROR(__xludf.DUMMYFUNCTION("GOOGLETRANSLATE(C660, ""en"", ""pt"")"),"loja de ferragens")</f>
        <v>loja de ferragens</v>
      </c>
      <c r="E660" s="8" t="str">
        <f>IFERROR(__xludf.DUMMYFUNCTION("GOOGLETRANSLATE(C660, ""en"", ""es"")"),"ferretería")</f>
        <v>ferretería</v>
      </c>
      <c r="F660" s="8" t="str">
        <f>IFERROR(__xludf.DUMMYFUNCTION("GOOGLETRANSLATE(C660, ""en"", ""fr"")"),"quincaillerie")</f>
        <v>quincaillerie</v>
      </c>
      <c r="G660" s="8" t="str">
        <f>IFERROR(__xludf.DUMMYFUNCTION("GOOGLETRANSLATE(C660, ""en"", ""de"")"),"Eisenwarenladen")</f>
        <v>Eisenwarenladen</v>
      </c>
      <c r="H660" s="8" t="str">
        <f>IFERROR(__xludf.DUMMYFUNCTION("GOOGLETRANSLATE(C660, ""en"", ""ru"")"),"хозяйственный магазин")</f>
        <v>хозяйственный магазин</v>
      </c>
      <c r="I660" s="8" t="str">
        <f>IFERROR(__xludf.DUMMYFUNCTION("GOOGLETRANSLATE(C660, ""en"", ""ar"")"),"متجر أدوات البناء")</f>
        <v>متجر أدوات البناء</v>
      </c>
      <c r="J660" s="8"/>
      <c r="K660" s="7" t="str">
        <f>IFERROR(__xludf.DUMMYFUNCTION("CONCAT(REGEXREPLACE(C660,""[ ,]+"",""_""),"".mp3"")"),"hardware_store.mp3")</f>
        <v>hardware_store.mp3</v>
      </c>
      <c r="M660" s="4" t="s">
        <v>10</v>
      </c>
    </row>
    <row r="661" ht="15.75" customHeight="1">
      <c r="A661" s="1">
        <v>2029.0</v>
      </c>
      <c r="B661" s="3">
        <v>145.0</v>
      </c>
      <c r="C661" s="7" t="s">
        <v>704</v>
      </c>
      <c r="D661" s="8" t="str">
        <f>IFERROR(__xludf.DUMMYFUNCTION("GOOGLETRANSLATE(C661, ""en"", ""pt"")"),"restaurante")</f>
        <v>restaurante</v>
      </c>
      <c r="E661" s="8" t="str">
        <f>IFERROR(__xludf.DUMMYFUNCTION("GOOGLETRANSLATE(C661, ""en"", ""es"")"),"restaurante")</f>
        <v>restaurante</v>
      </c>
      <c r="F661" s="8" t="str">
        <f>IFERROR(__xludf.DUMMYFUNCTION("GOOGLETRANSLATE(C661, ""en"", ""fr"")"),"restaurant")</f>
        <v>restaurant</v>
      </c>
      <c r="G661" s="8" t="str">
        <f>IFERROR(__xludf.DUMMYFUNCTION("GOOGLETRANSLATE(C661, ""en"", ""de"")"),"Restaurant")</f>
        <v>Restaurant</v>
      </c>
      <c r="H661" s="8" t="str">
        <f>IFERROR(__xludf.DUMMYFUNCTION("GOOGLETRANSLATE(C661, ""en"", ""ru"")"),"ресторан")</f>
        <v>ресторан</v>
      </c>
      <c r="I661" s="8" t="str">
        <f>IFERROR(__xludf.DUMMYFUNCTION("GOOGLETRANSLATE(C661, ""en"", ""ar"")"),"مطعم")</f>
        <v>مطعم</v>
      </c>
      <c r="J661" s="8"/>
      <c r="K661" s="7" t="str">
        <f>IFERROR(__xludf.DUMMYFUNCTION("CONCAT(REGEXREPLACE(C661,""[ ,]+"",""_""),"".mp3"")"),"restaurant.mp3")</f>
        <v>restaurant.mp3</v>
      </c>
      <c r="M661" s="4" t="s">
        <v>10</v>
      </c>
    </row>
    <row r="662" ht="15.75" customHeight="1">
      <c r="A662" s="1">
        <v>2030.0</v>
      </c>
      <c r="B662" s="3">
        <v>145.0</v>
      </c>
      <c r="C662" s="7" t="s">
        <v>705</v>
      </c>
      <c r="D662" s="8" t="str">
        <f>IFERROR(__xludf.DUMMYFUNCTION("GOOGLETRANSLATE(C662, ""en"", ""pt"")"),"café")</f>
        <v>café</v>
      </c>
      <c r="E662" s="8" t="str">
        <f>IFERROR(__xludf.DUMMYFUNCTION("GOOGLETRANSLATE(C662, ""en"", ""es"")"),"cafetería")</f>
        <v>cafetería</v>
      </c>
      <c r="F662" s="8" t="str">
        <f>IFERROR(__xludf.DUMMYFUNCTION("GOOGLETRANSLATE(C662, ""en"", ""fr"")"),"café")</f>
        <v>café</v>
      </c>
      <c r="G662" s="8" t="str">
        <f>IFERROR(__xludf.DUMMYFUNCTION("GOOGLETRANSLATE(C662, ""en"", ""de"")"),"Cafe")</f>
        <v>Cafe</v>
      </c>
      <c r="H662" s="8" t="str">
        <f>IFERROR(__xludf.DUMMYFUNCTION("GOOGLETRANSLATE(C662, ""en"", ""ru"")"),"кафе")</f>
        <v>кафе</v>
      </c>
      <c r="I662" s="8" t="str">
        <f>IFERROR(__xludf.DUMMYFUNCTION("GOOGLETRANSLATE(C662, ""en"", ""ar"")"),"مقهى")</f>
        <v>مقهى</v>
      </c>
      <c r="J662" s="8"/>
      <c r="K662" s="7" t="str">
        <f>IFERROR(__xludf.DUMMYFUNCTION("CONCAT(REGEXREPLACE(C662,""[ ,]+"",""_""),"".mp3"")"),"café.mp3")</f>
        <v>café.mp3</v>
      </c>
      <c r="M662" s="4" t="s">
        <v>10</v>
      </c>
    </row>
    <row r="663" ht="15.75" customHeight="1">
      <c r="A663" s="1">
        <v>2031.0</v>
      </c>
      <c r="B663" s="3">
        <v>145.0</v>
      </c>
      <c r="C663" s="7" t="s">
        <v>706</v>
      </c>
      <c r="D663" s="8" t="str">
        <f>IFERROR(__xludf.DUMMYFUNCTION("GOOGLETRANSLATE(C663, ""en"", ""pt"")"),"cafeteria")</f>
        <v>cafeteria</v>
      </c>
      <c r="E663" s="8" t="str">
        <f>IFERROR(__xludf.DUMMYFUNCTION("GOOGLETRANSLATE(C663, ""en"", ""es"")"),"cafetería")</f>
        <v>cafetería</v>
      </c>
      <c r="F663" s="8" t="str">
        <f>IFERROR(__xludf.DUMMYFUNCTION("GOOGLETRANSLATE(C663, ""en"", ""fr"")"),"café")</f>
        <v>café</v>
      </c>
      <c r="G663" s="8" t="str">
        <f>IFERROR(__xludf.DUMMYFUNCTION("GOOGLETRANSLATE(C663, ""en"", ""de"")"),"Café")</f>
        <v>Café</v>
      </c>
      <c r="H663" s="8" t="str">
        <f>IFERROR(__xludf.DUMMYFUNCTION("GOOGLETRANSLATE(C663, ""en"", ""ru"")"),"кофейный магазин")</f>
        <v>кофейный магазин</v>
      </c>
      <c r="I663" s="8" t="str">
        <f>IFERROR(__xludf.DUMMYFUNCTION("GOOGLETRANSLATE(C663, ""en"", ""ar"")"),"مقهى")</f>
        <v>مقهى</v>
      </c>
      <c r="J663" s="8"/>
      <c r="K663" s="7" t="str">
        <f>IFERROR(__xludf.DUMMYFUNCTION("CONCAT(REGEXREPLACE(C663,""[ ,]+"",""_""),"".mp3"")"),"coffee_shop.mp3")</f>
        <v>coffee_shop.mp3</v>
      </c>
      <c r="M663" s="4" t="s">
        <v>10</v>
      </c>
    </row>
    <row r="664" ht="15.75" customHeight="1">
      <c r="A664" s="1">
        <v>2032.0</v>
      </c>
      <c r="B664" s="3">
        <v>145.0</v>
      </c>
      <c r="C664" s="7" t="s">
        <v>707</v>
      </c>
      <c r="D664" s="8" t="str">
        <f>IFERROR(__xludf.DUMMYFUNCTION("GOOGLETRANSLATE(C664, ""en"", ""pt"")"),"bar")</f>
        <v>bar</v>
      </c>
      <c r="E664" s="8" t="str">
        <f>IFERROR(__xludf.DUMMYFUNCTION("GOOGLETRANSLATE(C664, ""en"", ""es"")"),"bar")</f>
        <v>bar</v>
      </c>
      <c r="F664" s="8" t="str">
        <f>IFERROR(__xludf.DUMMYFUNCTION("GOOGLETRANSLATE(C664, ""en"", ""fr"")"),"bar")</f>
        <v>bar</v>
      </c>
      <c r="G664" s="8" t="str">
        <f>IFERROR(__xludf.DUMMYFUNCTION("GOOGLETRANSLATE(C664, ""en"", ""de"")"),"Bar")</f>
        <v>Bar</v>
      </c>
      <c r="H664" s="8" t="str">
        <f>IFERROR(__xludf.DUMMYFUNCTION("GOOGLETRANSLATE(C664, ""en"", ""ru"")"),"бар")</f>
        <v>бар</v>
      </c>
      <c r="I664" s="8" t="str">
        <f>IFERROR(__xludf.DUMMYFUNCTION("GOOGLETRANSLATE(C664, ""en"", ""ar"")"),"حاجِز")</f>
        <v>حاجِز</v>
      </c>
      <c r="J664" s="8"/>
      <c r="K664" s="7" t="str">
        <f>IFERROR(__xludf.DUMMYFUNCTION("CONCAT(REGEXREPLACE(C664,""[ ,]+"",""_""),"".mp3"")"),"bar.mp3")</f>
        <v>bar.mp3</v>
      </c>
      <c r="M664" s="4" t="s">
        <v>10</v>
      </c>
    </row>
    <row r="665" ht="15.75" customHeight="1">
      <c r="A665" s="1">
        <v>2033.0</v>
      </c>
      <c r="B665" s="3">
        <v>145.0</v>
      </c>
      <c r="C665" s="7" t="s">
        <v>708</v>
      </c>
      <c r="D665" s="8" t="str">
        <f>IFERROR(__xludf.DUMMYFUNCTION("GOOGLETRANSLATE(C665, ""en"", ""pt"")"),"pub")</f>
        <v>pub</v>
      </c>
      <c r="E665" s="8" t="str">
        <f>IFERROR(__xludf.DUMMYFUNCTION("GOOGLETRANSLATE(C665, ""en"", ""es"")"),"pub")</f>
        <v>pub</v>
      </c>
      <c r="F665" s="8" t="str">
        <f>IFERROR(__xludf.DUMMYFUNCTION("GOOGLETRANSLATE(C665, ""en"", ""fr"")"),"pub")</f>
        <v>pub</v>
      </c>
      <c r="G665" s="8" t="str">
        <f>IFERROR(__xludf.DUMMYFUNCTION("GOOGLETRANSLATE(C665, ""en"", ""de"")"),"Kneipe")</f>
        <v>Kneipe</v>
      </c>
      <c r="H665" s="8" t="str">
        <f>IFERROR(__xludf.DUMMYFUNCTION("GOOGLETRANSLATE(C665, ""en"", ""ru"")"),"паб")</f>
        <v>паб</v>
      </c>
      <c r="I665" s="8" t="str">
        <f>IFERROR(__xludf.DUMMYFUNCTION("GOOGLETRANSLATE(C665, ""en"", ""ar"")"),"حانة")</f>
        <v>حانة</v>
      </c>
      <c r="J665" s="8"/>
      <c r="K665" s="7" t="str">
        <f>IFERROR(__xludf.DUMMYFUNCTION("CONCAT(REGEXREPLACE(C665,""[ ,]+"",""_""),"".mp3"")"),"pub.mp3")</f>
        <v>pub.mp3</v>
      </c>
      <c r="M665" s="4" t="s">
        <v>10</v>
      </c>
    </row>
    <row r="666" ht="15.75" customHeight="1">
      <c r="A666" s="1">
        <v>2034.0</v>
      </c>
      <c r="B666" s="3">
        <v>145.0</v>
      </c>
      <c r="C666" s="7" t="s">
        <v>709</v>
      </c>
      <c r="D666" s="8" t="str">
        <f>IFERROR(__xludf.DUMMYFUNCTION("GOOGLETRANSLATE(C666, ""en"", ""pt"")"),"lanchonete")</f>
        <v>lanchonete</v>
      </c>
      <c r="E666" s="8" t="str">
        <f>IFERROR(__xludf.DUMMYFUNCTION("GOOGLETRANSLATE(C666, ""en"", ""es"")"),"comedor")</f>
        <v>comedor</v>
      </c>
      <c r="F666" s="8" t="str">
        <f>IFERROR(__xludf.DUMMYFUNCTION("GOOGLETRANSLATE(C666, ""en"", ""fr"")"),"restaurant")</f>
        <v>restaurant</v>
      </c>
      <c r="G666" s="8" t="str">
        <f>IFERROR(__xludf.DUMMYFUNCTION("GOOGLETRANSLATE(C666, ""en"", ""de"")"),"Diner")</f>
        <v>Diner</v>
      </c>
      <c r="H666" s="8" t="str">
        <f>IFERROR(__xludf.DUMMYFUNCTION("GOOGLETRANSLATE(C666, ""en"", ""ru"")"),"закусочная")</f>
        <v>закусочная</v>
      </c>
      <c r="I666" s="8" t="str">
        <f>IFERROR(__xludf.DUMMYFUNCTION("GOOGLETRANSLATE(C666, ""en"", ""ar"")"),"مطعم")</f>
        <v>مطعم</v>
      </c>
      <c r="J666" s="8"/>
      <c r="K666" s="7" t="str">
        <f>IFERROR(__xludf.DUMMYFUNCTION("CONCAT(REGEXREPLACE(C666,""[ ,]+"",""_""),"".mp3"")"),"diner.mp3")</f>
        <v>diner.mp3</v>
      </c>
      <c r="M666" s="4" t="s">
        <v>10</v>
      </c>
    </row>
    <row r="667" ht="15.75" customHeight="1">
      <c r="A667" s="1">
        <v>2035.0</v>
      </c>
      <c r="B667" s="3">
        <v>145.0</v>
      </c>
      <c r="C667" s="7" t="s">
        <v>710</v>
      </c>
      <c r="D667" s="8" t="str">
        <f>IFERROR(__xludf.DUMMYFUNCTION("GOOGLETRANSLATE(C667, ""en"", ""pt"")"),"restaurante de fast-food")</f>
        <v>restaurante de fast-food</v>
      </c>
      <c r="E667" s="8" t="str">
        <f>IFERROR(__xludf.DUMMYFUNCTION("GOOGLETRANSLATE(C667, ""en"", ""es"")"),"restaurante de comida rápida")</f>
        <v>restaurante de comida rápida</v>
      </c>
      <c r="F667" s="8" t="str">
        <f>IFERROR(__xludf.DUMMYFUNCTION("GOOGLETRANSLATE(C667, ""en"", ""fr"")"),"restaurant de restauration rapide")</f>
        <v>restaurant de restauration rapide</v>
      </c>
      <c r="G667" s="8" t="str">
        <f>IFERROR(__xludf.DUMMYFUNCTION("GOOGLETRANSLATE(C667, ""en"", ""de"")"),"Schnellrestaurant")</f>
        <v>Schnellrestaurant</v>
      </c>
      <c r="H667" s="8" t="str">
        <f>IFERROR(__xludf.DUMMYFUNCTION("GOOGLETRANSLATE(C667, ""en"", ""ru"")"),"ресторан быстрого питания")</f>
        <v>ресторан быстрого питания</v>
      </c>
      <c r="I667" s="8" t="str">
        <f>IFERROR(__xludf.DUMMYFUNCTION("GOOGLETRANSLATE(C667, ""en"", ""ar"")"),"مطعم للوجبات السريعة")</f>
        <v>مطعم للوجبات السريعة</v>
      </c>
      <c r="J667" s="8"/>
      <c r="K667" s="7" t="str">
        <f>IFERROR(__xludf.DUMMYFUNCTION("CONCAT(REGEXREPLACE(C667,""[ ,]+"",""_""),"".mp3"")"),"fast‑food_restaurant.mp3")</f>
        <v>fast‑food_restaurant.mp3</v>
      </c>
      <c r="M667" s="4" t="s">
        <v>10</v>
      </c>
    </row>
    <row r="668" ht="15.75" customHeight="1">
      <c r="A668" s="1">
        <v>2036.0</v>
      </c>
      <c r="B668" s="3">
        <v>145.0</v>
      </c>
      <c r="C668" s="7" t="s">
        <v>711</v>
      </c>
      <c r="D668" s="8" t="str">
        <f>IFERROR(__xludf.DUMMYFUNCTION("GOOGLETRANSLATE(C668, ""en"", ""pt"")"),"cantina")</f>
        <v>cantina</v>
      </c>
      <c r="E668" s="8" t="str">
        <f>IFERROR(__xludf.DUMMYFUNCTION("GOOGLETRANSLATE(C668, ""en"", ""es"")"),"cantina")</f>
        <v>cantina</v>
      </c>
      <c r="F668" s="8" t="str">
        <f>IFERROR(__xludf.DUMMYFUNCTION("GOOGLETRANSLATE(C668, ""en"", ""fr"")"),"cantine")</f>
        <v>cantine</v>
      </c>
      <c r="G668" s="8" t="str">
        <f>IFERROR(__xludf.DUMMYFUNCTION("GOOGLETRANSLATE(C668, ""en"", ""de"")"),"Kantine")</f>
        <v>Kantine</v>
      </c>
      <c r="H668" s="8" t="str">
        <f>IFERROR(__xludf.DUMMYFUNCTION("GOOGLETRANSLATE(C668, ""en"", ""ru"")"),"столовая")</f>
        <v>столовая</v>
      </c>
      <c r="I668" s="8" t="str">
        <f>IFERROR(__xludf.DUMMYFUNCTION("GOOGLETRANSLATE(C668, ""en"", ""ar"")"),"مقصف")</f>
        <v>مقصف</v>
      </c>
      <c r="J668" s="8"/>
      <c r="K668" s="7" t="str">
        <f>IFERROR(__xludf.DUMMYFUNCTION("CONCAT(REGEXREPLACE(C668,""[ ,]+"",""_""),"".mp3"")"),"canteen.mp3")</f>
        <v>canteen.mp3</v>
      </c>
      <c r="M668" s="4" t="s">
        <v>10</v>
      </c>
    </row>
    <row r="669" ht="15.75" customHeight="1">
      <c r="A669" s="1">
        <v>2037.0</v>
      </c>
      <c r="B669" s="3">
        <v>145.0</v>
      </c>
      <c r="C669" s="7" t="s">
        <v>712</v>
      </c>
      <c r="D669" s="8" t="str">
        <f>IFERROR(__xludf.DUMMYFUNCTION("GOOGLETRANSLATE(C669, ""en"", ""pt"")"),"praça de alimentação")</f>
        <v>praça de alimentação</v>
      </c>
      <c r="E669" s="8" t="str">
        <f>IFERROR(__xludf.DUMMYFUNCTION("GOOGLETRANSLATE(C669, ""en"", ""es"")"),"patio de comidas")</f>
        <v>patio de comidas</v>
      </c>
      <c r="F669" s="8" t="str">
        <f>IFERROR(__xludf.DUMMYFUNCTION("GOOGLETRANSLATE(C669, ""en"", ""fr"")"),"aire de restauration")</f>
        <v>aire de restauration</v>
      </c>
      <c r="G669" s="8" t="str">
        <f>IFERROR(__xludf.DUMMYFUNCTION("GOOGLETRANSLATE(C669, ""en"", ""de"")"),"Gastronomiebereich")</f>
        <v>Gastronomiebereich</v>
      </c>
      <c r="H669" s="8" t="str">
        <f>IFERROR(__xludf.DUMMYFUNCTION("GOOGLETRANSLATE(C669, ""en"", ""ru"")"),"фуд-корт")</f>
        <v>фуд-корт</v>
      </c>
      <c r="I669" s="8" t="str">
        <f>IFERROR(__xludf.DUMMYFUNCTION("GOOGLETRANSLATE(C669, ""en"", ""ar"")"),"ردهة الطعام")</f>
        <v>ردهة الطعام</v>
      </c>
      <c r="J669" s="8"/>
      <c r="K669" s="7" t="str">
        <f>IFERROR(__xludf.DUMMYFUNCTION("CONCAT(REGEXREPLACE(C669,""[ ,]+"",""_""),"".mp3"")"),"food_court.mp3")</f>
        <v>food_court.mp3</v>
      </c>
      <c r="M669" s="4" t="s">
        <v>10</v>
      </c>
    </row>
    <row r="670" ht="15.75" customHeight="1">
      <c r="A670" s="1">
        <v>2038.0</v>
      </c>
      <c r="B670" s="3">
        <v>145.0</v>
      </c>
      <c r="C670" s="7" t="s">
        <v>698</v>
      </c>
      <c r="D670" s="8" t="str">
        <f>IFERROR(__xludf.DUMMYFUNCTION("GOOGLETRANSLATE(C670, ""en"", ""pt"")"),"padaria")</f>
        <v>padaria</v>
      </c>
      <c r="E670" s="8" t="str">
        <f>IFERROR(__xludf.DUMMYFUNCTION("GOOGLETRANSLATE(C670, ""en"", ""es"")"),"panadería")</f>
        <v>panadería</v>
      </c>
      <c r="F670" s="8" t="str">
        <f>IFERROR(__xludf.DUMMYFUNCTION("GOOGLETRANSLATE(C670, ""en"", ""fr"")"),"boulangerie")</f>
        <v>boulangerie</v>
      </c>
      <c r="G670" s="8" t="str">
        <f>IFERROR(__xludf.DUMMYFUNCTION("GOOGLETRANSLATE(C670, ""en"", ""de"")"),"Bäckerei")</f>
        <v>Bäckerei</v>
      </c>
      <c r="H670" s="8" t="str">
        <f>IFERROR(__xludf.DUMMYFUNCTION("GOOGLETRANSLATE(C670, ""en"", ""ru"")"),"пекарня")</f>
        <v>пекарня</v>
      </c>
      <c r="I670" s="8" t="str">
        <f>IFERROR(__xludf.DUMMYFUNCTION("GOOGLETRANSLATE(C670, ""en"", ""ar"")"),"مخبز")</f>
        <v>مخبز</v>
      </c>
      <c r="J670" s="8"/>
      <c r="K670" s="7" t="str">
        <f>IFERROR(__xludf.DUMMYFUNCTION("CONCAT(REGEXREPLACE(C670,""[ ,]+"",""_""),"".mp3"")"),"bakery.mp3")</f>
        <v>bakery.mp3</v>
      </c>
      <c r="M670" s="4" t="s">
        <v>10</v>
      </c>
    </row>
    <row r="671" ht="15.75" customHeight="1">
      <c r="A671" s="1">
        <v>2039.0</v>
      </c>
      <c r="B671" s="3">
        <v>145.0</v>
      </c>
      <c r="C671" s="7" t="s">
        <v>713</v>
      </c>
      <c r="D671" s="8" t="str">
        <f>IFERROR(__xludf.DUMMYFUNCTION("GOOGLETRANSLATE(C671, ""en"", ""pt"")"),"sorveteria")</f>
        <v>sorveteria</v>
      </c>
      <c r="E671" s="8" t="str">
        <f>IFERROR(__xludf.DUMMYFUNCTION("GOOGLETRANSLATE(C671, ""en"", ""es"")"),"heladería")</f>
        <v>heladería</v>
      </c>
      <c r="F671" s="8" t="str">
        <f>IFERROR(__xludf.DUMMYFUNCTION("GOOGLETRANSLATE(C671, ""en"", ""fr"")"),"glacier")</f>
        <v>glacier</v>
      </c>
      <c r="G671" s="8" t="str">
        <f>IFERROR(__xludf.DUMMYFUNCTION("GOOGLETRANSLATE(C671, ""en"", ""de"")"),"Eisdiele")</f>
        <v>Eisdiele</v>
      </c>
      <c r="H671" s="8" t="str">
        <f>IFERROR(__xludf.DUMMYFUNCTION("GOOGLETRANSLATE(C671, ""en"", ""ru"")"),"магазин мороженого")</f>
        <v>магазин мороженого</v>
      </c>
      <c r="I671" s="8" t="str">
        <f>IFERROR(__xludf.DUMMYFUNCTION("GOOGLETRANSLATE(C671, ""en"", ""ar"")"),"محل آيس كريم")</f>
        <v>محل آيس كريم</v>
      </c>
      <c r="J671" s="8"/>
      <c r="K671" s="7" t="str">
        <f>IFERROR(__xludf.DUMMYFUNCTION("CONCAT(REGEXREPLACE(C671,""[ ,]+"",""_""),"".mp3"")"),"ice_cream_shop.mp3")</f>
        <v>ice_cream_shop.mp3</v>
      </c>
      <c r="M671" s="4" t="s">
        <v>10</v>
      </c>
    </row>
    <row r="672" ht="15.75" customHeight="1">
      <c r="A672" s="1">
        <v>2040.0</v>
      </c>
      <c r="B672" s="3">
        <v>145.0</v>
      </c>
      <c r="C672" s="7" t="s">
        <v>714</v>
      </c>
      <c r="D672" s="8" t="str">
        <f>IFERROR(__xludf.DUMMYFUNCTION("GOOGLETRANSLATE(C672, ""en"", ""pt"")"),"vinícola")</f>
        <v>vinícola</v>
      </c>
      <c r="E672" s="8" t="str">
        <f>IFERROR(__xludf.DUMMYFUNCTION("GOOGLETRANSLATE(C672, ""en"", ""es"")"),"lagar")</f>
        <v>lagar</v>
      </c>
      <c r="F672" s="8" t="str">
        <f>IFERROR(__xludf.DUMMYFUNCTION("GOOGLETRANSLATE(C672, ""en"", ""fr"")"),"établissement vinicole")</f>
        <v>établissement vinicole</v>
      </c>
      <c r="G672" s="8" t="str">
        <f>IFERROR(__xludf.DUMMYFUNCTION("GOOGLETRANSLATE(C672, ""en"", ""de"")"),"Weingut")</f>
        <v>Weingut</v>
      </c>
      <c r="H672" s="8" t="str">
        <f>IFERROR(__xludf.DUMMYFUNCTION("GOOGLETRANSLATE(C672, ""en"", ""ru"")"),"винодельня")</f>
        <v>винодельня</v>
      </c>
      <c r="I672" s="8" t="str">
        <f>IFERROR(__xludf.DUMMYFUNCTION("GOOGLETRANSLATE(C672, ""en"", ""ar"")"),"مصنع الخمرة")</f>
        <v>مصنع الخمرة</v>
      </c>
      <c r="J672" s="8"/>
      <c r="K672" s="7" t="str">
        <f>IFERROR(__xludf.DUMMYFUNCTION("CONCAT(REGEXREPLACE(C672,""[ ,]+"",""_""),"".mp3"")"),"winery.mp3")</f>
        <v>winery.mp3</v>
      </c>
      <c r="M672" s="4" t="s">
        <v>10</v>
      </c>
    </row>
    <row r="673" ht="15.75" customHeight="1">
      <c r="A673" s="1">
        <v>2041.0</v>
      </c>
      <c r="B673" s="3">
        <v>145.0</v>
      </c>
      <c r="C673" s="7" t="s">
        <v>715</v>
      </c>
      <c r="D673" s="8" t="str">
        <f>IFERROR(__xludf.DUMMYFUNCTION("GOOGLETRANSLATE(C673, ""en"", ""pt"")"),"cervejaria")</f>
        <v>cervejaria</v>
      </c>
      <c r="E673" s="8" t="str">
        <f>IFERROR(__xludf.DUMMYFUNCTION("GOOGLETRANSLATE(C673, ""en"", ""es"")"),"cervecería")</f>
        <v>cervecería</v>
      </c>
      <c r="F673" s="8" t="str">
        <f>IFERROR(__xludf.DUMMYFUNCTION("GOOGLETRANSLATE(C673, ""en"", ""fr"")"),"brasserie")</f>
        <v>brasserie</v>
      </c>
      <c r="G673" s="8" t="str">
        <f>IFERROR(__xludf.DUMMYFUNCTION("GOOGLETRANSLATE(C673, ""en"", ""de"")"),"Brauerei")</f>
        <v>Brauerei</v>
      </c>
      <c r="H673" s="8" t="str">
        <f>IFERROR(__xludf.DUMMYFUNCTION("GOOGLETRANSLATE(C673, ""en"", ""ru"")"),"пивоварня")</f>
        <v>пивоварня</v>
      </c>
      <c r="I673" s="8" t="str">
        <f>IFERROR(__xludf.DUMMYFUNCTION("GOOGLETRANSLATE(C673, ""en"", ""ar"")"),"مصنع الجعة")</f>
        <v>مصنع الجعة</v>
      </c>
      <c r="J673" s="8"/>
      <c r="K673" s="7" t="str">
        <f>IFERROR(__xludf.DUMMYFUNCTION("CONCAT(REGEXREPLACE(C673,""[ ,]+"",""_""),"".mp3"")"),"brewery.mp3")</f>
        <v>brewery.mp3</v>
      </c>
      <c r="M673" s="4" t="s">
        <v>10</v>
      </c>
    </row>
    <row r="674" ht="15.75" customHeight="1">
      <c r="A674" s="1">
        <v>2042.0</v>
      </c>
      <c r="B674" s="3">
        <v>145.0</v>
      </c>
      <c r="C674" s="7" t="s">
        <v>716</v>
      </c>
      <c r="D674" s="8" t="str">
        <f>IFERROR(__xludf.DUMMYFUNCTION("GOOGLETRANSLATE(C674, ""en"", ""pt"")"),"Prefeitura")</f>
        <v>Prefeitura</v>
      </c>
      <c r="E674" s="8" t="str">
        <f>IFERROR(__xludf.DUMMYFUNCTION("GOOGLETRANSLATE(C674, ""en"", ""es"")"),"Ayuntamiento")</f>
        <v>Ayuntamiento</v>
      </c>
      <c r="F674" s="8" t="str">
        <f>IFERROR(__xludf.DUMMYFUNCTION("GOOGLETRANSLATE(C674, ""en"", ""fr"")"),"l'hôtel de ville")</f>
        <v>l'hôtel de ville</v>
      </c>
      <c r="G674" s="8" t="str">
        <f>IFERROR(__xludf.DUMMYFUNCTION("GOOGLETRANSLATE(C674, ""en"", ""de"")"),"Rathaus")</f>
        <v>Rathaus</v>
      </c>
      <c r="H674" s="8" t="str">
        <f>IFERROR(__xludf.DUMMYFUNCTION("GOOGLETRANSLATE(C674, ""en"", ""ru"")"),"ратуша")</f>
        <v>ратуша</v>
      </c>
      <c r="I674" s="8" t="str">
        <f>IFERROR(__xludf.DUMMYFUNCTION("GOOGLETRANSLATE(C674, ""en"", ""ar"")"),"بلدية")</f>
        <v>بلدية</v>
      </c>
      <c r="J674" s="8"/>
      <c r="K674" s="7" t="str">
        <f>IFERROR(__xludf.DUMMYFUNCTION("CONCAT(REGEXREPLACE(C674,""[ ,]+"",""_""),"".mp3"")"),"city_hall.mp3")</f>
        <v>city_hall.mp3</v>
      </c>
      <c r="M674" s="4" t="s">
        <v>10</v>
      </c>
    </row>
    <row r="675" ht="15.75" customHeight="1">
      <c r="A675" s="1">
        <v>2043.0</v>
      </c>
      <c r="B675" s="3">
        <v>145.0</v>
      </c>
      <c r="C675" s="7" t="s">
        <v>717</v>
      </c>
      <c r="D675" s="8" t="str">
        <f>IFERROR(__xludf.DUMMYFUNCTION("GOOGLETRANSLATE(C675, ""en"", ""pt"")"),"Prefeitura")</f>
        <v>Prefeitura</v>
      </c>
      <c r="E675" s="8" t="str">
        <f>IFERROR(__xludf.DUMMYFUNCTION("GOOGLETRANSLATE(C675, ""en"", ""es"")"),"Ayuntamiento")</f>
        <v>Ayuntamiento</v>
      </c>
      <c r="F675" s="8" t="str">
        <f>IFERROR(__xludf.DUMMYFUNCTION("GOOGLETRANSLATE(C675, ""en"", ""fr"")"),"mairie")</f>
        <v>mairie</v>
      </c>
      <c r="G675" s="8" t="str">
        <f>IFERROR(__xludf.DUMMYFUNCTION("GOOGLETRANSLATE(C675, ""en"", ""de"")"),"Rathaus")</f>
        <v>Rathaus</v>
      </c>
      <c r="H675" s="8" t="str">
        <f>IFERROR(__xludf.DUMMYFUNCTION("GOOGLETRANSLATE(C675, ""en"", ""ru"")"),"ратуша")</f>
        <v>ратуша</v>
      </c>
      <c r="I675" s="8" t="str">
        <f>IFERROR(__xludf.DUMMYFUNCTION("GOOGLETRANSLATE(C675, ""en"", ""ar"")"),"مبنى البلدية")</f>
        <v>مبنى البلدية</v>
      </c>
      <c r="J675" s="8"/>
      <c r="K675" s="7" t="str">
        <f>IFERROR(__xludf.DUMMYFUNCTION("CONCAT(REGEXREPLACE(C675,""[ ,]+"",""_""),"".mp3"")"),"town_hall.mp3")</f>
        <v>town_hall.mp3</v>
      </c>
      <c r="M675" s="4" t="s">
        <v>10</v>
      </c>
    </row>
    <row r="676" ht="15.75" customHeight="1">
      <c r="A676" s="1">
        <v>2044.0</v>
      </c>
      <c r="B676" s="3">
        <v>145.0</v>
      </c>
      <c r="C676" s="7" t="s">
        <v>718</v>
      </c>
      <c r="D676" s="8" t="str">
        <f>IFERROR(__xludf.DUMMYFUNCTION("GOOGLETRANSLATE(C676, ""en"", ""pt"")"),"tribunal")</f>
        <v>tribunal</v>
      </c>
      <c r="E676" s="8" t="str">
        <f>IFERROR(__xludf.DUMMYFUNCTION("GOOGLETRANSLATE(C676, ""en"", ""es"")"),"palacio de justicia")</f>
        <v>palacio de justicia</v>
      </c>
      <c r="F676" s="8" t="str">
        <f>IFERROR(__xludf.DUMMYFUNCTION("GOOGLETRANSLATE(C676, ""en"", ""fr"")"),"tribunal")</f>
        <v>tribunal</v>
      </c>
      <c r="G676" s="8" t="str">
        <f>IFERROR(__xludf.DUMMYFUNCTION("GOOGLETRANSLATE(C676, ""en"", ""de"")"),"Gerichtsgebäude")</f>
        <v>Gerichtsgebäude</v>
      </c>
      <c r="H676" s="8" t="str">
        <f>IFERROR(__xludf.DUMMYFUNCTION("GOOGLETRANSLATE(C676, ""en"", ""ru"")"),"здание суда")</f>
        <v>здание суда</v>
      </c>
      <c r="I676" s="8" t="str">
        <f>IFERROR(__xludf.DUMMYFUNCTION("GOOGLETRANSLATE(C676, ""en"", ""ar"")"),"المحكمة")</f>
        <v>المحكمة</v>
      </c>
      <c r="J676" s="8"/>
      <c r="K676" s="7" t="str">
        <f>IFERROR(__xludf.DUMMYFUNCTION("CONCAT(REGEXREPLACE(C676,""[ ,]+"",""_""),"".mp3"")"),"courthouse.mp3")</f>
        <v>courthouse.mp3</v>
      </c>
      <c r="M676" s="4" t="s">
        <v>10</v>
      </c>
    </row>
    <row r="677" ht="15.75" customHeight="1">
      <c r="A677" s="1">
        <v>2045.0</v>
      </c>
      <c r="B677" s="3">
        <v>145.0</v>
      </c>
      <c r="C677" s="7" t="s">
        <v>719</v>
      </c>
      <c r="D677" s="8" t="str">
        <f>IFERROR(__xludf.DUMMYFUNCTION("GOOGLETRANSLATE(C677, ""en"", ""pt"")"),"embaixada")</f>
        <v>embaixada</v>
      </c>
      <c r="E677" s="8" t="str">
        <f>IFERROR(__xludf.DUMMYFUNCTION("GOOGLETRANSLATE(C677, ""en"", ""es"")"),"embajada")</f>
        <v>embajada</v>
      </c>
      <c r="F677" s="8" t="str">
        <f>IFERROR(__xludf.DUMMYFUNCTION("GOOGLETRANSLATE(C677, ""en"", ""fr"")"),"ambassade")</f>
        <v>ambassade</v>
      </c>
      <c r="G677" s="8" t="str">
        <f>IFERROR(__xludf.DUMMYFUNCTION("GOOGLETRANSLATE(C677, ""en"", ""de"")"),"Botschaft")</f>
        <v>Botschaft</v>
      </c>
      <c r="H677" s="8" t="str">
        <f>IFERROR(__xludf.DUMMYFUNCTION("GOOGLETRANSLATE(C677, ""en"", ""ru"")"),"посольство")</f>
        <v>посольство</v>
      </c>
      <c r="I677" s="8" t="str">
        <f>IFERROR(__xludf.DUMMYFUNCTION("GOOGLETRANSLATE(C677, ""en"", ""ar"")"),"سفارة")</f>
        <v>سفارة</v>
      </c>
      <c r="J677" s="8"/>
      <c r="K677" s="7" t="str">
        <f>IFERROR(__xludf.DUMMYFUNCTION("CONCAT(REGEXREPLACE(C677,""[ ,]+"",""_""),"".mp3"")"),"embassy.mp3")</f>
        <v>embassy.mp3</v>
      </c>
      <c r="M677" s="4" t="s">
        <v>10</v>
      </c>
    </row>
    <row r="678" ht="15.75" customHeight="1">
      <c r="A678" s="1">
        <v>2046.0</v>
      </c>
      <c r="B678" s="3">
        <v>145.0</v>
      </c>
      <c r="C678" s="7" t="s">
        <v>720</v>
      </c>
      <c r="D678" s="8" t="str">
        <f>IFERROR(__xludf.DUMMYFUNCTION("GOOGLETRANSLATE(C678, ""en"", ""pt"")"),"consulado")</f>
        <v>consulado</v>
      </c>
      <c r="E678" s="8" t="str">
        <f>IFERROR(__xludf.DUMMYFUNCTION("GOOGLETRANSLATE(C678, ""en"", ""es"")"),"consulado")</f>
        <v>consulado</v>
      </c>
      <c r="F678" s="8" t="str">
        <f>IFERROR(__xludf.DUMMYFUNCTION("GOOGLETRANSLATE(C678, ""en"", ""fr"")"),"consulat")</f>
        <v>consulat</v>
      </c>
      <c r="G678" s="8" t="str">
        <f>IFERROR(__xludf.DUMMYFUNCTION("GOOGLETRANSLATE(C678, ""en"", ""de"")"),"Konsulat")</f>
        <v>Konsulat</v>
      </c>
      <c r="H678" s="8" t="str">
        <f>IFERROR(__xludf.DUMMYFUNCTION("GOOGLETRANSLATE(C678, ""en"", ""ru"")"),"консульство")</f>
        <v>консульство</v>
      </c>
      <c r="I678" s="8" t="str">
        <f>IFERROR(__xludf.DUMMYFUNCTION("GOOGLETRANSLATE(C678, ""en"", ""ar"")"),"قنصلية")</f>
        <v>قنصلية</v>
      </c>
      <c r="J678" s="8"/>
      <c r="K678" s="7" t="str">
        <f>IFERROR(__xludf.DUMMYFUNCTION("CONCAT(REGEXREPLACE(C678,""[ ,]+"",""_""),"".mp3"")"),"consulate.mp3")</f>
        <v>consulate.mp3</v>
      </c>
      <c r="M678" s="4" t="s">
        <v>10</v>
      </c>
    </row>
    <row r="679" ht="15.75" customHeight="1">
      <c r="A679" s="1">
        <v>2047.0</v>
      </c>
      <c r="B679" s="3">
        <v>145.0</v>
      </c>
      <c r="C679" s="7" t="s">
        <v>721</v>
      </c>
      <c r="D679" s="8" t="str">
        <f>IFERROR(__xludf.DUMMYFUNCTION("GOOGLETRANSLATE(C679, ""en"", ""pt"")"),"parlamento")</f>
        <v>parlamento</v>
      </c>
      <c r="E679" s="8" t="str">
        <f>IFERROR(__xludf.DUMMYFUNCTION("GOOGLETRANSLATE(C679, ""en"", ""es"")"),"parlamento")</f>
        <v>parlamento</v>
      </c>
      <c r="F679" s="8" t="str">
        <f>IFERROR(__xludf.DUMMYFUNCTION("GOOGLETRANSLATE(C679, ""en"", ""fr"")"),"parlement")</f>
        <v>parlement</v>
      </c>
      <c r="G679" s="8" t="str">
        <f>IFERROR(__xludf.DUMMYFUNCTION("GOOGLETRANSLATE(C679, ""en"", ""de"")"),"Parlament")</f>
        <v>Parlament</v>
      </c>
      <c r="H679" s="8" t="str">
        <f>IFERROR(__xludf.DUMMYFUNCTION("GOOGLETRANSLATE(C679, ""en"", ""ru"")"),"парламент")</f>
        <v>парламент</v>
      </c>
      <c r="I679" s="8" t="str">
        <f>IFERROR(__xludf.DUMMYFUNCTION("GOOGLETRANSLATE(C679, ""en"", ""ar"")"),"البرلمان")</f>
        <v>البرلمان</v>
      </c>
      <c r="J679" s="8"/>
      <c r="K679" s="7" t="str">
        <f>IFERROR(__xludf.DUMMYFUNCTION("CONCAT(REGEXREPLACE(C679,""[ ,]+"",""_""),"".mp3"")"),"parliament.mp3")</f>
        <v>parliament.mp3</v>
      </c>
      <c r="M679" s="4" t="s">
        <v>10</v>
      </c>
    </row>
    <row r="680" ht="15.75" customHeight="1">
      <c r="A680" s="1">
        <v>2048.0</v>
      </c>
      <c r="B680" s="3">
        <v>145.0</v>
      </c>
      <c r="C680" s="7" t="s">
        <v>722</v>
      </c>
      <c r="D680" s="8" t="str">
        <f>IFERROR(__xludf.DUMMYFUNCTION("GOOGLETRANSLATE(C680, ""en"", ""pt"")"),"senado")</f>
        <v>senado</v>
      </c>
      <c r="E680" s="8" t="str">
        <f>IFERROR(__xludf.DUMMYFUNCTION("GOOGLETRANSLATE(C680, ""en"", ""es"")"),"senado")</f>
        <v>senado</v>
      </c>
      <c r="F680" s="8" t="str">
        <f>IFERROR(__xludf.DUMMYFUNCTION("GOOGLETRANSLATE(C680, ""en"", ""fr"")"),"sénat")</f>
        <v>sénat</v>
      </c>
      <c r="G680" s="8" t="str">
        <f>IFERROR(__xludf.DUMMYFUNCTION("GOOGLETRANSLATE(C680, ""en"", ""de"")"),"Senat")</f>
        <v>Senat</v>
      </c>
      <c r="H680" s="8" t="str">
        <f>IFERROR(__xludf.DUMMYFUNCTION("GOOGLETRANSLATE(C680, ""en"", ""ru"")"),"сенат")</f>
        <v>сенат</v>
      </c>
      <c r="I680" s="8" t="str">
        <f>IFERROR(__xludf.DUMMYFUNCTION("GOOGLETRANSLATE(C680, ""en"", ""ar"")"),"مجلس الشيوخ")</f>
        <v>مجلس الشيوخ</v>
      </c>
      <c r="J680" s="8"/>
      <c r="K680" s="7" t="str">
        <f>IFERROR(__xludf.DUMMYFUNCTION("CONCAT(REGEXREPLACE(C680,""[ ,]+"",""_""),"".mp3"")"),"senate.mp3")</f>
        <v>senate.mp3</v>
      </c>
      <c r="M680" s="4" t="s">
        <v>10</v>
      </c>
    </row>
    <row r="681" ht="15.75" customHeight="1">
      <c r="A681" s="1">
        <v>2049.0</v>
      </c>
      <c r="B681" s="3">
        <v>145.0</v>
      </c>
      <c r="C681" s="7" t="s">
        <v>723</v>
      </c>
      <c r="D681" s="8" t="str">
        <f>IFERROR(__xludf.DUMMYFUNCTION("GOOGLETRANSLATE(C681, ""en"", ""pt"")"),"ministério")</f>
        <v>ministério</v>
      </c>
      <c r="E681" s="8" t="str">
        <f>IFERROR(__xludf.DUMMYFUNCTION("GOOGLETRANSLATE(C681, ""en"", ""es"")"),"ministerio")</f>
        <v>ministerio</v>
      </c>
      <c r="F681" s="8" t="str">
        <f>IFERROR(__xludf.DUMMYFUNCTION("GOOGLETRANSLATE(C681, ""en"", ""fr"")"),"ministère")</f>
        <v>ministère</v>
      </c>
      <c r="G681" s="8" t="str">
        <f>IFERROR(__xludf.DUMMYFUNCTION("GOOGLETRANSLATE(C681, ""en"", ""de"")"),"Ministerium")</f>
        <v>Ministerium</v>
      </c>
      <c r="H681" s="8" t="str">
        <f>IFERROR(__xludf.DUMMYFUNCTION("GOOGLETRANSLATE(C681, ""en"", ""ru"")"),"служение")</f>
        <v>служение</v>
      </c>
      <c r="I681" s="8" t="str">
        <f>IFERROR(__xludf.DUMMYFUNCTION("GOOGLETRANSLATE(C681, ""en"", ""ar"")"),"الخدمة")</f>
        <v>الخدمة</v>
      </c>
      <c r="J681" s="8"/>
      <c r="K681" s="7" t="str">
        <f>IFERROR(__xludf.DUMMYFUNCTION("CONCAT(REGEXREPLACE(C681,""[ ,]+"",""_""),"".mp3"")"),"ministry.mp3")</f>
        <v>ministry.mp3</v>
      </c>
      <c r="M681" s="4" t="s">
        <v>10</v>
      </c>
    </row>
    <row r="682" ht="15.75" customHeight="1">
      <c r="A682" s="1">
        <v>2050.0</v>
      </c>
      <c r="B682" s="3">
        <v>145.0</v>
      </c>
      <c r="C682" s="7" t="s">
        <v>724</v>
      </c>
      <c r="D682" s="8" t="str">
        <f>IFERROR(__xludf.DUMMYFUNCTION("GOOGLETRANSLATE(C682, ""en"", ""pt"")"),"escritório do governo")</f>
        <v>escritório do governo</v>
      </c>
      <c r="E682" s="8" t="str">
        <f>IFERROR(__xludf.DUMMYFUNCTION("GOOGLETRANSLATE(C682, ""en"", ""es"")"),"oficina del gobierno")</f>
        <v>oficina del gobierno</v>
      </c>
      <c r="F682" s="8" t="str">
        <f>IFERROR(__xludf.DUMMYFUNCTION("GOOGLETRANSLATE(C682, ""en"", ""fr"")"),"bureau gouvernemental")</f>
        <v>bureau gouvernemental</v>
      </c>
      <c r="G682" s="8" t="str">
        <f>IFERROR(__xludf.DUMMYFUNCTION("GOOGLETRANSLATE(C682, ""en"", ""de"")"),"Regierungsbüro")</f>
        <v>Regierungsbüro</v>
      </c>
      <c r="H682" s="8" t="str">
        <f>IFERROR(__xludf.DUMMYFUNCTION("GOOGLETRANSLATE(C682, ""en"", ""ru"")"),"правительственное учреждение")</f>
        <v>правительственное учреждение</v>
      </c>
      <c r="I682" s="8" t="str">
        <f>IFERROR(__xludf.DUMMYFUNCTION("GOOGLETRANSLATE(C682, ""en"", ""ar"")"),"مكتب حكومي")</f>
        <v>مكتب حكومي</v>
      </c>
      <c r="J682" s="8"/>
      <c r="K682" s="7" t="str">
        <f>IFERROR(__xludf.DUMMYFUNCTION("CONCAT(REGEXREPLACE(C682,""[ ,]+"",""_""),"".mp3"")"),"government_office.mp3")</f>
        <v>government_office.mp3</v>
      </c>
      <c r="M682" s="4" t="s">
        <v>10</v>
      </c>
    </row>
    <row r="683" ht="15.75" customHeight="1">
      <c r="A683" s="1">
        <v>2051.0</v>
      </c>
      <c r="B683" s="3">
        <v>145.0</v>
      </c>
      <c r="C683" s="7" t="s">
        <v>725</v>
      </c>
      <c r="D683" s="8" t="str">
        <f>IFERROR(__xludf.DUMMYFUNCTION("GOOGLETRANSLATE(C683, ""en"", ""pt"")"),"correios")</f>
        <v>correios</v>
      </c>
      <c r="E683" s="8" t="str">
        <f>IFERROR(__xludf.DUMMYFUNCTION("GOOGLETRANSLATE(C683, ""en"", ""es"")"),"oficina de correos")</f>
        <v>oficina de correos</v>
      </c>
      <c r="F683" s="8" t="str">
        <f>IFERROR(__xludf.DUMMYFUNCTION("GOOGLETRANSLATE(C683, ""en"", ""fr"")"),"bureau de poste")</f>
        <v>bureau de poste</v>
      </c>
      <c r="G683" s="8" t="str">
        <f>IFERROR(__xludf.DUMMYFUNCTION("GOOGLETRANSLATE(C683, ""en"", ""de"")"),"Postamt")</f>
        <v>Postamt</v>
      </c>
      <c r="H683" s="8" t="str">
        <f>IFERROR(__xludf.DUMMYFUNCTION("GOOGLETRANSLATE(C683, ""en"", ""ru"")"),"почтовое отделение")</f>
        <v>почтовое отделение</v>
      </c>
      <c r="I683" s="8" t="str">
        <f>IFERROR(__xludf.DUMMYFUNCTION("GOOGLETRANSLATE(C683, ""en"", ""ar"")"),"مكتب البريد")</f>
        <v>مكتب البريد</v>
      </c>
      <c r="J683" s="8"/>
      <c r="K683" s="7" t="str">
        <f>IFERROR(__xludf.DUMMYFUNCTION("CONCAT(REGEXREPLACE(C683,""[ ,]+"",""_""),"".mp3"")"),"post_office.mp3")</f>
        <v>post_office.mp3</v>
      </c>
      <c r="M683" s="4" t="s">
        <v>10</v>
      </c>
    </row>
    <row r="684" ht="15.75" customHeight="1">
      <c r="A684" s="1">
        <v>2052.0</v>
      </c>
      <c r="B684" s="3">
        <v>145.0</v>
      </c>
      <c r="C684" s="7" t="s">
        <v>726</v>
      </c>
      <c r="D684" s="8" t="str">
        <f>IFERROR(__xludf.DUMMYFUNCTION("GOOGLETRANSLATE(C684, ""en"", ""pt"")"),"prisão")</f>
        <v>prisão</v>
      </c>
      <c r="E684" s="8" t="str">
        <f>IFERROR(__xludf.DUMMYFUNCTION("GOOGLETRANSLATE(C684, ""en"", ""es"")"),"prisión")</f>
        <v>prisión</v>
      </c>
      <c r="F684" s="8" t="str">
        <f>IFERROR(__xludf.DUMMYFUNCTION("GOOGLETRANSLATE(C684, ""en"", ""fr"")"),"prison")</f>
        <v>prison</v>
      </c>
      <c r="G684" s="8" t="str">
        <f>IFERROR(__xludf.DUMMYFUNCTION("GOOGLETRANSLATE(C684, ""en"", ""de"")"),"Gefängnis")</f>
        <v>Gefängnis</v>
      </c>
      <c r="H684" s="8" t="str">
        <f>IFERROR(__xludf.DUMMYFUNCTION("GOOGLETRANSLATE(C684, ""en"", ""ru"")"),"тюрьма")</f>
        <v>тюрьма</v>
      </c>
      <c r="I684" s="8" t="str">
        <f>IFERROR(__xludf.DUMMYFUNCTION("GOOGLETRANSLATE(C684, ""en"", ""ar"")"),"سجن")</f>
        <v>سجن</v>
      </c>
      <c r="J684" s="8"/>
      <c r="K684" s="7" t="str">
        <f>IFERROR(__xludf.DUMMYFUNCTION("CONCAT(REGEXREPLACE(C684,""[ ,]+"",""_""),"".mp3"")"),"prison.mp3")</f>
        <v>prison.mp3</v>
      </c>
      <c r="M684" s="4" t="s">
        <v>10</v>
      </c>
    </row>
    <row r="685" ht="15.75" customHeight="1">
      <c r="A685" s="1">
        <v>2053.0</v>
      </c>
      <c r="B685" s="3">
        <v>145.0</v>
      </c>
      <c r="C685" s="7" t="s">
        <v>727</v>
      </c>
      <c r="D685" s="8" t="str">
        <f>IFERROR(__xludf.DUMMYFUNCTION("GOOGLETRANSLATE(C685, ""en"", ""pt"")"),"cadeia")</f>
        <v>cadeia</v>
      </c>
      <c r="E685" s="8" t="str">
        <f>IFERROR(__xludf.DUMMYFUNCTION("GOOGLETRANSLATE(C685, ""en"", ""es"")"),"celda")</f>
        <v>celda</v>
      </c>
      <c r="F685" s="8" t="str">
        <f>IFERROR(__xludf.DUMMYFUNCTION("GOOGLETRANSLATE(C685, ""en"", ""fr"")"),"prison")</f>
        <v>prison</v>
      </c>
      <c r="G685" s="8" t="str">
        <f>IFERROR(__xludf.DUMMYFUNCTION("GOOGLETRANSLATE(C685, ""en"", ""de"")"),"Gefängnis")</f>
        <v>Gefängnis</v>
      </c>
      <c r="H685" s="8" t="str">
        <f>IFERROR(__xludf.DUMMYFUNCTION("GOOGLETRANSLATE(C685, ""en"", ""ru"")"),"тюрьма")</f>
        <v>тюрьма</v>
      </c>
      <c r="I685" s="8" t="str">
        <f>IFERROR(__xludf.DUMMYFUNCTION("GOOGLETRANSLATE(C685, ""en"", ""ar"")"),"سجن")</f>
        <v>سجن</v>
      </c>
      <c r="J685" s="8"/>
      <c r="K685" s="7" t="str">
        <f>IFERROR(__xludf.DUMMYFUNCTION("CONCAT(REGEXREPLACE(C685,""[ ,]+"",""_""),"".mp3"")"),"jail.mp3")</f>
        <v>jail.mp3</v>
      </c>
      <c r="M685" s="4" t="s">
        <v>10</v>
      </c>
    </row>
    <row r="686" ht="15.75" customHeight="1">
      <c r="A686" s="1">
        <v>2054.0</v>
      </c>
      <c r="B686" s="3">
        <v>145.0</v>
      </c>
      <c r="C686" s="7" t="s">
        <v>728</v>
      </c>
      <c r="D686" s="8" t="str">
        <f>IFERROR(__xludf.DUMMYFUNCTION("GOOGLETRANSLATE(C686, ""en"", ""pt"")"),"igreja")</f>
        <v>igreja</v>
      </c>
      <c r="E686" s="8" t="str">
        <f>IFERROR(__xludf.DUMMYFUNCTION("GOOGLETRANSLATE(C686, ""en"", ""es"")"),"iglesia")</f>
        <v>iglesia</v>
      </c>
      <c r="F686" s="8" t="str">
        <f>IFERROR(__xludf.DUMMYFUNCTION("GOOGLETRANSLATE(C686, ""en"", ""fr"")"),"église")</f>
        <v>église</v>
      </c>
      <c r="G686" s="8" t="str">
        <f>IFERROR(__xludf.DUMMYFUNCTION("GOOGLETRANSLATE(C686, ""en"", ""de"")"),"Kirche")</f>
        <v>Kirche</v>
      </c>
      <c r="H686" s="8" t="str">
        <f>IFERROR(__xludf.DUMMYFUNCTION("GOOGLETRANSLATE(C686, ""en"", ""ru"")"),"церковь")</f>
        <v>церковь</v>
      </c>
      <c r="I686" s="8" t="str">
        <f>IFERROR(__xludf.DUMMYFUNCTION("GOOGLETRANSLATE(C686, ""en"", ""ar"")"),"كنيسة")</f>
        <v>كنيسة</v>
      </c>
      <c r="J686" s="8"/>
      <c r="K686" s="7" t="str">
        <f>IFERROR(__xludf.DUMMYFUNCTION("CONCAT(REGEXREPLACE(C686,""[ ,]+"",""_""),"".mp3"")"),"church.mp3")</f>
        <v>church.mp3</v>
      </c>
      <c r="M686" s="4" t="s">
        <v>10</v>
      </c>
    </row>
    <row r="687" ht="15.75" customHeight="1">
      <c r="A687" s="1">
        <v>2055.0</v>
      </c>
      <c r="B687" s="3">
        <v>145.0</v>
      </c>
      <c r="C687" s="7" t="s">
        <v>729</v>
      </c>
      <c r="D687" s="8" t="str">
        <f>IFERROR(__xludf.DUMMYFUNCTION("GOOGLETRANSLATE(C687, ""en"", ""pt"")"),"catedral")</f>
        <v>catedral</v>
      </c>
      <c r="E687" s="8" t="str">
        <f>IFERROR(__xludf.DUMMYFUNCTION("GOOGLETRANSLATE(C687, ""en"", ""es"")"),"catedral")</f>
        <v>catedral</v>
      </c>
      <c r="F687" s="8" t="str">
        <f>IFERROR(__xludf.DUMMYFUNCTION("GOOGLETRANSLATE(C687, ""en"", ""fr"")"),"cathédrale")</f>
        <v>cathédrale</v>
      </c>
      <c r="G687" s="8" t="str">
        <f>IFERROR(__xludf.DUMMYFUNCTION("GOOGLETRANSLATE(C687, ""en"", ""de"")"),"Kathedrale")</f>
        <v>Kathedrale</v>
      </c>
      <c r="H687" s="8" t="str">
        <f>IFERROR(__xludf.DUMMYFUNCTION("GOOGLETRANSLATE(C687, ""en"", ""ru"")"),"собор")</f>
        <v>собор</v>
      </c>
      <c r="I687" s="8" t="str">
        <f>IFERROR(__xludf.DUMMYFUNCTION("GOOGLETRANSLATE(C687, ""en"", ""ar"")"),"كاتدرائية")</f>
        <v>كاتدرائية</v>
      </c>
      <c r="J687" s="8"/>
      <c r="K687" s="7" t="str">
        <f>IFERROR(__xludf.DUMMYFUNCTION("CONCAT(REGEXREPLACE(C687,""[ ,]+"",""_""),"".mp3"")"),"cathedral.mp3")</f>
        <v>cathedral.mp3</v>
      </c>
      <c r="M687" s="4" t="s">
        <v>10</v>
      </c>
    </row>
    <row r="688" ht="15.75" customHeight="1">
      <c r="A688" s="1">
        <v>2056.0</v>
      </c>
      <c r="B688" s="3">
        <v>145.0</v>
      </c>
      <c r="C688" s="7" t="s">
        <v>730</v>
      </c>
      <c r="D688" s="8" t="str">
        <f>IFERROR(__xludf.DUMMYFUNCTION("GOOGLETRANSLATE(C688, ""en"", ""pt"")"),"capela")</f>
        <v>capela</v>
      </c>
      <c r="E688" s="8" t="str">
        <f>IFERROR(__xludf.DUMMYFUNCTION("GOOGLETRANSLATE(C688, ""en"", ""es"")"),"capilla")</f>
        <v>capilla</v>
      </c>
      <c r="F688" s="8" t="str">
        <f>IFERROR(__xludf.DUMMYFUNCTION("GOOGLETRANSLATE(C688, ""en"", ""fr"")"),"chapelle")</f>
        <v>chapelle</v>
      </c>
      <c r="G688" s="8" t="str">
        <f>IFERROR(__xludf.DUMMYFUNCTION("GOOGLETRANSLATE(C688, ""en"", ""de"")"),"Kapelle")</f>
        <v>Kapelle</v>
      </c>
      <c r="H688" s="8" t="str">
        <f>IFERROR(__xludf.DUMMYFUNCTION("GOOGLETRANSLATE(C688, ""en"", ""ru"")"),"часовня")</f>
        <v>часовня</v>
      </c>
      <c r="I688" s="8" t="str">
        <f>IFERROR(__xludf.DUMMYFUNCTION("GOOGLETRANSLATE(C688, ""en"", ""ar"")"),"كنيسة صغيرة")</f>
        <v>كنيسة صغيرة</v>
      </c>
      <c r="J688" s="8"/>
      <c r="K688" s="7" t="str">
        <f>IFERROR(__xludf.DUMMYFUNCTION("CONCAT(REGEXREPLACE(C688,""[ ,]+"",""_""),"".mp3"")"),"chapel.mp3")</f>
        <v>chapel.mp3</v>
      </c>
      <c r="M688" s="4" t="s">
        <v>10</v>
      </c>
    </row>
    <row r="689" ht="15.75" customHeight="1">
      <c r="A689" s="1">
        <v>2057.0</v>
      </c>
      <c r="B689" s="3">
        <v>145.0</v>
      </c>
      <c r="C689" s="7" t="s">
        <v>731</v>
      </c>
      <c r="D689" s="8" t="str">
        <f>IFERROR(__xludf.DUMMYFUNCTION("GOOGLETRANSLATE(C689, ""en"", ""pt"")"),"mesquita")</f>
        <v>mesquita</v>
      </c>
      <c r="E689" s="8" t="str">
        <f>IFERROR(__xludf.DUMMYFUNCTION("GOOGLETRANSLATE(C689, ""en"", ""es"")"),"mezquita")</f>
        <v>mezquita</v>
      </c>
      <c r="F689" s="8" t="str">
        <f>IFERROR(__xludf.DUMMYFUNCTION("GOOGLETRANSLATE(C689, ""en"", ""fr"")"),"mosquée")</f>
        <v>mosquée</v>
      </c>
      <c r="G689" s="8" t="str">
        <f>IFERROR(__xludf.DUMMYFUNCTION("GOOGLETRANSLATE(C689, ""en"", ""de"")"),"Moschee")</f>
        <v>Moschee</v>
      </c>
      <c r="H689" s="8" t="str">
        <f>IFERROR(__xludf.DUMMYFUNCTION("GOOGLETRANSLATE(C689, ""en"", ""ru"")"),"мечеть")</f>
        <v>мечеть</v>
      </c>
      <c r="I689" s="8" t="str">
        <f>IFERROR(__xludf.DUMMYFUNCTION("GOOGLETRANSLATE(C689, ""en"", ""ar"")"),"مسجد")</f>
        <v>مسجد</v>
      </c>
      <c r="J689" s="8"/>
      <c r="K689" s="7" t="str">
        <f>IFERROR(__xludf.DUMMYFUNCTION("CONCAT(REGEXREPLACE(C689,""[ ,]+"",""_""),"".mp3"")"),"mosque.mp3")</f>
        <v>mosque.mp3</v>
      </c>
      <c r="M689" s="4" t="s">
        <v>10</v>
      </c>
    </row>
    <row r="690" ht="15.75" customHeight="1">
      <c r="A690" s="1">
        <v>2058.0</v>
      </c>
      <c r="B690" s="3">
        <v>145.0</v>
      </c>
      <c r="C690" s="7" t="s">
        <v>732</v>
      </c>
      <c r="D690" s="8" t="str">
        <f>IFERROR(__xludf.DUMMYFUNCTION("GOOGLETRANSLATE(C690, ""en"", ""pt"")"),"sinagoga")</f>
        <v>sinagoga</v>
      </c>
      <c r="E690" s="8" t="str">
        <f>IFERROR(__xludf.DUMMYFUNCTION("GOOGLETRANSLATE(C690, ""en"", ""es"")"),"sinagoga")</f>
        <v>sinagoga</v>
      </c>
      <c r="F690" s="8" t="str">
        <f>IFERROR(__xludf.DUMMYFUNCTION("GOOGLETRANSLATE(C690, ""en"", ""fr"")"),"synagogue")</f>
        <v>synagogue</v>
      </c>
      <c r="G690" s="8" t="str">
        <f>IFERROR(__xludf.DUMMYFUNCTION("GOOGLETRANSLATE(C690, ""en"", ""de"")"),"Synagoge")</f>
        <v>Synagoge</v>
      </c>
      <c r="H690" s="8" t="str">
        <f>IFERROR(__xludf.DUMMYFUNCTION("GOOGLETRANSLATE(C690, ""en"", ""ru"")"),"синагога")</f>
        <v>синагога</v>
      </c>
      <c r="I690" s="8" t="str">
        <f>IFERROR(__xludf.DUMMYFUNCTION("GOOGLETRANSLATE(C690, ""en"", ""ar"")"),"كنيس يهودي")</f>
        <v>كنيس يهودي</v>
      </c>
      <c r="J690" s="8"/>
      <c r="K690" s="7" t="str">
        <f>IFERROR(__xludf.DUMMYFUNCTION("CONCAT(REGEXREPLACE(C690,""[ ,]+"",""_""),"".mp3"")"),"synagogue.mp3")</f>
        <v>synagogue.mp3</v>
      </c>
      <c r="M690" s="4" t="s">
        <v>10</v>
      </c>
    </row>
    <row r="691" ht="15.75" customHeight="1">
      <c r="A691" s="1">
        <v>2059.0</v>
      </c>
      <c r="B691" s="3">
        <v>145.0</v>
      </c>
      <c r="C691" s="7" t="s">
        <v>733</v>
      </c>
      <c r="D691" s="8" t="str">
        <f>IFERROR(__xludf.DUMMYFUNCTION("GOOGLETRANSLATE(C691, ""en"", ""pt"")"),"templo")</f>
        <v>templo</v>
      </c>
      <c r="E691" s="8" t="str">
        <f>IFERROR(__xludf.DUMMYFUNCTION("GOOGLETRANSLATE(C691, ""en"", ""es"")"),"templo")</f>
        <v>templo</v>
      </c>
      <c r="F691" s="8" t="str">
        <f>IFERROR(__xludf.DUMMYFUNCTION("GOOGLETRANSLATE(C691, ""en"", ""fr"")"),"temple")</f>
        <v>temple</v>
      </c>
      <c r="G691" s="8" t="str">
        <f>IFERROR(__xludf.DUMMYFUNCTION("GOOGLETRANSLATE(C691, ""en"", ""de"")"),"Tempel")</f>
        <v>Tempel</v>
      </c>
      <c r="H691" s="8" t="str">
        <f>IFERROR(__xludf.DUMMYFUNCTION("GOOGLETRANSLATE(C691, ""en"", ""ru"")"),"храм")</f>
        <v>храм</v>
      </c>
      <c r="I691" s="8" t="str">
        <f>IFERROR(__xludf.DUMMYFUNCTION("GOOGLETRANSLATE(C691, ""en"", ""ar"")"),"معبد")</f>
        <v>معبد</v>
      </c>
      <c r="J691" s="8"/>
      <c r="K691" s="7" t="str">
        <f>IFERROR(__xludf.DUMMYFUNCTION("CONCAT(REGEXREPLACE(C691,""[ ,]+"",""_""),"".mp3"")"),"temple.mp3")</f>
        <v>temple.mp3</v>
      </c>
      <c r="M691" s="4" t="s">
        <v>10</v>
      </c>
    </row>
    <row r="692" ht="15.75" customHeight="1">
      <c r="A692" s="1">
        <v>2060.0</v>
      </c>
      <c r="B692" s="3">
        <v>145.0</v>
      </c>
      <c r="C692" s="7" t="s">
        <v>734</v>
      </c>
      <c r="D692" s="8" t="str">
        <f>IFERROR(__xludf.DUMMYFUNCTION("GOOGLETRANSLATE(C692, ""en"", ""pt"")"),"mosteiro")</f>
        <v>mosteiro</v>
      </c>
      <c r="E692" s="8" t="str">
        <f>IFERROR(__xludf.DUMMYFUNCTION("GOOGLETRANSLATE(C692, ""en"", ""es"")"),"monasterio")</f>
        <v>monasterio</v>
      </c>
      <c r="F692" s="8" t="str">
        <f>IFERROR(__xludf.DUMMYFUNCTION("GOOGLETRANSLATE(C692, ""en"", ""fr"")"),"monastère")</f>
        <v>monastère</v>
      </c>
      <c r="G692" s="8" t="str">
        <f>IFERROR(__xludf.DUMMYFUNCTION("GOOGLETRANSLATE(C692, ""en"", ""de"")"),"Kloster")</f>
        <v>Kloster</v>
      </c>
      <c r="H692" s="8" t="str">
        <f>IFERROR(__xludf.DUMMYFUNCTION("GOOGLETRANSLATE(C692, ""en"", ""ru"")"),"монастырь")</f>
        <v>монастырь</v>
      </c>
      <c r="I692" s="8" t="str">
        <f>IFERROR(__xludf.DUMMYFUNCTION("GOOGLETRANSLATE(C692, ""en"", ""ar"")"),"دير")</f>
        <v>دير</v>
      </c>
      <c r="J692" s="8"/>
      <c r="K692" s="7" t="str">
        <f>IFERROR(__xludf.DUMMYFUNCTION("CONCAT(REGEXREPLACE(C692,""[ ,]+"",""_""),"".mp3"")"),"monastery.mp3")</f>
        <v>monastery.mp3</v>
      </c>
      <c r="M692" s="4" t="s">
        <v>10</v>
      </c>
    </row>
    <row r="693" ht="15.75" customHeight="1">
      <c r="A693" s="1">
        <v>2061.0</v>
      </c>
      <c r="B693" s="3">
        <v>145.0</v>
      </c>
      <c r="C693" s="7" t="s">
        <v>735</v>
      </c>
      <c r="D693" s="8" t="str">
        <f>IFERROR(__xludf.DUMMYFUNCTION("GOOGLETRANSLATE(C693, ""en"", ""pt"")"),"convento")</f>
        <v>convento</v>
      </c>
      <c r="E693" s="8" t="str">
        <f>IFERROR(__xludf.DUMMYFUNCTION("GOOGLETRANSLATE(C693, ""en"", ""es"")"),"convento")</f>
        <v>convento</v>
      </c>
      <c r="F693" s="8" t="str">
        <f>IFERROR(__xludf.DUMMYFUNCTION("GOOGLETRANSLATE(C693, ""en"", ""fr"")"),"couvent")</f>
        <v>couvent</v>
      </c>
      <c r="G693" s="8" t="str">
        <f>IFERROR(__xludf.DUMMYFUNCTION("GOOGLETRANSLATE(C693, ""en"", ""de"")"),"Kloster")</f>
        <v>Kloster</v>
      </c>
      <c r="H693" s="8" t="str">
        <f>IFERROR(__xludf.DUMMYFUNCTION("GOOGLETRANSLATE(C693, ""en"", ""ru"")"),"монастырь")</f>
        <v>монастырь</v>
      </c>
      <c r="I693" s="8" t="str">
        <f>IFERROR(__xludf.DUMMYFUNCTION("GOOGLETRANSLATE(C693, ""en"", ""ar"")"),"دير")</f>
        <v>دير</v>
      </c>
      <c r="J693" s="8"/>
      <c r="K693" s="7" t="str">
        <f>IFERROR(__xludf.DUMMYFUNCTION("CONCAT(REGEXREPLACE(C693,""[ ,]+"",""_""),"".mp3"")"),"convent.mp3")</f>
        <v>convent.mp3</v>
      </c>
      <c r="M693" s="4" t="s">
        <v>10</v>
      </c>
    </row>
    <row r="694" ht="15.75" customHeight="1">
      <c r="A694" s="1">
        <v>2062.0</v>
      </c>
      <c r="B694" s="3">
        <v>145.0</v>
      </c>
      <c r="C694" s="7" t="s">
        <v>736</v>
      </c>
      <c r="D694" s="8" t="str">
        <f>IFERROR(__xludf.DUMMYFUNCTION("GOOGLETRANSLATE(C694, ""en"", ""pt"")"),"santuário")</f>
        <v>santuário</v>
      </c>
      <c r="E694" s="8" t="str">
        <f>IFERROR(__xludf.DUMMYFUNCTION("GOOGLETRANSLATE(C694, ""en"", ""es"")"),"santuario")</f>
        <v>santuario</v>
      </c>
      <c r="F694" s="8" t="str">
        <f>IFERROR(__xludf.DUMMYFUNCTION("GOOGLETRANSLATE(C694, ""en"", ""fr"")"),"tombeau")</f>
        <v>tombeau</v>
      </c>
      <c r="G694" s="8" t="str">
        <f>IFERROR(__xludf.DUMMYFUNCTION("GOOGLETRANSLATE(C694, ""en"", ""de"")"),"Schrein")</f>
        <v>Schrein</v>
      </c>
      <c r="H694" s="8" t="str">
        <f>IFERROR(__xludf.DUMMYFUNCTION("GOOGLETRANSLATE(C694, ""en"", ""ru"")"),"святилище")</f>
        <v>святилище</v>
      </c>
      <c r="I694" s="8" t="str">
        <f>IFERROR(__xludf.DUMMYFUNCTION("GOOGLETRANSLATE(C694, ""en"", ""ar"")"),"مزار")</f>
        <v>مزار</v>
      </c>
      <c r="J694" s="8"/>
      <c r="K694" s="7" t="str">
        <f>IFERROR(__xludf.DUMMYFUNCTION("CONCAT(REGEXREPLACE(C694,""[ ,]+"",""_""),"".mp3"")"),"shrine.mp3")</f>
        <v>shrine.mp3</v>
      </c>
      <c r="M694" s="4" t="s">
        <v>10</v>
      </c>
    </row>
    <row r="695" ht="15.75" customHeight="1">
      <c r="A695" s="1">
        <v>2063.0</v>
      </c>
      <c r="B695" s="3">
        <v>145.0</v>
      </c>
      <c r="C695" s="7" t="s">
        <v>737</v>
      </c>
      <c r="D695" s="8" t="str">
        <f>IFERROR(__xludf.DUMMYFUNCTION("GOOGLETRANSLATE(C695, ""en"", ""pt"")"),"pagode")</f>
        <v>pagode</v>
      </c>
      <c r="E695" s="8" t="str">
        <f>IFERROR(__xludf.DUMMYFUNCTION("GOOGLETRANSLATE(C695, ""en"", ""es"")"),"pagoda")</f>
        <v>pagoda</v>
      </c>
      <c r="F695" s="8" t="str">
        <f>IFERROR(__xludf.DUMMYFUNCTION("GOOGLETRANSLATE(C695, ""en"", ""fr"")"),"pagode")</f>
        <v>pagode</v>
      </c>
      <c r="G695" s="8" t="str">
        <f>IFERROR(__xludf.DUMMYFUNCTION("GOOGLETRANSLATE(C695, ""en"", ""de"")"),"Pagode")</f>
        <v>Pagode</v>
      </c>
      <c r="H695" s="8" t="str">
        <f>IFERROR(__xludf.DUMMYFUNCTION("GOOGLETRANSLATE(C695, ""en"", ""ru"")"),"пагода")</f>
        <v>пагода</v>
      </c>
      <c r="I695" s="8" t="str">
        <f>IFERROR(__xludf.DUMMYFUNCTION("GOOGLETRANSLATE(C695, ""en"", ""ar"")"),"معبد بوذي")</f>
        <v>معبد بوذي</v>
      </c>
      <c r="J695" s="8"/>
      <c r="K695" s="7" t="str">
        <f>IFERROR(__xludf.DUMMYFUNCTION("CONCAT(REGEXREPLACE(C695,""[ ,]+"",""_""),"".mp3"")"),"pagoda.mp3")</f>
        <v>pagoda.mp3</v>
      </c>
      <c r="M695" s="4" t="s">
        <v>10</v>
      </c>
    </row>
    <row r="696" ht="15.75" customHeight="1">
      <c r="A696" s="1">
        <v>2064.0</v>
      </c>
      <c r="B696" s="3">
        <v>145.0</v>
      </c>
      <c r="C696" s="7" t="s">
        <v>738</v>
      </c>
      <c r="D696" s="8" t="str">
        <f>IFERROR(__xludf.DUMMYFUNCTION("GOOGLETRANSLATE(C696, ""en"", ""pt"")"),"cemitério")</f>
        <v>cemitério</v>
      </c>
      <c r="E696" s="8" t="str">
        <f>IFERROR(__xludf.DUMMYFUNCTION("GOOGLETRANSLATE(C696, ""en"", ""es"")"),"cementerio")</f>
        <v>cementerio</v>
      </c>
      <c r="F696" s="8" t="str">
        <f>IFERROR(__xludf.DUMMYFUNCTION("GOOGLETRANSLATE(C696, ""en"", ""fr"")"),"cimetière")</f>
        <v>cimetière</v>
      </c>
      <c r="G696" s="8" t="str">
        <f>IFERROR(__xludf.DUMMYFUNCTION("GOOGLETRANSLATE(C696, ""en"", ""de"")"),"Friedhof")</f>
        <v>Friedhof</v>
      </c>
      <c r="H696" s="8" t="str">
        <f>IFERROR(__xludf.DUMMYFUNCTION("GOOGLETRANSLATE(C696, ""en"", ""ru"")"),"кладбище")</f>
        <v>кладбище</v>
      </c>
      <c r="I696" s="8" t="str">
        <f>IFERROR(__xludf.DUMMYFUNCTION("GOOGLETRANSLATE(C696, ""en"", ""ar"")"),"مقبرة")</f>
        <v>مقبرة</v>
      </c>
      <c r="J696" s="8"/>
      <c r="K696" s="7" t="str">
        <f>IFERROR(__xludf.DUMMYFUNCTION("CONCAT(REGEXREPLACE(C696,""[ ,]+"",""_""),"".mp3"")"),"cemetery.mp3")</f>
        <v>cemetery.mp3</v>
      </c>
      <c r="M696" s="4" t="s">
        <v>10</v>
      </c>
    </row>
    <row r="697" ht="15.75" customHeight="1">
      <c r="A697" s="1">
        <v>2065.0</v>
      </c>
      <c r="B697" s="3">
        <v>145.0</v>
      </c>
      <c r="C697" s="7" t="s">
        <v>739</v>
      </c>
      <c r="D697" s="8" t="str">
        <f>IFERROR(__xludf.DUMMYFUNCTION("GOOGLETRANSLATE(C697, ""en"", ""pt"")"),"cemitério")</f>
        <v>cemitério</v>
      </c>
      <c r="E697" s="8" t="str">
        <f>IFERROR(__xludf.DUMMYFUNCTION("GOOGLETRANSLATE(C697, ""en"", ""es"")"),"cementerio")</f>
        <v>cementerio</v>
      </c>
      <c r="F697" s="8" t="str">
        <f>IFERROR(__xludf.DUMMYFUNCTION("GOOGLETRANSLATE(C697, ""en"", ""fr"")"),"cimetière")</f>
        <v>cimetière</v>
      </c>
      <c r="G697" s="8" t="str">
        <f>IFERROR(__xludf.DUMMYFUNCTION("GOOGLETRANSLATE(C697, ""en"", ""de"")"),"Friedhof")</f>
        <v>Friedhof</v>
      </c>
      <c r="H697" s="8" t="str">
        <f>IFERROR(__xludf.DUMMYFUNCTION("GOOGLETRANSLATE(C697, ""en"", ""ru"")"),"кладбище")</f>
        <v>кладбище</v>
      </c>
      <c r="I697" s="8" t="str">
        <f>IFERROR(__xludf.DUMMYFUNCTION("GOOGLETRANSLATE(C697, ""en"", ""ar"")"),"مقبرة")</f>
        <v>مقبرة</v>
      </c>
      <c r="J697" s="8"/>
      <c r="K697" s="7" t="str">
        <f>IFERROR(__xludf.DUMMYFUNCTION("CONCAT(REGEXREPLACE(C697,""[ ,]+"",""_""),"".mp3"")"),"graveyard.mp3")</f>
        <v>graveyard.mp3</v>
      </c>
      <c r="M697" s="4" t="s">
        <v>10</v>
      </c>
    </row>
    <row r="698" ht="15.75" customHeight="1">
      <c r="A698" s="1">
        <v>2066.0</v>
      </c>
      <c r="B698" s="3">
        <v>145.0</v>
      </c>
      <c r="C698" s="7" t="s">
        <v>740</v>
      </c>
      <c r="D698" s="8" t="str">
        <f>IFERROR(__xludf.DUMMYFUNCTION("GOOGLETRANSLATE(C698, ""en"", ""pt"")"),"museu")</f>
        <v>museu</v>
      </c>
      <c r="E698" s="8" t="str">
        <f>IFERROR(__xludf.DUMMYFUNCTION("GOOGLETRANSLATE(C698, ""en"", ""es"")"),"museo")</f>
        <v>museo</v>
      </c>
      <c r="F698" s="8" t="str">
        <f>IFERROR(__xludf.DUMMYFUNCTION("GOOGLETRANSLATE(C698, ""en"", ""fr"")"),"musée")</f>
        <v>musée</v>
      </c>
      <c r="G698" s="8" t="str">
        <f>IFERROR(__xludf.DUMMYFUNCTION("GOOGLETRANSLATE(C698, ""en"", ""de"")"),"Museum")</f>
        <v>Museum</v>
      </c>
      <c r="H698" s="8" t="str">
        <f>IFERROR(__xludf.DUMMYFUNCTION("GOOGLETRANSLATE(C698, ""en"", ""ru"")"),"музей")</f>
        <v>музей</v>
      </c>
      <c r="I698" s="8" t="str">
        <f>IFERROR(__xludf.DUMMYFUNCTION("GOOGLETRANSLATE(C698, ""en"", ""ar"")"),"متحف")</f>
        <v>متحف</v>
      </c>
      <c r="J698" s="8"/>
      <c r="K698" s="7" t="str">
        <f>IFERROR(__xludf.DUMMYFUNCTION("CONCAT(REGEXREPLACE(C698,""[ ,]+"",""_""),"".mp3"")"),"museum.mp3")</f>
        <v>museum.mp3</v>
      </c>
      <c r="M698" s="4" t="s">
        <v>10</v>
      </c>
    </row>
    <row r="699" ht="15.75" customHeight="1">
      <c r="A699" s="1">
        <v>2067.0</v>
      </c>
      <c r="B699" s="3">
        <v>145.0</v>
      </c>
      <c r="C699" s="7" t="s">
        <v>741</v>
      </c>
      <c r="D699" s="8" t="str">
        <f>IFERROR(__xludf.DUMMYFUNCTION("GOOGLETRANSLATE(C699, ""en"", ""pt"")"),"galeria de arte")</f>
        <v>galeria de arte</v>
      </c>
      <c r="E699" s="8" t="str">
        <f>IFERROR(__xludf.DUMMYFUNCTION("GOOGLETRANSLATE(C699, ""en"", ""es"")"),"galería de arte")</f>
        <v>galería de arte</v>
      </c>
      <c r="F699" s="8" t="str">
        <f>IFERROR(__xludf.DUMMYFUNCTION("GOOGLETRANSLATE(C699, ""en"", ""fr"")"),"galerie d'art")</f>
        <v>galerie d'art</v>
      </c>
      <c r="G699" s="8" t="str">
        <f>IFERROR(__xludf.DUMMYFUNCTION("GOOGLETRANSLATE(C699, ""en"", ""de"")"),"Kunstgalerie")</f>
        <v>Kunstgalerie</v>
      </c>
      <c r="H699" s="8" t="str">
        <f>IFERROR(__xludf.DUMMYFUNCTION("GOOGLETRANSLATE(C699, ""en"", ""ru"")"),"художественная галерея")</f>
        <v>художественная галерея</v>
      </c>
      <c r="I699" s="8" t="str">
        <f>IFERROR(__xludf.DUMMYFUNCTION("GOOGLETRANSLATE(C699, ""en"", ""ar"")"),"معرض فني")</f>
        <v>معرض فني</v>
      </c>
      <c r="J699" s="8"/>
      <c r="K699" s="7" t="str">
        <f>IFERROR(__xludf.DUMMYFUNCTION("CONCAT(REGEXREPLACE(C699,""[ ,]+"",""_""),"".mp3"")"),"art_gallery.mp3")</f>
        <v>art_gallery.mp3</v>
      </c>
      <c r="M699" s="4" t="s">
        <v>10</v>
      </c>
    </row>
    <row r="700" ht="15.75" customHeight="1">
      <c r="A700" s="1">
        <v>2068.0</v>
      </c>
      <c r="B700" s="3">
        <v>145.0</v>
      </c>
      <c r="C700" s="7" t="s">
        <v>742</v>
      </c>
      <c r="D700" s="8" t="str">
        <f>IFERROR(__xludf.DUMMYFUNCTION("GOOGLETRANSLATE(C700, ""en"", ""pt"")"),"teatro")</f>
        <v>teatro</v>
      </c>
      <c r="E700" s="8" t="str">
        <f>IFERROR(__xludf.DUMMYFUNCTION("GOOGLETRANSLATE(C700, ""en"", ""es"")"),"teatro")</f>
        <v>teatro</v>
      </c>
      <c r="F700" s="8" t="str">
        <f>IFERROR(__xludf.DUMMYFUNCTION("GOOGLETRANSLATE(C700, ""en"", ""fr"")"),"théâtre")</f>
        <v>théâtre</v>
      </c>
      <c r="G700" s="8" t="str">
        <f>IFERROR(__xludf.DUMMYFUNCTION("GOOGLETRANSLATE(C700, ""en"", ""de"")"),"Theater")</f>
        <v>Theater</v>
      </c>
      <c r="H700" s="8" t="str">
        <f>IFERROR(__xludf.DUMMYFUNCTION("GOOGLETRANSLATE(C700, ""en"", ""ru"")"),"театр")</f>
        <v>театр</v>
      </c>
      <c r="I700" s="8" t="str">
        <f>IFERROR(__xludf.DUMMYFUNCTION("GOOGLETRANSLATE(C700, ""en"", ""ar"")"),"مسرح")</f>
        <v>مسرح</v>
      </c>
      <c r="J700" s="8"/>
      <c r="K700" s="7" t="str">
        <f>IFERROR(__xludf.DUMMYFUNCTION("CONCAT(REGEXREPLACE(C700,""[ ,]+"",""_""),"".mp3"")"),"theater.mp3")</f>
        <v>theater.mp3</v>
      </c>
      <c r="M700" s="4" t="s">
        <v>10</v>
      </c>
    </row>
    <row r="701" ht="15.75" customHeight="1">
      <c r="A701" s="1">
        <v>2069.0</v>
      </c>
      <c r="B701" s="3">
        <v>145.0</v>
      </c>
      <c r="C701" s="3" t="s">
        <v>743</v>
      </c>
      <c r="D701" s="8" t="str">
        <f>IFERROR(__xludf.DUMMYFUNCTION("GOOGLETRANSLATE(C701, ""en"", ""pt"")"),"cinema, sala de cinema")</f>
        <v>cinema, sala de cinema</v>
      </c>
      <c r="E701" s="8" t="str">
        <f>IFERROR(__xludf.DUMMYFUNCTION("GOOGLETRANSLATE(C701, ""en"", ""es"")"),"cine, sala de cine")</f>
        <v>cine, sala de cine</v>
      </c>
      <c r="F701" s="8" t="str">
        <f>IFERROR(__xludf.DUMMYFUNCTION("GOOGLETRANSLATE(C701, ""en"", ""fr"")"),"cinéma, salle de cinéma")</f>
        <v>cinéma, salle de cinéma</v>
      </c>
      <c r="G701" s="8" t="str">
        <f>IFERROR(__xludf.DUMMYFUNCTION("GOOGLETRANSLATE(C701, ""en"", ""de"")"),"Kino, Kino")</f>
        <v>Kino, Kino</v>
      </c>
      <c r="H701" s="8" t="str">
        <f>IFERROR(__xludf.DUMMYFUNCTION("GOOGLETRANSLATE(C701, ""en"", ""ru"")"),"кинотеатр")</f>
        <v>кинотеатр</v>
      </c>
      <c r="I701" s="8" t="str">
        <f>IFERROR(__xludf.DUMMYFUNCTION("GOOGLETRANSLATE(C701, ""en"", ""ar"")"),"سينما، دار عرض سينمائي")</f>
        <v>سينما، دار عرض سينمائي</v>
      </c>
      <c r="J701" s="8"/>
      <c r="K701" s="7" t="str">
        <f>IFERROR(__xludf.DUMMYFUNCTION("CONCAT(REGEXREPLACE(C701,""[ ,]+"",""_""),"".mp3"")"),"cinema_movie_theater.mp3")</f>
        <v>cinema_movie_theater.mp3</v>
      </c>
      <c r="M701" s="4" t="s">
        <v>10</v>
      </c>
    </row>
    <row r="702" ht="15.75" customHeight="1">
      <c r="A702" s="1">
        <v>2070.0</v>
      </c>
      <c r="B702" s="3">
        <v>145.0</v>
      </c>
      <c r="C702" s="7" t="s">
        <v>744</v>
      </c>
      <c r="D702" s="8" t="str">
        <f>IFERROR(__xludf.DUMMYFUNCTION("GOOGLETRANSLATE(C702, ""en"", ""pt"")"),"ópera")</f>
        <v>ópera</v>
      </c>
      <c r="E702" s="8" t="str">
        <f>IFERROR(__xludf.DUMMYFUNCTION("GOOGLETRANSLATE(C702, ""en"", ""es"")"),"teatro de la ópera")</f>
        <v>teatro de la ópera</v>
      </c>
      <c r="F702" s="8" t="str">
        <f>IFERROR(__xludf.DUMMYFUNCTION("GOOGLETRANSLATE(C702, ""en"", ""fr"")"),"opéra")</f>
        <v>opéra</v>
      </c>
      <c r="G702" s="8" t="str">
        <f>IFERROR(__xludf.DUMMYFUNCTION("GOOGLETRANSLATE(C702, ""en"", ""de"")"),"Opernhaus")</f>
        <v>Opernhaus</v>
      </c>
      <c r="H702" s="8" t="str">
        <f>IFERROR(__xludf.DUMMYFUNCTION("GOOGLETRANSLATE(C702, ""en"", ""ru"")"),"оперный театр")</f>
        <v>оперный театр</v>
      </c>
      <c r="I702" s="8" t="str">
        <f>IFERROR(__xludf.DUMMYFUNCTION("GOOGLETRANSLATE(C702, ""en"", ""ar"")"),"دار الأوبرا")</f>
        <v>دار الأوبرا</v>
      </c>
      <c r="J702" s="8"/>
      <c r="K702" s="7" t="str">
        <f>IFERROR(__xludf.DUMMYFUNCTION("CONCAT(REGEXREPLACE(C702,""[ ,]+"",""_""),"".mp3"")"),"opera_house.mp3")</f>
        <v>opera_house.mp3</v>
      </c>
      <c r="M702" s="4" t="s">
        <v>10</v>
      </c>
    </row>
    <row r="703" ht="15.75" customHeight="1">
      <c r="A703" s="1">
        <v>2071.0</v>
      </c>
      <c r="B703" s="3">
        <v>145.0</v>
      </c>
      <c r="C703" s="7" t="s">
        <v>745</v>
      </c>
      <c r="D703" s="8" t="str">
        <f>IFERROR(__xludf.DUMMYFUNCTION("GOOGLETRANSLATE(C703, ""en"", ""pt"")"),"sala de concertos")</f>
        <v>sala de concertos</v>
      </c>
      <c r="E703" s="8" t="str">
        <f>IFERROR(__xludf.DUMMYFUNCTION("GOOGLETRANSLATE(C703, ""en"", ""es"")"),"sala de conciertos")</f>
        <v>sala de conciertos</v>
      </c>
      <c r="F703" s="8" t="str">
        <f>IFERROR(__xludf.DUMMYFUNCTION("GOOGLETRANSLATE(C703, ""en"", ""fr"")"),"salle de concert")</f>
        <v>salle de concert</v>
      </c>
      <c r="G703" s="8" t="str">
        <f>IFERROR(__xludf.DUMMYFUNCTION("GOOGLETRANSLATE(C703, ""en"", ""de"")"),"Konzerthalle")</f>
        <v>Konzerthalle</v>
      </c>
      <c r="H703" s="8" t="str">
        <f>IFERROR(__xludf.DUMMYFUNCTION("GOOGLETRANSLATE(C703, ""en"", ""ru"")"),"концертный зал")</f>
        <v>концертный зал</v>
      </c>
      <c r="I703" s="8" t="str">
        <f>IFERROR(__xludf.DUMMYFUNCTION("GOOGLETRANSLATE(C703, ""en"", ""ar"")"),"قاعة الحفلات الموسيقية")</f>
        <v>قاعة الحفلات الموسيقية</v>
      </c>
      <c r="J703" s="8"/>
      <c r="K703" s="7" t="str">
        <f>IFERROR(__xludf.DUMMYFUNCTION("CONCAT(REGEXREPLACE(C703,""[ ,]+"",""_""),"".mp3"")"),"concert_hall.mp3")</f>
        <v>concert_hall.mp3</v>
      </c>
      <c r="M703" s="4" t="s">
        <v>10</v>
      </c>
    </row>
    <row r="704" ht="15.75" customHeight="1">
      <c r="A704" s="1">
        <v>2072.0</v>
      </c>
      <c r="B704" s="3">
        <v>145.0</v>
      </c>
      <c r="C704" s="7" t="s">
        <v>746</v>
      </c>
      <c r="D704" s="8" t="str">
        <f>IFERROR(__xludf.DUMMYFUNCTION("GOOGLETRANSLATE(C704, ""en"", ""pt"")"),"centro cultural")</f>
        <v>centro cultural</v>
      </c>
      <c r="E704" s="8" t="str">
        <f>IFERROR(__xludf.DUMMYFUNCTION("GOOGLETRANSLATE(C704, ""en"", ""es"")"),"centro cultural")</f>
        <v>centro cultural</v>
      </c>
      <c r="F704" s="8" t="str">
        <f>IFERROR(__xludf.DUMMYFUNCTION("GOOGLETRANSLATE(C704, ""en"", ""fr"")"),"centre culturel")</f>
        <v>centre culturel</v>
      </c>
      <c r="G704" s="8" t="str">
        <f>IFERROR(__xludf.DUMMYFUNCTION("GOOGLETRANSLATE(C704, ""en"", ""de"")"),"Kulturzentrum")</f>
        <v>Kulturzentrum</v>
      </c>
      <c r="H704" s="8" t="str">
        <f>IFERROR(__xludf.DUMMYFUNCTION("GOOGLETRANSLATE(C704, ""en"", ""ru"")"),"культурный центр")</f>
        <v>культурный центр</v>
      </c>
      <c r="I704" s="8" t="str">
        <f>IFERROR(__xludf.DUMMYFUNCTION("GOOGLETRANSLATE(C704, ""en"", ""ar"")"),"المركز الثقافي")</f>
        <v>المركز الثقافي</v>
      </c>
      <c r="J704" s="8"/>
      <c r="K704" s="7" t="str">
        <f>IFERROR(__xludf.DUMMYFUNCTION("CONCAT(REGEXREPLACE(C704,""[ ,]+"",""_""),"".mp3"")"),"cultural_center.mp3")</f>
        <v>cultural_center.mp3</v>
      </c>
      <c r="M704" s="4" t="s">
        <v>10</v>
      </c>
    </row>
    <row r="705" ht="15.75" customHeight="1">
      <c r="A705" s="1">
        <v>2073.0</v>
      </c>
      <c r="B705" s="3">
        <v>145.0</v>
      </c>
      <c r="C705" s="7" t="s">
        <v>747</v>
      </c>
      <c r="D705" s="8" t="str">
        <f>IFERROR(__xludf.DUMMYFUNCTION("GOOGLETRANSLATE(C705, ""en"", ""pt"")"),"sala de exposições")</f>
        <v>sala de exposições</v>
      </c>
      <c r="E705" s="8" t="str">
        <f>IFERROR(__xludf.DUMMYFUNCTION("GOOGLETRANSLATE(C705, ""en"", ""es"")"),"sala de exposiciones")</f>
        <v>sala de exposiciones</v>
      </c>
      <c r="F705" s="8" t="str">
        <f>IFERROR(__xludf.DUMMYFUNCTION("GOOGLETRANSLATE(C705, ""en"", ""fr"")"),"hall d'exposition")</f>
        <v>hall d'exposition</v>
      </c>
      <c r="G705" s="8" t="str">
        <f>IFERROR(__xludf.DUMMYFUNCTION("GOOGLETRANSLATE(C705, ""en"", ""de"")"),"Ausstellungshalle")</f>
        <v>Ausstellungshalle</v>
      </c>
      <c r="H705" s="8" t="str">
        <f>IFERROR(__xludf.DUMMYFUNCTION("GOOGLETRANSLATE(C705, ""en"", ""ru"")"),"выставочный зал")</f>
        <v>выставочный зал</v>
      </c>
      <c r="I705" s="8" t="str">
        <f>IFERROR(__xludf.DUMMYFUNCTION("GOOGLETRANSLATE(C705, ""en"", ""ar"")"),"قاعة المعارض")</f>
        <v>قاعة المعارض</v>
      </c>
      <c r="J705" s="8"/>
      <c r="K705" s="7" t="str">
        <f>IFERROR(__xludf.DUMMYFUNCTION("CONCAT(REGEXREPLACE(C705,""[ ,]+"",""_""),"".mp3"")"),"exhibition_hall.mp3")</f>
        <v>exhibition_hall.mp3</v>
      </c>
      <c r="M705" s="4" t="s">
        <v>10</v>
      </c>
    </row>
    <row r="706" ht="15.75" customHeight="1">
      <c r="A706" s="1">
        <v>2074.0</v>
      </c>
      <c r="B706" s="3">
        <v>145.0</v>
      </c>
      <c r="C706" s="7" t="s">
        <v>662</v>
      </c>
      <c r="D706" s="8" t="str">
        <f>IFERROR(__xludf.DUMMYFUNCTION("GOOGLETRANSLATE(C706, ""en"", ""pt"")"),"biblioteca")</f>
        <v>biblioteca</v>
      </c>
      <c r="E706" s="8" t="str">
        <f>IFERROR(__xludf.DUMMYFUNCTION("GOOGLETRANSLATE(C706, ""en"", ""es"")"),"biblioteca")</f>
        <v>biblioteca</v>
      </c>
      <c r="F706" s="8" t="str">
        <f>IFERROR(__xludf.DUMMYFUNCTION("GOOGLETRANSLATE(C706, ""en"", ""fr"")"),"bibliothèque")</f>
        <v>bibliothèque</v>
      </c>
      <c r="G706" s="8" t="str">
        <f>IFERROR(__xludf.DUMMYFUNCTION("GOOGLETRANSLATE(C706, ""en"", ""de"")"),"Bibliothek")</f>
        <v>Bibliothek</v>
      </c>
      <c r="H706" s="8" t="str">
        <f>IFERROR(__xludf.DUMMYFUNCTION("GOOGLETRANSLATE(C706, ""en"", ""ru"")"),"библиотека")</f>
        <v>библиотека</v>
      </c>
      <c r="I706" s="8" t="str">
        <f>IFERROR(__xludf.DUMMYFUNCTION("GOOGLETRANSLATE(C706, ""en"", ""ar"")"),"مكتبة")</f>
        <v>مكتبة</v>
      </c>
      <c r="J706" s="8"/>
      <c r="K706" s="7" t="str">
        <f>IFERROR(__xludf.DUMMYFUNCTION("CONCAT(REGEXREPLACE(C706,""[ ,]+"",""_""),"".mp3"")"),"library.mp3")</f>
        <v>library.mp3</v>
      </c>
      <c r="M706" s="4" t="s">
        <v>10</v>
      </c>
    </row>
    <row r="707" ht="15.75" customHeight="1">
      <c r="A707" s="1">
        <v>2075.0</v>
      </c>
      <c r="B707" s="3">
        <v>145.0</v>
      </c>
      <c r="C707" s="7" t="s">
        <v>748</v>
      </c>
      <c r="D707" s="8" t="str">
        <f>IFERROR(__xludf.DUMMYFUNCTION("GOOGLETRANSLATE(C707, ""en"", ""pt"")"),"jardim zoológico")</f>
        <v>jardim zoológico</v>
      </c>
      <c r="E707" s="8" t="str">
        <f>IFERROR(__xludf.DUMMYFUNCTION("GOOGLETRANSLATE(C707, ""en"", ""es"")"),"zoo")</f>
        <v>zoo</v>
      </c>
      <c r="F707" s="8" t="str">
        <f>IFERROR(__xludf.DUMMYFUNCTION("GOOGLETRANSLATE(C707, ""en"", ""fr"")"),"zoo")</f>
        <v>zoo</v>
      </c>
      <c r="G707" s="8" t="str">
        <f>IFERROR(__xludf.DUMMYFUNCTION("GOOGLETRANSLATE(C707, ""en"", ""de"")"),"Zoo")</f>
        <v>Zoo</v>
      </c>
      <c r="H707" s="8" t="str">
        <f>IFERROR(__xludf.DUMMYFUNCTION("GOOGLETRANSLATE(C707, ""en"", ""ru"")"),"зоопарк")</f>
        <v>зоопарк</v>
      </c>
      <c r="I707" s="8" t="str">
        <f>IFERROR(__xludf.DUMMYFUNCTION("GOOGLETRANSLATE(C707, ""en"", ""ar"")"),"حديقة حيوان")</f>
        <v>حديقة حيوان</v>
      </c>
      <c r="J707" s="8"/>
      <c r="K707" s="7" t="str">
        <f>IFERROR(__xludf.DUMMYFUNCTION("CONCAT(REGEXREPLACE(C707,""[ ,]+"",""_""),"".mp3"")"),"zoo.mp3")</f>
        <v>zoo.mp3</v>
      </c>
      <c r="M707" s="4" t="s">
        <v>10</v>
      </c>
    </row>
    <row r="708" ht="15.75" customHeight="1">
      <c r="A708" s="1">
        <v>2076.0</v>
      </c>
      <c r="B708" s="3">
        <v>145.0</v>
      </c>
      <c r="C708" s="7" t="s">
        <v>749</v>
      </c>
      <c r="D708" s="8" t="str">
        <f>IFERROR(__xludf.DUMMYFUNCTION("GOOGLETRANSLATE(C708, ""en"", ""pt"")"),"aquário")</f>
        <v>aquário</v>
      </c>
      <c r="E708" s="8" t="str">
        <f>IFERROR(__xludf.DUMMYFUNCTION("GOOGLETRANSLATE(C708, ""en"", ""es"")"),"acuario")</f>
        <v>acuario</v>
      </c>
      <c r="F708" s="8" t="str">
        <f>IFERROR(__xludf.DUMMYFUNCTION("GOOGLETRANSLATE(C708, ""en"", ""fr"")"),"aquarium")</f>
        <v>aquarium</v>
      </c>
      <c r="G708" s="8" t="str">
        <f>IFERROR(__xludf.DUMMYFUNCTION("GOOGLETRANSLATE(C708, ""en"", ""de"")"),"Aquarium")</f>
        <v>Aquarium</v>
      </c>
      <c r="H708" s="8" t="str">
        <f>IFERROR(__xludf.DUMMYFUNCTION("GOOGLETRANSLATE(C708, ""en"", ""ru"")"),"аквариум")</f>
        <v>аквариум</v>
      </c>
      <c r="I708" s="8" t="str">
        <f>IFERROR(__xludf.DUMMYFUNCTION("GOOGLETRANSLATE(C708, ""en"", ""ar"")"),"حوض السمك")</f>
        <v>حوض السمك</v>
      </c>
      <c r="J708" s="8"/>
      <c r="K708" s="7" t="str">
        <f>IFERROR(__xludf.DUMMYFUNCTION("CONCAT(REGEXREPLACE(C708,""[ ,]+"",""_""),"".mp3"")"),"aquarium.mp3")</f>
        <v>aquarium.mp3</v>
      </c>
      <c r="M708" s="4" t="s">
        <v>10</v>
      </c>
    </row>
    <row r="709" ht="15.75" customHeight="1">
      <c r="A709" s="1">
        <v>2077.0</v>
      </c>
      <c r="B709" s="3">
        <v>145.0</v>
      </c>
      <c r="C709" s="7" t="s">
        <v>750</v>
      </c>
      <c r="D709" s="8" t="str">
        <f>IFERROR(__xludf.DUMMYFUNCTION("GOOGLETRANSLATE(C709, ""en"", ""pt"")"),"parque de diversões")</f>
        <v>parque de diversões</v>
      </c>
      <c r="E709" s="8" t="str">
        <f>IFERROR(__xludf.DUMMYFUNCTION("GOOGLETRANSLATE(C709, ""en"", ""es"")"),"parque de atracciones")</f>
        <v>parque de atracciones</v>
      </c>
      <c r="F709" s="8" t="str">
        <f>IFERROR(__xludf.DUMMYFUNCTION("GOOGLETRANSLATE(C709, ""en"", ""fr"")"),"parc d'attractions")</f>
        <v>parc d'attractions</v>
      </c>
      <c r="G709" s="8" t="str">
        <f>IFERROR(__xludf.DUMMYFUNCTION("GOOGLETRANSLATE(C709, ""en"", ""de"")"),"Vergnügungspark")</f>
        <v>Vergnügungspark</v>
      </c>
      <c r="H709" s="8" t="str">
        <f>IFERROR(__xludf.DUMMYFUNCTION("GOOGLETRANSLATE(C709, ""en"", ""ru"")"),"парк с аттракционами")</f>
        <v>парк с аттракционами</v>
      </c>
      <c r="I709" s="8" t="str">
        <f>IFERROR(__xludf.DUMMYFUNCTION("GOOGLETRANSLATE(C709, ""en"", ""ar"")"),"حديقة الملاهي")</f>
        <v>حديقة الملاهي</v>
      </c>
      <c r="J709" s="8"/>
      <c r="K709" s="7" t="str">
        <f>IFERROR(__xludf.DUMMYFUNCTION("CONCAT(REGEXREPLACE(C709,""[ ,]+"",""_""),"".mp3"")"),"amusement_park.mp3")</f>
        <v>amusement_park.mp3</v>
      </c>
      <c r="M709" s="4" t="s">
        <v>10</v>
      </c>
    </row>
    <row r="710" ht="15.75" customHeight="1">
      <c r="A710" s="1">
        <v>2078.0</v>
      </c>
      <c r="B710" s="3">
        <v>145.0</v>
      </c>
      <c r="C710" s="7" t="s">
        <v>751</v>
      </c>
      <c r="D710" s="8" t="str">
        <f>IFERROR(__xludf.DUMMYFUNCTION("GOOGLETRANSLATE(C710, ""en"", ""pt"")"),"parque temático")</f>
        <v>parque temático</v>
      </c>
      <c r="E710" s="8" t="str">
        <f>IFERROR(__xludf.DUMMYFUNCTION("GOOGLETRANSLATE(C710, ""en"", ""es"")"),"parque temático")</f>
        <v>parque temático</v>
      </c>
      <c r="F710" s="8" t="str">
        <f>IFERROR(__xludf.DUMMYFUNCTION("GOOGLETRANSLATE(C710, ""en"", ""fr"")"),"parc d'attractions")</f>
        <v>parc d'attractions</v>
      </c>
      <c r="G710" s="8" t="str">
        <f>IFERROR(__xludf.DUMMYFUNCTION("GOOGLETRANSLATE(C710, ""en"", ""de"")"),"Themenpark")</f>
        <v>Themenpark</v>
      </c>
      <c r="H710" s="8" t="str">
        <f>IFERROR(__xludf.DUMMYFUNCTION("GOOGLETRANSLATE(C710, ""en"", ""ru"")"),"тематический парк")</f>
        <v>тематический парк</v>
      </c>
      <c r="I710" s="8" t="str">
        <f>IFERROR(__xludf.DUMMYFUNCTION("GOOGLETRANSLATE(C710, ""en"", ""ar"")"),"مدينة ملاهي")</f>
        <v>مدينة ملاهي</v>
      </c>
      <c r="J710" s="8"/>
      <c r="K710" s="7" t="str">
        <f>IFERROR(__xludf.DUMMYFUNCTION("CONCAT(REGEXREPLACE(C710,""[ ,]+"",""_""),"".mp3"")"),"theme_park.mp3")</f>
        <v>theme_park.mp3</v>
      </c>
      <c r="M710" s="4" t="s">
        <v>10</v>
      </c>
    </row>
    <row r="711" ht="15.75" customHeight="1">
      <c r="A711" s="1">
        <v>2079.0</v>
      </c>
      <c r="B711" s="3">
        <v>145.0</v>
      </c>
      <c r="C711" s="7" t="s">
        <v>752</v>
      </c>
      <c r="D711" s="8" t="str">
        <f>IFERROR(__xludf.DUMMYFUNCTION("GOOGLETRANSLATE(C711, ""en"", ""pt"")"),"estádio")</f>
        <v>estádio</v>
      </c>
      <c r="E711" s="8" t="str">
        <f>IFERROR(__xludf.DUMMYFUNCTION("GOOGLETRANSLATE(C711, ""en"", ""es"")"),"estadio")</f>
        <v>estadio</v>
      </c>
      <c r="F711" s="8" t="str">
        <f>IFERROR(__xludf.DUMMYFUNCTION("GOOGLETRANSLATE(C711, ""en"", ""fr"")"),"stade")</f>
        <v>stade</v>
      </c>
      <c r="G711" s="8" t="str">
        <f>IFERROR(__xludf.DUMMYFUNCTION("GOOGLETRANSLATE(C711, ""en"", ""de"")"),"Stadion")</f>
        <v>Stadion</v>
      </c>
      <c r="H711" s="8" t="str">
        <f>IFERROR(__xludf.DUMMYFUNCTION("GOOGLETRANSLATE(C711, ""en"", ""ru"")"),"стадион")</f>
        <v>стадион</v>
      </c>
      <c r="I711" s="8" t="str">
        <f>IFERROR(__xludf.DUMMYFUNCTION("GOOGLETRANSLATE(C711, ""en"", ""ar"")"),"الملعب")</f>
        <v>الملعب</v>
      </c>
      <c r="J711" s="8"/>
      <c r="K711" s="7" t="str">
        <f>IFERROR(__xludf.DUMMYFUNCTION("CONCAT(REGEXREPLACE(C711,""[ ,]+"",""_""),"".mp3"")"),"stadium.mp3")</f>
        <v>stadium.mp3</v>
      </c>
      <c r="M711" s="4" t="s">
        <v>10</v>
      </c>
    </row>
    <row r="712" ht="15.75" customHeight="1">
      <c r="A712" s="1">
        <v>2080.0</v>
      </c>
      <c r="B712" s="3">
        <v>145.0</v>
      </c>
      <c r="C712" s="7" t="s">
        <v>753</v>
      </c>
      <c r="D712" s="8" t="str">
        <f>IFERROR(__xludf.DUMMYFUNCTION("GOOGLETRANSLATE(C712, ""en"", ""pt"")"),"arena")</f>
        <v>arena</v>
      </c>
      <c r="E712" s="8" t="str">
        <f>IFERROR(__xludf.DUMMYFUNCTION("GOOGLETRANSLATE(C712, ""en"", ""es"")"),"arena")</f>
        <v>arena</v>
      </c>
      <c r="F712" s="8" t="str">
        <f>IFERROR(__xludf.DUMMYFUNCTION("GOOGLETRANSLATE(C712, ""en"", ""fr"")"),"arène")</f>
        <v>arène</v>
      </c>
      <c r="G712" s="8" t="str">
        <f>IFERROR(__xludf.DUMMYFUNCTION("GOOGLETRANSLATE(C712, ""en"", ""de"")"),"Arena")</f>
        <v>Arena</v>
      </c>
      <c r="H712" s="8" t="str">
        <f>IFERROR(__xludf.DUMMYFUNCTION("GOOGLETRANSLATE(C712, ""en"", ""ru"")"),"арена")</f>
        <v>арена</v>
      </c>
      <c r="I712" s="8" t="str">
        <f>IFERROR(__xludf.DUMMYFUNCTION("GOOGLETRANSLATE(C712, ""en"", ""ar"")"),"الساحة")</f>
        <v>الساحة</v>
      </c>
      <c r="J712" s="8"/>
      <c r="K712" s="7" t="str">
        <f>IFERROR(__xludf.DUMMYFUNCTION("CONCAT(REGEXREPLACE(C712,""[ ,]+"",""_""),"".mp3"")"),"arena.mp3")</f>
        <v>arena.mp3</v>
      </c>
      <c r="M712" s="4" t="s">
        <v>10</v>
      </c>
    </row>
    <row r="713" ht="15.75" customHeight="1">
      <c r="A713" s="1">
        <v>2081.0</v>
      </c>
      <c r="B713" s="3">
        <v>145.0</v>
      </c>
      <c r="C713" s="7" t="s">
        <v>754</v>
      </c>
      <c r="D713" s="8" t="str">
        <f>IFERROR(__xludf.DUMMYFUNCTION("GOOGLETRANSLATE(C713, ""en"", ""pt"")"),"centro esportivo")</f>
        <v>centro esportivo</v>
      </c>
      <c r="E713" s="8" t="str">
        <f>IFERROR(__xludf.DUMMYFUNCTION("GOOGLETRANSLATE(C713, ""en"", ""es"")"),"polideportivo")</f>
        <v>polideportivo</v>
      </c>
      <c r="F713" s="8" t="str">
        <f>IFERROR(__xludf.DUMMYFUNCTION("GOOGLETRANSLATE(C713, ""en"", ""fr"")"),"centre sportif")</f>
        <v>centre sportif</v>
      </c>
      <c r="G713" s="8" t="str">
        <f>IFERROR(__xludf.DUMMYFUNCTION("GOOGLETRANSLATE(C713, ""en"", ""de"")"),"Sportzentrum")</f>
        <v>Sportzentrum</v>
      </c>
      <c r="H713" s="8" t="str">
        <f>IFERROR(__xludf.DUMMYFUNCTION("GOOGLETRANSLATE(C713, ""en"", ""ru"")"),"спортивный центр")</f>
        <v>спортивный центр</v>
      </c>
      <c r="I713" s="8" t="str">
        <f>IFERROR(__xludf.DUMMYFUNCTION("GOOGLETRANSLATE(C713, ""en"", ""ar"")"),"المركز الرياضي")</f>
        <v>المركز الرياضي</v>
      </c>
      <c r="J713" s="8"/>
      <c r="K713" s="7" t="str">
        <f>IFERROR(__xludf.DUMMYFUNCTION("CONCAT(REGEXREPLACE(C713,""[ ,]+"",""_""),"".mp3"")"),"sports_center.mp3")</f>
        <v>sports_center.mp3</v>
      </c>
      <c r="M713" s="4" t="s">
        <v>10</v>
      </c>
    </row>
    <row r="714" ht="15.75" customHeight="1">
      <c r="A714" s="1">
        <v>2082.0</v>
      </c>
      <c r="B714" s="3">
        <v>145.0</v>
      </c>
      <c r="C714" s="7" t="s">
        <v>755</v>
      </c>
      <c r="D714" s="8" t="str">
        <f>IFERROR(__xludf.DUMMYFUNCTION("GOOGLETRANSLATE(C714, ""en"", ""pt"")"),"academia")</f>
        <v>academia</v>
      </c>
      <c r="E714" s="8" t="str">
        <f>IFERROR(__xludf.DUMMYFUNCTION("GOOGLETRANSLATE(C714, ""en"", ""es"")"),"gimnasia")</f>
        <v>gimnasia</v>
      </c>
      <c r="F714" s="8" t="str">
        <f>IFERROR(__xludf.DUMMYFUNCTION("GOOGLETRANSLATE(C714, ""en"", ""fr"")"),"salle de sport")</f>
        <v>salle de sport</v>
      </c>
      <c r="G714" s="8" t="str">
        <f>IFERROR(__xludf.DUMMYFUNCTION("GOOGLETRANSLATE(C714, ""en"", ""de"")"),"Fitnessstudio")</f>
        <v>Fitnessstudio</v>
      </c>
      <c r="H714" s="8" t="str">
        <f>IFERROR(__xludf.DUMMYFUNCTION("GOOGLETRANSLATE(C714, ""en"", ""ru"")"),"спортзал")</f>
        <v>спортзал</v>
      </c>
      <c r="I714" s="8" t="str">
        <f>IFERROR(__xludf.DUMMYFUNCTION("GOOGLETRANSLATE(C714, ""en"", ""ar"")"),"نادي رياضي")</f>
        <v>نادي رياضي</v>
      </c>
      <c r="J714" s="8"/>
      <c r="K714" s="7" t="str">
        <f>IFERROR(__xludf.DUMMYFUNCTION("CONCAT(REGEXREPLACE(C714,""[ ,]+"",""_""),"".mp3"")"),"gym.mp3")</f>
        <v>gym.mp3</v>
      </c>
      <c r="M714" s="4" t="s">
        <v>10</v>
      </c>
    </row>
    <row r="715" ht="15.75" customHeight="1">
      <c r="A715" s="1">
        <v>2083.0</v>
      </c>
      <c r="B715" s="3">
        <v>145.0</v>
      </c>
      <c r="C715" s="7" t="s">
        <v>756</v>
      </c>
      <c r="D715" s="8" t="str">
        <f>IFERROR(__xludf.DUMMYFUNCTION("GOOGLETRANSLATE(C715, ""en"", ""pt"")"),"centro de fitness")</f>
        <v>centro de fitness</v>
      </c>
      <c r="E715" s="8" t="str">
        <f>IFERROR(__xludf.DUMMYFUNCTION("GOOGLETRANSLATE(C715, ""en"", ""es"")"),"gimnasio")</f>
        <v>gimnasio</v>
      </c>
      <c r="F715" s="8" t="str">
        <f>IFERROR(__xludf.DUMMYFUNCTION("GOOGLETRANSLATE(C715, ""en"", ""fr"")"),"centre de remise en forme")</f>
        <v>centre de remise en forme</v>
      </c>
      <c r="G715" s="8" t="str">
        <f>IFERROR(__xludf.DUMMYFUNCTION("GOOGLETRANSLATE(C715, ""en"", ""de"")"),"Fitnesscenter")</f>
        <v>Fitnesscenter</v>
      </c>
      <c r="H715" s="8" t="str">
        <f>IFERROR(__xludf.DUMMYFUNCTION("GOOGLETRANSLATE(C715, ""en"", ""ru"")"),"фитнес-центр")</f>
        <v>фитнес-центр</v>
      </c>
      <c r="I715" s="8" t="str">
        <f>IFERROR(__xludf.DUMMYFUNCTION("GOOGLETRANSLATE(C715, ""en"", ""ar"")"),"مركز لياقة بدنية")</f>
        <v>مركز لياقة بدنية</v>
      </c>
      <c r="J715" s="8"/>
      <c r="K715" s="7" t="str">
        <f>IFERROR(__xludf.DUMMYFUNCTION("CONCAT(REGEXREPLACE(C715,""[ ,]+"",""_""),"".mp3"")"),"fitness_center.mp3")</f>
        <v>fitness_center.mp3</v>
      </c>
      <c r="M715" s="4" t="s">
        <v>10</v>
      </c>
    </row>
    <row r="716" ht="15.75" customHeight="1">
      <c r="A716" s="1">
        <v>2084.0</v>
      </c>
      <c r="B716" s="3">
        <v>145.0</v>
      </c>
      <c r="C716" s="7" t="s">
        <v>757</v>
      </c>
      <c r="D716" s="8" t="str">
        <f>IFERROR(__xludf.DUMMYFUNCTION("GOOGLETRANSLATE(C716, ""en"", ""pt"")"),"piscina")</f>
        <v>piscina</v>
      </c>
      <c r="E716" s="8" t="str">
        <f>IFERROR(__xludf.DUMMYFUNCTION("GOOGLETRANSLATE(C716, ""en"", ""es"")"),"piscina")</f>
        <v>piscina</v>
      </c>
      <c r="F716" s="8" t="str">
        <f>IFERROR(__xludf.DUMMYFUNCTION("GOOGLETRANSLATE(C716, ""en"", ""fr"")"),"piscine")</f>
        <v>piscine</v>
      </c>
      <c r="G716" s="8" t="str">
        <f>IFERROR(__xludf.DUMMYFUNCTION("GOOGLETRANSLATE(C716, ""en"", ""de"")"),"Schwimmbad")</f>
        <v>Schwimmbad</v>
      </c>
      <c r="H716" s="8" t="str">
        <f>IFERROR(__xludf.DUMMYFUNCTION("GOOGLETRANSLATE(C716, ""en"", ""ru"")"),"бассейн")</f>
        <v>бассейн</v>
      </c>
      <c r="I716" s="8" t="str">
        <f>IFERROR(__xludf.DUMMYFUNCTION("GOOGLETRANSLATE(C716, ""en"", ""ar"")"),"حمام السباحة")</f>
        <v>حمام السباحة</v>
      </c>
      <c r="J716" s="8"/>
      <c r="K716" s="7" t="str">
        <f>IFERROR(__xludf.DUMMYFUNCTION("CONCAT(REGEXREPLACE(C716,""[ ,]+"",""_""),"".mp3"")"),"swimming_pool.mp3")</f>
        <v>swimming_pool.mp3</v>
      </c>
      <c r="M716" s="4" t="s">
        <v>10</v>
      </c>
    </row>
    <row r="717" ht="15.75" customHeight="1">
      <c r="A717" s="1">
        <v>2085.0</v>
      </c>
      <c r="B717" s="3">
        <v>145.0</v>
      </c>
      <c r="C717" s="7" t="s">
        <v>758</v>
      </c>
      <c r="D717" s="8" t="str">
        <f>IFERROR(__xludf.DUMMYFUNCTION("GOOGLETRANSLATE(C717, ""en"", ""pt"")"),"campo esportivo")</f>
        <v>campo esportivo</v>
      </c>
      <c r="E717" s="8" t="str">
        <f>IFERROR(__xludf.DUMMYFUNCTION("GOOGLETRANSLATE(C717, ""en"", ""es"")"),"campo deportivo")</f>
        <v>campo deportivo</v>
      </c>
      <c r="F717" s="8" t="str">
        <f>IFERROR(__xludf.DUMMYFUNCTION("GOOGLETRANSLATE(C717, ""en"", ""fr"")"),"terrain de sport")</f>
        <v>terrain de sport</v>
      </c>
      <c r="G717" s="8" t="str">
        <f>IFERROR(__xludf.DUMMYFUNCTION("GOOGLETRANSLATE(C717, ""en"", ""de"")"),"Sportplatz")</f>
        <v>Sportplatz</v>
      </c>
      <c r="H717" s="8" t="str">
        <f>IFERROR(__xludf.DUMMYFUNCTION("GOOGLETRANSLATE(C717, ""en"", ""ru"")"),"спортивное поле")</f>
        <v>спортивное поле</v>
      </c>
      <c r="I717" s="8" t="str">
        <f>IFERROR(__xludf.DUMMYFUNCTION("GOOGLETRANSLATE(C717, ""en"", ""ar"")"),"ملعب رياضي")</f>
        <v>ملعب رياضي</v>
      </c>
      <c r="J717" s="8"/>
      <c r="K717" s="7" t="str">
        <f>IFERROR(__xludf.DUMMYFUNCTION("CONCAT(REGEXREPLACE(C717,""[ ,]+"",""_""),"".mp3"")"),"sports_field.mp3")</f>
        <v>sports_field.mp3</v>
      </c>
      <c r="M717" s="4" t="s">
        <v>10</v>
      </c>
    </row>
    <row r="718" ht="15.75" customHeight="1">
      <c r="A718" s="1">
        <v>2086.0</v>
      </c>
      <c r="B718" s="3">
        <v>145.0</v>
      </c>
      <c r="C718" s="7" t="s">
        <v>759</v>
      </c>
      <c r="D718" s="8" t="str">
        <f>IFERROR(__xludf.DUMMYFUNCTION("GOOGLETRANSLATE(C718, ""en"", ""pt"")"),"parque infantil")</f>
        <v>parque infantil</v>
      </c>
      <c r="E718" s="8" t="str">
        <f>IFERROR(__xludf.DUMMYFUNCTION("GOOGLETRANSLATE(C718, ""en"", ""es"")"),"patio de juegos")</f>
        <v>patio de juegos</v>
      </c>
      <c r="F718" s="8" t="str">
        <f>IFERROR(__xludf.DUMMYFUNCTION("GOOGLETRANSLATE(C718, ""en"", ""fr"")"),"aire de jeux")</f>
        <v>aire de jeux</v>
      </c>
      <c r="G718" s="8" t="str">
        <f>IFERROR(__xludf.DUMMYFUNCTION("GOOGLETRANSLATE(C718, ""en"", ""de"")"),"Spielplatz")</f>
        <v>Spielplatz</v>
      </c>
      <c r="H718" s="8" t="str">
        <f>IFERROR(__xludf.DUMMYFUNCTION("GOOGLETRANSLATE(C718, ""en"", ""ru"")"),"детская площадка")</f>
        <v>детская площадка</v>
      </c>
      <c r="I718" s="8" t="str">
        <f>IFERROR(__xludf.DUMMYFUNCTION("GOOGLETRANSLATE(C718, ""en"", ""ar"")"),"ملعب")</f>
        <v>ملعب</v>
      </c>
      <c r="J718" s="8"/>
      <c r="K718" s="7" t="str">
        <f>IFERROR(__xludf.DUMMYFUNCTION("CONCAT(REGEXREPLACE(C718,""[ ,]+"",""_""),"".mp3"")"),"playground.mp3")</f>
        <v>playground.mp3</v>
      </c>
      <c r="M718" s="4" t="s">
        <v>10</v>
      </c>
    </row>
    <row r="719" ht="15.75" customHeight="1">
      <c r="A719" s="1">
        <v>2087.0</v>
      </c>
      <c r="B719" s="3">
        <v>145.0</v>
      </c>
      <c r="C719" s="7" t="s">
        <v>760</v>
      </c>
      <c r="D719" s="8" t="str">
        <f>IFERROR(__xludf.DUMMYFUNCTION("GOOGLETRANSLATE(C719, ""en"", ""pt"")"),"parque de skate")</f>
        <v>parque de skate</v>
      </c>
      <c r="E719" s="8" t="str">
        <f>IFERROR(__xludf.DUMMYFUNCTION("GOOGLETRANSLATE(C719, ""en"", ""es"")"),"parque de patinaje")</f>
        <v>parque de patinaje</v>
      </c>
      <c r="F719" s="8" t="str">
        <f>IFERROR(__xludf.DUMMYFUNCTION("GOOGLETRANSLATE(C719, ""en"", ""fr"")"),"skatepark")</f>
        <v>skatepark</v>
      </c>
      <c r="G719" s="8" t="str">
        <f>IFERROR(__xludf.DUMMYFUNCTION("GOOGLETRANSLATE(C719, ""en"", ""de"")"),"Skatepark")</f>
        <v>Skatepark</v>
      </c>
      <c r="H719" s="8" t="str">
        <f>IFERROR(__xludf.DUMMYFUNCTION("GOOGLETRANSLATE(C719, ""en"", ""ru"")"),"скейт-парк")</f>
        <v>скейт-парк</v>
      </c>
      <c r="I719" s="8" t="str">
        <f>IFERROR(__xludf.DUMMYFUNCTION("GOOGLETRANSLATE(C719, ""en"", ""ar"")"),"حديقة التزلج")</f>
        <v>حديقة التزلج</v>
      </c>
      <c r="J719" s="8"/>
      <c r="K719" s="7" t="str">
        <f>IFERROR(__xludf.DUMMYFUNCTION("CONCAT(REGEXREPLACE(C719,""[ ,]+"",""_""),"".mp3"")"),"skate_park.mp3")</f>
        <v>skate_park.mp3</v>
      </c>
      <c r="M719" s="4" t="s">
        <v>10</v>
      </c>
    </row>
    <row r="720" ht="15.75" customHeight="1">
      <c r="A720" s="1">
        <v>2088.0</v>
      </c>
      <c r="B720" s="3">
        <v>145.0</v>
      </c>
      <c r="C720" s="7" t="s">
        <v>761</v>
      </c>
      <c r="D720" s="8" t="str">
        <f>IFERROR(__xludf.DUMMYFUNCTION("GOOGLETRANSLATE(C720, ""en"", ""pt"")"),"campo de golfe")</f>
        <v>campo de golfe</v>
      </c>
      <c r="E720" s="8" t="str">
        <f>IFERROR(__xludf.DUMMYFUNCTION("GOOGLETRANSLATE(C720, ""en"", ""es"")"),"campo de golf")</f>
        <v>campo de golf</v>
      </c>
      <c r="F720" s="8" t="str">
        <f>IFERROR(__xludf.DUMMYFUNCTION("GOOGLETRANSLATE(C720, ""en"", ""fr"")"),"terrain de golf")</f>
        <v>terrain de golf</v>
      </c>
      <c r="G720" s="8" t="str">
        <f>IFERROR(__xludf.DUMMYFUNCTION("GOOGLETRANSLATE(C720, ""en"", ""de"")"),"Golfplatz")</f>
        <v>Golfplatz</v>
      </c>
      <c r="H720" s="8" t="str">
        <f>IFERROR(__xludf.DUMMYFUNCTION("GOOGLETRANSLATE(C720, ""en"", ""ru"")"),"поле для гольфа")</f>
        <v>поле для гольфа</v>
      </c>
      <c r="I720" s="8" t="str">
        <f>IFERROR(__xludf.DUMMYFUNCTION("GOOGLETRANSLATE(C720, ""en"", ""ar"")"),"ملعب غولف")</f>
        <v>ملعب غولف</v>
      </c>
      <c r="J720" s="8"/>
      <c r="K720" s="7" t="str">
        <f>IFERROR(__xludf.DUMMYFUNCTION("CONCAT(REGEXREPLACE(C720,""[ ,]+"",""_""),"".mp3"")"),"golf_course.mp3")</f>
        <v>golf_course.mp3</v>
      </c>
      <c r="M720" s="4" t="s">
        <v>10</v>
      </c>
    </row>
    <row r="721" ht="15.75" customHeight="1">
      <c r="A721" s="1">
        <v>2089.0</v>
      </c>
      <c r="B721" s="3">
        <v>145.0</v>
      </c>
      <c r="C721" s="7" t="s">
        <v>762</v>
      </c>
      <c r="D721" s="8" t="str">
        <f>IFERROR(__xludf.DUMMYFUNCTION("GOOGLETRANSLATE(C721, ""en"", ""pt"")"),"quadra de tênis")</f>
        <v>quadra de tênis</v>
      </c>
      <c r="E721" s="8" t="str">
        <f>IFERROR(__xludf.DUMMYFUNCTION("GOOGLETRANSLATE(C721, ""en"", ""es"")"),"pista de tenis")</f>
        <v>pista de tenis</v>
      </c>
      <c r="F721" s="8" t="str">
        <f>IFERROR(__xludf.DUMMYFUNCTION("GOOGLETRANSLATE(C721, ""en"", ""fr"")"),"court de tennis")</f>
        <v>court de tennis</v>
      </c>
      <c r="G721" s="8" t="str">
        <f>IFERROR(__xludf.DUMMYFUNCTION("GOOGLETRANSLATE(C721, ""en"", ""de"")"),"Tennisplatz")</f>
        <v>Tennisplatz</v>
      </c>
      <c r="H721" s="8" t="str">
        <f>IFERROR(__xludf.DUMMYFUNCTION("GOOGLETRANSLATE(C721, ""en"", ""ru"")"),"теннисный корт")</f>
        <v>теннисный корт</v>
      </c>
      <c r="I721" s="8" t="str">
        <f>IFERROR(__xludf.DUMMYFUNCTION("GOOGLETRANSLATE(C721, ""en"", ""ar"")"),"ملعب تنس")</f>
        <v>ملعب تنس</v>
      </c>
      <c r="J721" s="8"/>
      <c r="K721" s="7" t="str">
        <f>IFERROR(__xludf.DUMMYFUNCTION("CONCAT(REGEXREPLACE(C721,""[ ,]+"",""_""),"".mp3"")"),"tennis_court.mp3")</f>
        <v>tennis_court.mp3</v>
      </c>
      <c r="M721" s="4" t="s">
        <v>10</v>
      </c>
    </row>
    <row r="722" ht="15.75" customHeight="1">
      <c r="A722" s="1">
        <v>2090.0</v>
      </c>
      <c r="B722" s="3">
        <v>145.0</v>
      </c>
      <c r="C722" s="7" t="s">
        <v>763</v>
      </c>
      <c r="D722" s="8" t="str">
        <f>IFERROR(__xludf.DUMMYFUNCTION("GOOGLETRANSLATE(C722, ""en"", ""pt"")"),"hotel")</f>
        <v>hotel</v>
      </c>
      <c r="E722" s="8" t="str">
        <f>IFERROR(__xludf.DUMMYFUNCTION("GOOGLETRANSLATE(C722, ""en"", ""es"")"),"hotel")</f>
        <v>hotel</v>
      </c>
      <c r="F722" s="8" t="str">
        <f>IFERROR(__xludf.DUMMYFUNCTION("GOOGLETRANSLATE(C722, ""en"", ""fr"")"),"hôtel")</f>
        <v>hôtel</v>
      </c>
      <c r="G722" s="8" t="str">
        <f>IFERROR(__xludf.DUMMYFUNCTION("GOOGLETRANSLATE(C722, ""en"", ""de"")"),"Hotel")</f>
        <v>Hotel</v>
      </c>
      <c r="H722" s="8" t="str">
        <f>IFERROR(__xludf.DUMMYFUNCTION("GOOGLETRANSLATE(C722, ""en"", ""ru"")"),"отель")</f>
        <v>отель</v>
      </c>
      <c r="I722" s="8" t="str">
        <f>IFERROR(__xludf.DUMMYFUNCTION("GOOGLETRANSLATE(C722, ""en"", ""ar"")"),"الفندق")</f>
        <v>الفندق</v>
      </c>
      <c r="J722" s="8"/>
      <c r="K722" s="7" t="str">
        <f>IFERROR(__xludf.DUMMYFUNCTION("CONCAT(REGEXREPLACE(C722,""[ ,]+"",""_""),"".mp3"")"),"hotel.mp3")</f>
        <v>hotel.mp3</v>
      </c>
      <c r="M722" s="4" t="s">
        <v>10</v>
      </c>
    </row>
    <row r="723" ht="15.75" customHeight="1">
      <c r="A723" s="1">
        <v>2091.0</v>
      </c>
      <c r="B723" s="3">
        <v>145.0</v>
      </c>
      <c r="C723" s="7" t="s">
        <v>764</v>
      </c>
      <c r="D723" s="8" t="str">
        <f>IFERROR(__xludf.DUMMYFUNCTION("GOOGLETRANSLATE(C723, ""en"", ""pt"")"),"motel")</f>
        <v>motel</v>
      </c>
      <c r="E723" s="8" t="str">
        <f>IFERROR(__xludf.DUMMYFUNCTION("GOOGLETRANSLATE(C723, ""en"", ""es"")"),"motel")</f>
        <v>motel</v>
      </c>
      <c r="F723" s="8" t="str">
        <f>IFERROR(__xludf.DUMMYFUNCTION("GOOGLETRANSLATE(C723, ""en"", ""fr"")"),"motel")</f>
        <v>motel</v>
      </c>
      <c r="G723" s="8" t="str">
        <f>IFERROR(__xludf.DUMMYFUNCTION("GOOGLETRANSLATE(C723, ""en"", ""de"")"),"Motel")</f>
        <v>Motel</v>
      </c>
      <c r="H723" s="8" t="str">
        <f>IFERROR(__xludf.DUMMYFUNCTION("GOOGLETRANSLATE(C723, ""en"", ""ru"")"),"мотель")</f>
        <v>мотель</v>
      </c>
      <c r="I723" s="8" t="str">
        <f>IFERROR(__xludf.DUMMYFUNCTION("GOOGLETRANSLATE(C723, ""en"", ""ar"")"),"موتيل")</f>
        <v>موتيل</v>
      </c>
      <c r="J723" s="8"/>
      <c r="K723" s="7" t="str">
        <f>IFERROR(__xludf.DUMMYFUNCTION("CONCAT(REGEXREPLACE(C723,""[ ,]+"",""_""),"".mp3"")"),"motel.mp3")</f>
        <v>motel.mp3</v>
      </c>
      <c r="M723" s="4" t="s">
        <v>10</v>
      </c>
    </row>
    <row r="724" ht="15.75" customHeight="1">
      <c r="A724" s="1">
        <v>2092.0</v>
      </c>
      <c r="B724" s="3">
        <v>145.0</v>
      </c>
      <c r="C724" s="7" t="s">
        <v>765</v>
      </c>
      <c r="D724" s="8" t="str">
        <f>IFERROR(__xludf.DUMMYFUNCTION("GOOGLETRANSLATE(C724, ""en"", ""pt"")"),"recorrer")</f>
        <v>recorrer</v>
      </c>
      <c r="E724" s="8" t="str">
        <f>IFERROR(__xludf.DUMMYFUNCTION("GOOGLETRANSLATE(C724, ""en"", ""es"")"),"complejo")</f>
        <v>complejo</v>
      </c>
      <c r="F724" s="8" t="str">
        <f>IFERROR(__xludf.DUMMYFUNCTION("GOOGLETRANSLATE(C724, ""en"", ""fr"")"),"station balnéaire")</f>
        <v>station balnéaire</v>
      </c>
      <c r="G724" s="8" t="str">
        <f>IFERROR(__xludf.DUMMYFUNCTION("GOOGLETRANSLATE(C724, ""en"", ""de"")"),"Resort")</f>
        <v>Resort</v>
      </c>
      <c r="H724" s="8" t="str">
        <f>IFERROR(__xludf.DUMMYFUNCTION("GOOGLETRANSLATE(C724, ""en"", ""ru"")"),"прибегнуть")</f>
        <v>прибегнуть</v>
      </c>
      <c r="I724" s="8" t="str">
        <f>IFERROR(__xludf.DUMMYFUNCTION("GOOGLETRANSLATE(C724, ""en"", ""ar"")"),"ملجأ")</f>
        <v>ملجأ</v>
      </c>
      <c r="J724" s="8"/>
      <c r="K724" s="7" t="str">
        <f>IFERROR(__xludf.DUMMYFUNCTION("CONCAT(REGEXREPLACE(C724,""[ ,]+"",""_""),"".mp3"")"),"resort.mp3")</f>
        <v>resort.mp3</v>
      </c>
      <c r="M724" s="4" t="s">
        <v>10</v>
      </c>
    </row>
    <row r="725" ht="15.75" customHeight="1">
      <c r="A725" s="1">
        <v>2093.0</v>
      </c>
      <c r="B725" s="3">
        <v>145.0</v>
      </c>
      <c r="C725" s="7" t="s">
        <v>649</v>
      </c>
      <c r="D725" s="8" t="str">
        <f>IFERROR(__xludf.DUMMYFUNCTION("GOOGLETRANSLATE(C725, ""en"", ""pt"")"),"Hostel")</f>
        <v>Hostel</v>
      </c>
      <c r="E725" s="8" t="str">
        <f>IFERROR(__xludf.DUMMYFUNCTION("GOOGLETRANSLATE(C725, ""en"", ""es"")"),"Albergue")</f>
        <v>Albergue</v>
      </c>
      <c r="F725" s="8" t="str">
        <f>IFERROR(__xludf.DUMMYFUNCTION("GOOGLETRANSLATE(C725, ""en"", ""fr"")"),"auberge")</f>
        <v>auberge</v>
      </c>
      <c r="G725" s="8" t="str">
        <f>IFERROR(__xludf.DUMMYFUNCTION("GOOGLETRANSLATE(C725, ""en"", ""de"")"),"Herberge")</f>
        <v>Herberge</v>
      </c>
      <c r="H725" s="8" t="str">
        <f>IFERROR(__xludf.DUMMYFUNCTION("GOOGLETRANSLATE(C725, ""en"", ""ru"")"),"общежитие")</f>
        <v>общежитие</v>
      </c>
      <c r="I725" s="8" t="str">
        <f>IFERROR(__xludf.DUMMYFUNCTION("GOOGLETRANSLATE(C725, ""en"", ""ar"")"),"نُزُل")</f>
        <v>نُزُل</v>
      </c>
      <c r="J725" s="8"/>
      <c r="K725" s="7" t="str">
        <f>IFERROR(__xludf.DUMMYFUNCTION("CONCAT(REGEXREPLACE(C725,""[ ,]+"",""_""),"".mp3"")"),"hostel.mp3")</f>
        <v>hostel.mp3</v>
      </c>
      <c r="M725" s="4" t="s">
        <v>10</v>
      </c>
    </row>
    <row r="726" ht="15.75" customHeight="1">
      <c r="A726" s="1">
        <v>2094.0</v>
      </c>
      <c r="B726" s="3">
        <v>145.0</v>
      </c>
      <c r="C726" s="7" t="s">
        <v>766</v>
      </c>
      <c r="D726" s="8" t="str">
        <f>IFERROR(__xludf.DUMMYFUNCTION("GOOGLETRANSLATE(C726, ""en"", ""pt"")"),"casa de hóspedes")</f>
        <v>casa de hóspedes</v>
      </c>
      <c r="E726" s="8" t="str">
        <f>IFERROR(__xludf.DUMMYFUNCTION("GOOGLETRANSLATE(C726, ""en"", ""es"")"),"Casa de invitados")</f>
        <v>Casa de invitados</v>
      </c>
      <c r="F726" s="8" t="str">
        <f>IFERROR(__xludf.DUMMYFUNCTION("GOOGLETRANSLATE(C726, ""en"", ""fr"")"),"maison d'hôtes")</f>
        <v>maison d'hôtes</v>
      </c>
      <c r="G726" s="8" t="str">
        <f>IFERROR(__xludf.DUMMYFUNCTION("GOOGLETRANSLATE(C726, ""en"", ""de"")"),"Gästehaus")</f>
        <v>Gästehaus</v>
      </c>
      <c r="H726" s="8" t="str">
        <f>IFERROR(__xludf.DUMMYFUNCTION("GOOGLETRANSLATE(C726, ""en"", ""ru"")"),"гостевой дом")</f>
        <v>гостевой дом</v>
      </c>
      <c r="I726" s="8" t="str">
        <f>IFERROR(__xludf.DUMMYFUNCTION("GOOGLETRANSLATE(C726, ""en"", ""ar"")"),"منزل الضيف")</f>
        <v>منزل الضيف</v>
      </c>
      <c r="J726" s="8"/>
      <c r="K726" s="7" t="str">
        <f>IFERROR(__xludf.DUMMYFUNCTION("CONCAT(REGEXREPLACE(C726,""[ ,]+"",""_""),"".mp3"")"),"guesthouse.mp3")</f>
        <v>guesthouse.mp3</v>
      </c>
      <c r="M726" s="4" t="s">
        <v>10</v>
      </c>
    </row>
    <row r="727" ht="15.75" customHeight="1">
      <c r="A727" s="1">
        <v>2095.0</v>
      </c>
      <c r="B727" s="3">
        <v>145.0</v>
      </c>
      <c r="C727" s="7" t="s">
        <v>767</v>
      </c>
      <c r="D727" s="8" t="str">
        <f>IFERROR(__xludf.DUMMYFUNCTION("GOOGLETRANSLATE(C727, ""en"", ""pt"")"),"cama e café da manhã")</f>
        <v>cama e café da manhã</v>
      </c>
      <c r="E727" s="8" t="str">
        <f>IFERROR(__xludf.DUMMYFUNCTION("GOOGLETRANSLATE(C727, ""en"", ""es"")"),"cama y desayuno")</f>
        <v>cama y desayuno</v>
      </c>
      <c r="F727" s="8" t="str">
        <f>IFERROR(__xludf.DUMMYFUNCTION("GOOGLETRANSLATE(C727, ""en"", ""fr"")"),"chambres d'hôtes")</f>
        <v>chambres d'hôtes</v>
      </c>
      <c r="G727" s="8" t="str">
        <f>IFERROR(__xludf.DUMMYFUNCTION("GOOGLETRANSLATE(C727, ""en"", ""de"")"),"Übernachtung mit Frühstück")</f>
        <v>Übernachtung mit Frühstück</v>
      </c>
      <c r="H727" s="8" t="str">
        <f>IFERROR(__xludf.DUMMYFUNCTION("GOOGLETRANSLATE(C727, ""en"", ""ru"")"),"гостевой дом")</f>
        <v>гостевой дом</v>
      </c>
      <c r="I727" s="8" t="str">
        <f>IFERROR(__xludf.DUMMYFUNCTION("GOOGLETRANSLATE(C727, ""en"", ""ar"")"),"مبيت وإفطار")</f>
        <v>مبيت وإفطار</v>
      </c>
      <c r="J727" s="8"/>
      <c r="K727" s="7" t="str">
        <f>IFERROR(__xludf.DUMMYFUNCTION("CONCAT(REGEXREPLACE(C727,""[ ,]+"",""_""),"".mp3"")"),"bed_and_breakfast.mp3")</f>
        <v>bed_and_breakfast.mp3</v>
      </c>
      <c r="M727" s="4" t="s">
        <v>10</v>
      </c>
    </row>
    <row r="728" ht="15.75" customHeight="1">
      <c r="A728" s="1">
        <v>2096.0</v>
      </c>
      <c r="B728" s="3">
        <v>145.0</v>
      </c>
      <c r="C728" s="7" t="s">
        <v>768</v>
      </c>
      <c r="D728" s="8" t="str">
        <f>IFERROR(__xludf.DUMMYFUNCTION("GOOGLETRANSLATE(C728, ""en"", ""pt"")"),"apresentar")</f>
        <v>apresentar</v>
      </c>
      <c r="E728" s="8" t="str">
        <f>IFERROR(__xludf.DUMMYFUNCTION("GOOGLETRANSLATE(C728, ""en"", ""es"")"),"presentar")</f>
        <v>presentar</v>
      </c>
      <c r="F728" s="8" t="str">
        <f>IFERROR(__xludf.DUMMYFUNCTION("GOOGLETRANSLATE(C728, ""en"", ""fr"")"),"loge")</f>
        <v>loge</v>
      </c>
      <c r="G728" s="8" t="str">
        <f>IFERROR(__xludf.DUMMYFUNCTION("GOOGLETRANSLATE(C728, ""en"", ""de"")"),"Hütte")</f>
        <v>Hütte</v>
      </c>
      <c r="H728" s="8" t="str">
        <f>IFERROR(__xludf.DUMMYFUNCTION("GOOGLETRANSLATE(C728, ""en"", ""ru"")"),"лодж")</f>
        <v>лодж</v>
      </c>
      <c r="I728" s="8" t="str">
        <f>IFERROR(__xludf.DUMMYFUNCTION("GOOGLETRANSLATE(C728, ""en"", ""ar"")"),"نُزُل")</f>
        <v>نُزُل</v>
      </c>
      <c r="J728" s="8"/>
      <c r="K728" s="7" t="str">
        <f>IFERROR(__xludf.DUMMYFUNCTION("CONCAT(REGEXREPLACE(C728,""[ ,]+"",""_""),"".mp3"")"),"lodge.mp3")</f>
        <v>lodge.mp3</v>
      </c>
      <c r="M728" s="4" t="s">
        <v>10</v>
      </c>
    </row>
    <row r="729" ht="15.75" customHeight="1">
      <c r="A729" s="1">
        <v>2097.0</v>
      </c>
      <c r="B729" s="3">
        <v>145.0</v>
      </c>
      <c r="C729" s="7" t="s">
        <v>769</v>
      </c>
      <c r="D729" s="8" t="str">
        <f>IFERROR(__xludf.DUMMYFUNCTION("GOOGLETRANSLATE(C729, ""en"", ""pt"")"),"Pousada")</f>
        <v>Pousada</v>
      </c>
      <c r="E729" s="8" t="str">
        <f>IFERROR(__xludf.DUMMYFUNCTION("GOOGLETRANSLATE(C729, ""en"", ""es"")"),"posada")</f>
        <v>posada</v>
      </c>
      <c r="F729" s="8" t="str">
        <f>IFERROR(__xludf.DUMMYFUNCTION("GOOGLETRANSLATE(C729, ""en"", ""fr"")"),"auberge")</f>
        <v>auberge</v>
      </c>
      <c r="G729" s="8" t="str">
        <f>IFERROR(__xludf.DUMMYFUNCTION("GOOGLETRANSLATE(C729, ""en"", ""de"")"),"Gasthof")</f>
        <v>Gasthof</v>
      </c>
      <c r="H729" s="8" t="str">
        <f>IFERROR(__xludf.DUMMYFUNCTION("GOOGLETRANSLATE(C729, ""en"", ""ru"")"),"гостиница")</f>
        <v>гостиница</v>
      </c>
      <c r="I729" s="8" t="str">
        <f>IFERROR(__xludf.DUMMYFUNCTION("GOOGLETRANSLATE(C729, ""en"", ""ar"")"),"ُخمارة")</f>
        <v>ُخمارة</v>
      </c>
      <c r="J729" s="8"/>
      <c r="K729" s="7" t="str">
        <f>IFERROR(__xludf.DUMMYFUNCTION("CONCAT(REGEXREPLACE(C729,""[ ,]+"",""_""),"".mp3"")"),"inn.mp3")</f>
        <v>inn.mp3</v>
      </c>
      <c r="M729" s="4" t="s">
        <v>10</v>
      </c>
    </row>
    <row r="730" ht="15.75" customHeight="1">
      <c r="A730" s="1">
        <v>2098.0</v>
      </c>
      <c r="B730" s="3">
        <v>145.0</v>
      </c>
      <c r="C730" s="7" t="s">
        <v>770</v>
      </c>
      <c r="D730" s="8" t="str">
        <f>IFERROR(__xludf.DUMMYFUNCTION("GOOGLETRANSLATE(C730, ""en"", ""pt"")"),"área de camping")</f>
        <v>área de camping</v>
      </c>
      <c r="E730" s="8" t="str">
        <f>IFERROR(__xludf.DUMMYFUNCTION("GOOGLETRANSLATE(C730, ""en"", ""es"")"),"terreno de camping")</f>
        <v>terreno de camping</v>
      </c>
      <c r="F730" s="8" t="str">
        <f>IFERROR(__xludf.DUMMYFUNCTION("GOOGLETRANSLATE(C730, ""en"", ""fr"")"),"camping")</f>
        <v>camping</v>
      </c>
      <c r="G730" s="8" t="str">
        <f>IFERROR(__xludf.DUMMYFUNCTION("GOOGLETRANSLATE(C730, ""en"", ""de"")"),"Campingplatz")</f>
        <v>Campingplatz</v>
      </c>
      <c r="H730" s="8" t="str">
        <f>IFERROR(__xludf.DUMMYFUNCTION("GOOGLETRANSLATE(C730, ""en"", ""ru"")"),"кемпинг")</f>
        <v>кемпинг</v>
      </c>
      <c r="I730" s="8" t="str">
        <f>IFERROR(__xludf.DUMMYFUNCTION("GOOGLETRANSLATE(C730, ""en"", ""ar"")"),"مخيم")</f>
        <v>مخيم</v>
      </c>
      <c r="J730" s="8"/>
      <c r="K730" s="7" t="str">
        <f>IFERROR(__xludf.DUMMYFUNCTION("CONCAT(REGEXREPLACE(C730,""[ ,]+"",""_""),"".mp3"")"),"campground.mp3")</f>
        <v>campground.mp3</v>
      </c>
      <c r="M730" s="4" t="s">
        <v>10</v>
      </c>
    </row>
    <row r="731" ht="15.75" customHeight="1">
      <c r="A731" s="1">
        <v>2099.0</v>
      </c>
      <c r="B731" s="3">
        <v>145.0</v>
      </c>
      <c r="C731" s="7" t="s">
        <v>771</v>
      </c>
      <c r="D731" s="8" t="str">
        <f>IFERROR(__xludf.DUMMYFUNCTION("GOOGLETRANSLATE(C731, ""en"", ""pt"")"),"acampamento")</f>
        <v>acampamento</v>
      </c>
      <c r="E731" s="8" t="str">
        <f>IFERROR(__xludf.DUMMYFUNCTION("GOOGLETRANSLATE(C731, ""en"", ""es"")"),"cámping")</f>
        <v>cámping</v>
      </c>
      <c r="F731" s="8" t="str">
        <f>IFERROR(__xludf.DUMMYFUNCTION("GOOGLETRANSLATE(C731, ""en"", ""fr"")"),"camping")</f>
        <v>camping</v>
      </c>
      <c r="G731" s="8" t="str">
        <f>IFERROR(__xludf.DUMMYFUNCTION("GOOGLETRANSLATE(C731, ""en"", ""de"")"),"Campingplatz")</f>
        <v>Campingplatz</v>
      </c>
      <c r="H731" s="8" t="str">
        <f>IFERROR(__xludf.DUMMYFUNCTION("GOOGLETRANSLATE(C731, ""en"", ""ru"")"),"кемпинг")</f>
        <v>кемпинг</v>
      </c>
      <c r="I731" s="8" t="str">
        <f>IFERROR(__xludf.DUMMYFUNCTION("GOOGLETRANSLATE(C731, ""en"", ""ar"")"),"موقع التخييم")</f>
        <v>موقع التخييم</v>
      </c>
      <c r="J731" s="8"/>
      <c r="K731" s="7" t="str">
        <f>IFERROR(__xludf.DUMMYFUNCTION("CONCAT(REGEXREPLACE(C731,""[ ,]+"",""_""),"".mp3"")"),"campsite.mp3")</f>
        <v>campsite.mp3</v>
      </c>
      <c r="M731" s="4" t="s">
        <v>10</v>
      </c>
    </row>
    <row r="732" ht="15.75" customHeight="1">
      <c r="A732" s="1">
        <v>2100.0</v>
      </c>
      <c r="B732" s="3">
        <v>145.0</v>
      </c>
      <c r="C732" s="7" t="s">
        <v>186</v>
      </c>
      <c r="D732" s="8" t="str">
        <f>IFERROR(__xludf.DUMMYFUNCTION("GOOGLETRANSLATE(C732, ""en"", ""pt"")"),"aeroporto")</f>
        <v>aeroporto</v>
      </c>
      <c r="E732" s="8" t="str">
        <f>IFERROR(__xludf.DUMMYFUNCTION("GOOGLETRANSLATE(C732, ""en"", ""es"")"),"aeropuerto")</f>
        <v>aeropuerto</v>
      </c>
      <c r="F732" s="8" t="str">
        <f>IFERROR(__xludf.DUMMYFUNCTION("GOOGLETRANSLATE(C732, ""en"", ""fr"")"),"aéroport")</f>
        <v>aéroport</v>
      </c>
      <c r="G732" s="8" t="str">
        <f>IFERROR(__xludf.DUMMYFUNCTION("GOOGLETRANSLATE(C732, ""en"", ""de"")"),"Flughafen")</f>
        <v>Flughafen</v>
      </c>
      <c r="H732" s="8" t="str">
        <f>IFERROR(__xludf.DUMMYFUNCTION("GOOGLETRANSLATE(C732, ""en"", ""ru"")"),"аэропорт")</f>
        <v>аэропорт</v>
      </c>
      <c r="I732" s="8" t="str">
        <f>IFERROR(__xludf.DUMMYFUNCTION("GOOGLETRANSLATE(C732, ""en"", ""ar"")"),"مطار")</f>
        <v>مطار</v>
      </c>
      <c r="J732" s="8"/>
      <c r="K732" s="7" t="str">
        <f>IFERROR(__xludf.DUMMYFUNCTION("CONCAT(REGEXREPLACE(C732,""[ ,]+"",""_""),"".mp3"")"),"airport.mp3")</f>
        <v>airport.mp3</v>
      </c>
      <c r="M732" s="4" t="s">
        <v>10</v>
      </c>
    </row>
    <row r="733" ht="15.75" customHeight="1">
      <c r="A733" s="1">
        <v>2101.0</v>
      </c>
      <c r="B733" s="3">
        <v>145.0</v>
      </c>
      <c r="C733" s="7" t="s">
        <v>187</v>
      </c>
      <c r="D733" s="8" t="str">
        <f>IFERROR(__xludf.DUMMYFUNCTION("GOOGLETRANSLATE(C733, ""en"", ""pt"")"),"pista")</f>
        <v>pista</v>
      </c>
      <c r="E733" s="8" t="str">
        <f>IFERROR(__xludf.DUMMYFUNCTION("GOOGLETRANSLATE(C733, ""en"", ""es"")"),"pista")</f>
        <v>pista</v>
      </c>
      <c r="F733" s="8" t="str">
        <f>IFERROR(__xludf.DUMMYFUNCTION("GOOGLETRANSLATE(C733, ""en"", ""fr"")"),"piste")</f>
        <v>piste</v>
      </c>
      <c r="G733" s="8" t="str">
        <f>IFERROR(__xludf.DUMMYFUNCTION("GOOGLETRANSLATE(C733, ""en"", ""de"")"),"Runway")</f>
        <v>Runway</v>
      </c>
      <c r="H733" s="8" t="str">
        <f>IFERROR(__xludf.DUMMYFUNCTION("GOOGLETRANSLATE(C733, ""en"", ""ru"")"),"взлетно-посадочная полоса")</f>
        <v>взлетно-посадочная полоса</v>
      </c>
      <c r="I733" s="8" t="str">
        <f>IFERROR(__xludf.DUMMYFUNCTION("GOOGLETRANSLATE(C733, ""en"", ""ar"")"),"مدرج الطائرات")</f>
        <v>مدرج الطائرات</v>
      </c>
      <c r="J733" s="8"/>
      <c r="K733" s="7" t="str">
        <f>IFERROR(__xludf.DUMMYFUNCTION("CONCAT(REGEXREPLACE(C733,""[ ,]+"",""_""),"".mp3"")"),"runway.mp3")</f>
        <v>runway.mp3</v>
      </c>
      <c r="M733" s="4" t="s">
        <v>10</v>
      </c>
    </row>
    <row r="734" ht="15.75" customHeight="1">
      <c r="A734" s="1">
        <v>2102.0</v>
      </c>
      <c r="B734" s="3">
        <v>145.0</v>
      </c>
      <c r="C734" s="7" t="s">
        <v>772</v>
      </c>
      <c r="D734" s="8" t="str">
        <f>IFERROR(__xludf.DUMMYFUNCTION("GOOGLETRANSLATE(C734, ""en"", ""pt"")"),"terminal")</f>
        <v>terminal</v>
      </c>
      <c r="E734" s="8" t="str">
        <f>IFERROR(__xludf.DUMMYFUNCTION("GOOGLETRANSLATE(C734, ""en"", ""es"")"),"Terminal")</f>
        <v>Terminal</v>
      </c>
      <c r="F734" s="8" t="str">
        <f>IFERROR(__xludf.DUMMYFUNCTION("GOOGLETRANSLATE(C734, ""en"", ""fr"")"),"Terminal")</f>
        <v>Terminal</v>
      </c>
      <c r="G734" s="8" t="str">
        <f>IFERROR(__xludf.DUMMYFUNCTION("GOOGLETRANSLATE(C734, ""en"", ""de"")"),"Terminal")</f>
        <v>Terminal</v>
      </c>
      <c r="H734" s="8" t="str">
        <f>IFERROR(__xludf.DUMMYFUNCTION("GOOGLETRANSLATE(C734, ""en"", ""ru"")"),"Терминал")</f>
        <v>Терминал</v>
      </c>
      <c r="I734" s="8" t="str">
        <f>IFERROR(__xludf.DUMMYFUNCTION("GOOGLETRANSLATE(C734, ""en"", ""ar"")"),"صالة")</f>
        <v>صالة</v>
      </c>
      <c r="J734" s="8"/>
      <c r="K734" s="7" t="str">
        <f>IFERROR(__xludf.DUMMYFUNCTION("CONCAT(REGEXREPLACE(C734,""[ ,]+"",""_""),"".mp3"")"),"terminal.mp3")</f>
        <v>terminal.mp3</v>
      </c>
      <c r="M734" s="4" t="s">
        <v>10</v>
      </c>
    </row>
    <row r="735" ht="15.75" customHeight="1">
      <c r="A735" s="1">
        <v>2103.0</v>
      </c>
      <c r="B735" s="3">
        <v>145.0</v>
      </c>
      <c r="C735" s="7" t="s">
        <v>773</v>
      </c>
      <c r="D735" s="8" t="str">
        <f>IFERROR(__xludf.DUMMYFUNCTION("GOOGLETRANSLATE(C735, ""en"", ""pt"")"),"estação ferroviária")</f>
        <v>estação ferroviária</v>
      </c>
      <c r="E735" s="8" t="str">
        <f>IFERROR(__xludf.DUMMYFUNCTION("GOOGLETRANSLATE(C735, ""en"", ""es"")"),"estación de tren")</f>
        <v>estación de tren</v>
      </c>
      <c r="F735" s="8" t="str">
        <f>IFERROR(__xludf.DUMMYFUNCTION("GOOGLETRANSLATE(C735, ""en"", ""fr"")"),"gare")</f>
        <v>gare</v>
      </c>
      <c r="G735" s="8" t="str">
        <f>IFERROR(__xludf.DUMMYFUNCTION("GOOGLETRANSLATE(C735, ""en"", ""de"")"),"Bahnhof")</f>
        <v>Bahnhof</v>
      </c>
      <c r="H735" s="8" t="str">
        <f>IFERROR(__xludf.DUMMYFUNCTION("GOOGLETRANSLATE(C735, ""en"", ""ru"")"),"железнодорожный вокзал")</f>
        <v>железнодорожный вокзал</v>
      </c>
      <c r="I735" s="8" t="str">
        <f>IFERROR(__xludf.DUMMYFUNCTION("GOOGLETRANSLATE(C735, ""en"", ""ar"")"),"محطة القطار")</f>
        <v>محطة القطار</v>
      </c>
      <c r="J735" s="8"/>
      <c r="K735" s="7" t="str">
        <f>IFERROR(__xludf.DUMMYFUNCTION("CONCAT(REGEXREPLACE(C735,""[ ,]+"",""_""),"".mp3"")"),"train_station.mp3")</f>
        <v>train_station.mp3</v>
      </c>
      <c r="M735" s="4" t="s">
        <v>10</v>
      </c>
    </row>
    <row r="736" ht="15.75" customHeight="1">
      <c r="A736" s="1">
        <v>2104.0</v>
      </c>
      <c r="B736" s="3">
        <v>145.0</v>
      </c>
      <c r="C736" s="7" t="s">
        <v>774</v>
      </c>
      <c r="D736" s="8" t="str">
        <f>IFERROR(__xludf.DUMMYFUNCTION("GOOGLETRANSLATE(C736, ""en"", ""pt"")"),"estação de metrô")</f>
        <v>estação de metrô</v>
      </c>
      <c r="E736" s="8" t="str">
        <f>IFERROR(__xludf.DUMMYFUNCTION("GOOGLETRANSLATE(C736, ""en"", ""es"")"),"estación de metro")</f>
        <v>estación de metro</v>
      </c>
      <c r="F736" s="8" t="str">
        <f>IFERROR(__xludf.DUMMYFUNCTION("GOOGLETRANSLATE(C736, ""en"", ""fr"")"),"station de métro")</f>
        <v>station de métro</v>
      </c>
      <c r="G736" s="8" t="str">
        <f>IFERROR(__xludf.DUMMYFUNCTION("GOOGLETRANSLATE(C736, ""en"", ""de"")"),"U-Bahn-Station")</f>
        <v>U-Bahn-Station</v>
      </c>
      <c r="H736" s="8" t="str">
        <f>IFERROR(__xludf.DUMMYFUNCTION("GOOGLETRANSLATE(C736, ""en"", ""ru"")"),"станция метро")</f>
        <v>станция метро</v>
      </c>
      <c r="I736" s="8" t="str">
        <f>IFERROR(__xludf.DUMMYFUNCTION("GOOGLETRANSLATE(C736, ""en"", ""ar"")"),"محطة مترو الأنفاق")</f>
        <v>محطة مترو الأنفاق</v>
      </c>
      <c r="J736" s="8"/>
      <c r="K736" s="7" t="str">
        <f>IFERROR(__xludf.DUMMYFUNCTION("CONCAT(REGEXREPLACE(C736,""[ ,]+"",""_""),"".mp3"")"),"subway_station.mp3")</f>
        <v>subway_station.mp3</v>
      </c>
      <c r="M736" s="4" t="s">
        <v>10</v>
      </c>
    </row>
    <row r="737" ht="15.75" customHeight="1">
      <c r="A737" s="1">
        <v>2105.0</v>
      </c>
      <c r="B737" s="3">
        <v>145.0</v>
      </c>
      <c r="C737" s="7" t="s">
        <v>775</v>
      </c>
      <c r="D737" s="8" t="str">
        <f>IFERROR(__xludf.DUMMYFUNCTION("GOOGLETRANSLATE(C737, ""en"", ""pt"")"),"Rodoviária")</f>
        <v>Rodoviária</v>
      </c>
      <c r="E737" s="8" t="str">
        <f>IFERROR(__xludf.DUMMYFUNCTION("GOOGLETRANSLATE(C737, ""en"", ""es"")"),"estación de autobuses")</f>
        <v>estación de autobuses</v>
      </c>
      <c r="F737" s="8" t="str">
        <f>IFERROR(__xludf.DUMMYFUNCTION("GOOGLETRANSLATE(C737, ""en"", ""fr"")"),"gare routière")</f>
        <v>gare routière</v>
      </c>
      <c r="G737" s="8" t="str">
        <f>IFERROR(__xludf.DUMMYFUNCTION("GOOGLETRANSLATE(C737, ""en"", ""de"")"),"Busbahnhof")</f>
        <v>Busbahnhof</v>
      </c>
      <c r="H737" s="8" t="str">
        <f>IFERROR(__xludf.DUMMYFUNCTION("GOOGLETRANSLATE(C737, ""en"", ""ru"")"),"автовокзал")</f>
        <v>автовокзал</v>
      </c>
      <c r="I737" s="8" t="str">
        <f>IFERROR(__xludf.DUMMYFUNCTION("GOOGLETRANSLATE(C737, ""en"", ""ar"")"),"محطة الحافلات")</f>
        <v>محطة الحافلات</v>
      </c>
      <c r="J737" s="8"/>
      <c r="K737" s="7" t="str">
        <f>IFERROR(__xludf.DUMMYFUNCTION("CONCAT(REGEXREPLACE(C737,""[ ,]+"",""_""),"".mp3"")"),"bus_station.mp3")</f>
        <v>bus_station.mp3</v>
      </c>
      <c r="M737" s="4" t="s">
        <v>10</v>
      </c>
    </row>
    <row r="738" ht="15.75" customHeight="1">
      <c r="A738" s="1">
        <v>2106.0</v>
      </c>
      <c r="B738" s="3">
        <v>145.0</v>
      </c>
      <c r="C738" s="7" t="s">
        <v>192</v>
      </c>
      <c r="D738" s="8" t="str">
        <f>IFERROR(__xludf.DUMMYFUNCTION("GOOGLETRANSLATE(C738, ""en"", ""pt"")"),"ponto de ônibus")</f>
        <v>ponto de ônibus</v>
      </c>
      <c r="E738" s="8" t="str">
        <f>IFERROR(__xludf.DUMMYFUNCTION("GOOGLETRANSLATE(C738, ""en"", ""es"")"),"parada de autobús")</f>
        <v>parada de autobús</v>
      </c>
      <c r="F738" s="8" t="str">
        <f>IFERROR(__xludf.DUMMYFUNCTION("GOOGLETRANSLATE(C738, ""en"", ""fr"")"),"arrêt de bus")</f>
        <v>arrêt de bus</v>
      </c>
      <c r="G738" s="8" t="str">
        <f>IFERROR(__xludf.DUMMYFUNCTION("GOOGLETRANSLATE(C738, ""en"", ""de"")"),"Bushaltestelle")</f>
        <v>Bushaltestelle</v>
      </c>
      <c r="H738" s="8" t="str">
        <f>IFERROR(__xludf.DUMMYFUNCTION("GOOGLETRANSLATE(C738, ""en"", ""ru"")"),"автобусная остановка")</f>
        <v>автобусная остановка</v>
      </c>
      <c r="I738" s="8" t="str">
        <f>IFERROR(__xludf.DUMMYFUNCTION("GOOGLETRANSLATE(C738, ""en"", ""ar"")"),"موقف الحافلات")</f>
        <v>موقف الحافلات</v>
      </c>
      <c r="J738" s="8"/>
      <c r="K738" s="7" t="str">
        <f>IFERROR(__xludf.DUMMYFUNCTION("CONCAT(REGEXREPLACE(C738,""[ ,]+"",""_""),"".mp3"")"),"bus_stop.mp3")</f>
        <v>bus_stop.mp3</v>
      </c>
      <c r="M738" s="4" t="s">
        <v>10</v>
      </c>
    </row>
    <row r="739" ht="15.75" customHeight="1">
      <c r="A739" s="1">
        <v>2107.0</v>
      </c>
      <c r="B739" s="3">
        <v>145.0</v>
      </c>
      <c r="C739" s="7" t="s">
        <v>776</v>
      </c>
      <c r="D739" s="8" t="str">
        <f>IFERROR(__xludf.DUMMYFUNCTION("GOOGLETRANSLATE(C739, ""en"", ""pt"")"),"parada de bonde")</f>
        <v>parada de bonde</v>
      </c>
      <c r="E739" s="8" t="str">
        <f>IFERROR(__xludf.DUMMYFUNCTION("GOOGLETRANSLATE(C739, ""en"", ""es"")"),"parada de tranvía")</f>
        <v>parada de tranvía</v>
      </c>
      <c r="F739" s="8" t="str">
        <f>IFERROR(__xludf.DUMMYFUNCTION("GOOGLETRANSLATE(C739, ""en"", ""fr"")"),"arrêt de tram")</f>
        <v>arrêt de tram</v>
      </c>
      <c r="G739" s="8" t="str">
        <f>IFERROR(__xludf.DUMMYFUNCTION("GOOGLETRANSLATE(C739, ""en"", ""de"")"),"Straßenbahnhaltestelle")</f>
        <v>Straßenbahnhaltestelle</v>
      </c>
      <c r="H739" s="8" t="str">
        <f>IFERROR(__xludf.DUMMYFUNCTION("GOOGLETRANSLATE(C739, ""en"", ""ru"")"),"трамвайная остановка")</f>
        <v>трамвайная остановка</v>
      </c>
      <c r="I739" s="8" t="str">
        <f>IFERROR(__xludf.DUMMYFUNCTION("GOOGLETRANSLATE(C739, ""en"", ""ar"")"),"موقف الترام")</f>
        <v>موقف الترام</v>
      </c>
      <c r="J739" s="8"/>
      <c r="K739" s="7" t="str">
        <f>IFERROR(__xludf.DUMMYFUNCTION("CONCAT(REGEXREPLACE(C739,""[ ,]+"",""_""),"".mp3"")"),"tram_stop.mp3")</f>
        <v>tram_stop.mp3</v>
      </c>
      <c r="M739" s="4" t="s">
        <v>10</v>
      </c>
    </row>
    <row r="740" ht="15.75" customHeight="1">
      <c r="A740" s="1">
        <v>2108.0</v>
      </c>
      <c r="B740" s="3">
        <v>145.0</v>
      </c>
      <c r="C740" s="7" t="s">
        <v>190</v>
      </c>
      <c r="D740" s="8" t="str">
        <f>IFERROR(__xludf.DUMMYFUNCTION("GOOGLETRANSLATE(C740, ""en"", ""pt"")"),"porta")</f>
        <v>porta</v>
      </c>
      <c r="E740" s="8" t="str">
        <f>IFERROR(__xludf.DUMMYFUNCTION("GOOGLETRANSLATE(C740, ""en"", ""es"")"),"puerto")</f>
        <v>puerto</v>
      </c>
      <c r="F740" s="8" t="str">
        <f>IFERROR(__xludf.DUMMYFUNCTION("GOOGLETRANSLATE(C740, ""en"", ""fr"")"),"port")</f>
        <v>port</v>
      </c>
      <c r="G740" s="8" t="str">
        <f>IFERROR(__xludf.DUMMYFUNCTION("GOOGLETRANSLATE(C740, ""en"", ""de"")"),"Hafen")</f>
        <v>Hafen</v>
      </c>
      <c r="H740" s="8" t="str">
        <f>IFERROR(__xludf.DUMMYFUNCTION("GOOGLETRANSLATE(C740, ""en"", ""ru"")"),"порт")</f>
        <v>порт</v>
      </c>
      <c r="I740" s="8" t="str">
        <f>IFERROR(__xludf.DUMMYFUNCTION("GOOGLETRANSLATE(C740, ""en"", ""ar"")"),"ميناء")</f>
        <v>ميناء</v>
      </c>
      <c r="J740" s="8"/>
      <c r="K740" s="7" t="str">
        <f>IFERROR(__xludf.DUMMYFUNCTION("CONCAT(REGEXREPLACE(C740,""[ ,]+"",""_""),"".mp3"")"),"port.mp3")</f>
        <v>port.mp3</v>
      </c>
      <c r="M740" s="4" t="s">
        <v>10</v>
      </c>
    </row>
    <row r="741" ht="15.75" customHeight="1">
      <c r="A741" s="1">
        <v>2109.0</v>
      </c>
      <c r="B741" s="3">
        <v>145.0</v>
      </c>
      <c r="C741" s="7" t="s">
        <v>191</v>
      </c>
      <c r="D741" s="8" t="str">
        <f>IFERROR(__xludf.DUMMYFUNCTION("GOOGLETRANSLATE(C741, ""en"", ""pt"")"),"porto")</f>
        <v>porto</v>
      </c>
      <c r="E741" s="8" t="str">
        <f>IFERROR(__xludf.DUMMYFUNCTION("GOOGLETRANSLATE(C741, ""en"", ""es"")"),"puerto")</f>
        <v>puerto</v>
      </c>
      <c r="F741" s="8" t="str">
        <f>IFERROR(__xludf.DUMMYFUNCTION("GOOGLETRANSLATE(C741, ""en"", ""fr"")"),"port")</f>
        <v>port</v>
      </c>
      <c r="G741" s="8" t="str">
        <f>IFERROR(__xludf.DUMMYFUNCTION("GOOGLETRANSLATE(C741, ""en"", ""de"")"),"Hafen")</f>
        <v>Hafen</v>
      </c>
      <c r="H741" s="8" t="str">
        <f>IFERROR(__xludf.DUMMYFUNCTION("GOOGLETRANSLATE(C741, ""en"", ""ru"")"),"гавань")</f>
        <v>гавань</v>
      </c>
      <c r="I741" s="8" t="str">
        <f>IFERROR(__xludf.DUMMYFUNCTION("GOOGLETRANSLATE(C741, ""en"", ""ar"")"),"الميناء")</f>
        <v>الميناء</v>
      </c>
      <c r="J741" s="8"/>
      <c r="K741" s="7" t="str">
        <f>IFERROR(__xludf.DUMMYFUNCTION("CONCAT(REGEXREPLACE(C741,""[ ,]+"",""_""),"".mp3"")"),"harbor.mp3")</f>
        <v>harbor.mp3</v>
      </c>
      <c r="M741" s="4" t="s">
        <v>10</v>
      </c>
    </row>
    <row r="742" ht="15.75" customHeight="1">
      <c r="A742" s="1">
        <v>2110.0</v>
      </c>
      <c r="B742" s="3">
        <v>145.0</v>
      </c>
      <c r="C742" s="7" t="s">
        <v>777</v>
      </c>
      <c r="D742" s="8" t="str">
        <f>IFERROR(__xludf.DUMMYFUNCTION("GOOGLETRANSLATE(C742, ""en"", ""pt"")"),"doca")</f>
        <v>doca</v>
      </c>
      <c r="E742" s="8" t="str">
        <f>IFERROR(__xludf.DUMMYFUNCTION("GOOGLETRANSLATE(C742, ""en"", ""es"")"),"muelle")</f>
        <v>muelle</v>
      </c>
      <c r="F742" s="8" t="str">
        <f>IFERROR(__xludf.DUMMYFUNCTION("GOOGLETRANSLATE(C742, ""en"", ""fr"")"),"quai")</f>
        <v>quai</v>
      </c>
      <c r="G742" s="8" t="str">
        <f>IFERROR(__xludf.DUMMYFUNCTION("GOOGLETRANSLATE(C742, ""en"", ""de"")"),"Dock")</f>
        <v>Dock</v>
      </c>
      <c r="H742" s="8" t="str">
        <f>IFERROR(__xludf.DUMMYFUNCTION("GOOGLETRANSLATE(C742, ""en"", ""ru"")"),"док")</f>
        <v>док</v>
      </c>
      <c r="I742" s="8" t="str">
        <f>IFERROR(__xludf.DUMMYFUNCTION("GOOGLETRANSLATE(C742, ""en"", ""ar"")"),"قفص الاتهام")</f>
        <v>قفص الاتهام</v>
      </c>
      <c r="J742" s="8"/>
      <c r="K742" s="7" t="str">
        <f>IFERROR(__xludf.DUMMYFUNCTION("CONCAT(REGEXREPLACE(C742,""[ ,]+"",""_""),"".mp3"")"),"dock.mp3")</f>
        <v>dock.mp3</v>
      </c>
      <c r="M742" s="4" t="s">
        <v>10</v>
      </c>
    </row>
    <row r="743" ht="15.75" customHeight="1">
      <c r="A743" s="1">
        <v>2111.0</v>
      </c>
      <c r="B743" s="3">
        <v>145.0</v>
      </c>
      <c r="C743" s="7" t="s">
        <v>778</v>
      </c>
      <c r="D743" s="8" t="str">
        <f>IFERROR(__xludf.DUMMYFUNCTION("GOOGLETRANSLATE(C743, ""en"", ""pt"")"),"marina")</f>
        <v>marina</v>
      </c>
      <c r="E743" s="8" t="str">
        <f>IFERROR(__xludf.DUMMYFUNCTION("GOOGLETRANSLATE(C743, ""en"", ""es"")"),"puerto pequeño")</f>
        <v>puerto pequeño</v>
      </c>
      <c r="F743" s="8" t="str">
        <f>IFERROR(__xludf.DUMMYFUNCTION("GOOGLETRANSLATE(C743, ""en"", ""fr"")"),"marina")</f>
        <v>marina</v>
      </c>
      <c r="G743" s="8" t="str">
        <f>IFERROR(__xludf.DUMMYFUNCTION("GOOGLETRANSLATE(C743, ""en"", ""de"")"),"Yachthafen")</f>
        <v>Yachthafen</v>
      </c>
      <c r="H743" s="8" t="str">
        <f>IFERROR(__xludf.DUMMYFUNCTION("GOOGLETRANSLATE(C743, ""en"", ""ru"")"),"марина")</f>
        <v>марина</v>
      </c>
      <c r="I743" s="8" t="str">
        <f>IFERROR(__xludf.DUMMYFUNCTION("GOOGLETRANSLATE(C743, ""en"", ""ar"")"),"مارينا")</f>
        <v>مارينا</v>
      </c>
      <c r="J743" s="8"/>
      <c r="K743" s="7" t="str">
        <f>IFERROR(__xludf.DUMMYFUNCTION("CONCAT(REGEXREPLACE(C743,""[ ,]+"",""_""),"".mp3"")"),"marina.mp3")</f>
        <v>marina.mp3</v>
      </c>
      <c r="M743" s="4" t="s">
        <v>10</v>
      </c>
    </row>
    <row r="744" ht="15.75" customHeight="1">
      <c r="A744" s="1">
        <v>2112.0</v>
      </c>
      <c r="B744" s="3">
        <v>145.0</v>
      </c>
      <c r="C744" s="7" t="s">
        <v>196</v>
      </c>
      <c r="D744" s="8" t="str">
        <f>IFERROR(__xludf.DUMMYFUNCTION("GOOGLETRANSLATE(C744, ""en"", ""pt"")"),"ponte")</f>
        <v>ponte</v>
      </c>
      <c r="E744" s="8" t="str">
        <f>IFERROR(__xludf.DUMMYFUNCTION("GOOGLETRANSLATE(C744, ""en"", ""es"")"),"puente")</f>
        <v>puente</v>
      </c>
      <c r="F744" s="8" t="str">
        <f>IFERROR(__xludf.DUMMYFUNCTION("GOOGLETRANSLATE(C744, ""en"", ""fr"")"),"pont")</f>
        <v>pont</v>
      </c>
      <c r="G744" s="8" t="str">
        <f>IFERROR(__xludf.DUMMYFUNCTION("GOOGLETRANSLATE(C744, ""en"", ""de"")"),"Brücke")</f>
        <v>Brücke</v>
      </c>
      <c r="H744" s="8" t="str">
        <f>IFERROR(__xludf.DUMMYFUNCTION("GOOGLETRANSLATE(C744, ""en"", ""ru"")"),"мост")</f>
        <v>мост</v>
      </c>
      <c r="I744" s="8" t="str">
        <f>IFERROR(__xludf.DUMMYFUNCTION("GOOGLETRANSLATE(C744, ""en"", ""ar"")"),"كوبري")</f>
        <v>كوبري</v>
      </c>
      <c r="J744" s="8"/>
      <c r="K744" s="7" t="str">
        <f>IFERROR(__xludf.DUMMYFUNCTION("CONCAT(REGEXREPLACE(C744,""[ ,]+"",""_""),"".mp3"")"),"bridge.mp3")</f>
        <v>bridge.mp3</v>
      </c>
      <c r="M744" s="4" t="s">
        <v>10</v>
      </c>
    </row>
    <row r="745" ht="15.75" customHeight="1">
      <c r="A745" s="1">
        <v>2113.0</v>
      </c>
      <c r="B745" s="3">
        <v>145.0</v>
      </c>
      <c r="C745" s="7" t="s">
        <v>197</v>
      </c>
      <c r="D745" s="8" t="str">
        <f>IFERROR(__xludf.DUMMYFUNCTION("GOOGLETRANSLATE(C745, ""en"", ""pt"")"),"túnel")</f>
        <v>túnel</v>
      </c>
      <c r="E745" s="8" t="str">
        <f>IFERROR(__xludf.DUMMYFUNCTION("GOOGLETRANSLATE(C745, ""en"", ""es"")"),"túnel")</f>
        <v>túnel</v>
      </c>
      <c r="F745" s="8" t="str">
        <f>IFERROR(__xludf.DUMMYFUNCTION("GOOGLETRANSLATE(C745, ""en"", ""fr"")"),"tunnel")</f>
        <v>tunnel</v>
      </c>
      <c r="G745" s="8" t="str">
        <f>IFERROR(__xludf.DUMMYFUNCTION("GOOGLETRANSLATE(C745, ""en"", ""de"")"),"Tunnel")</f>
        <v>Tunnel</v>
      </c>
      <c r="H745" s="8" t="str">
        <f>IFERROR(__xludf.DUMMYFUNCTION("GOOGLETRANSLATE(C745, ""en"", ""ru"")"),"туннель")</f>
        <v>туннель</v>
      </c>
      <c r="I745" s="8" t="str">
        <f>IFERROR(__xludf.DUMMYFUNCTION("GOOGLETRANSLATE(C745, ""en"", ""ar"")"),"نفق")</f>
        <v>نفق</v>
      </c>
      <c r="J745" s="8"/>
      <c r="K745" s="7" t="str">
        <f>IFERROR(__xludf.DUMMYFUNCTION("CONCAT(REGEXREPLACE(C745,""[ ,]+"",""_""),"".mp3"")"),"tunnel.mp3")</f>
        <v>tunnel.mp3</v>
      </c>
      <c r="M745" s="4" t="s">
        <v>10</v>
      </c>
    </row>
    <row r="746" ht="15.75" customHeight="1">
      <c r="A746" s="1">
        <v>2114.0</v>
      </c>
      <c r="B746" s="3">
        <v>145.0</v>
      </c>
      <c r="C746" s="7" t="s">
        <v>779</v>
      </c>
      <c r="D746" s="8" t="str">
        <f>IFERROR(__xludf.DUMMYFUNCTION("GOOGLETRANSLATE(C746, ""en"", ""pt"")"),"autoestrada")</f>
        <v>autoestrada</v>
      </c>
      <c r="E746" s="8" t="str">
        <f>IFERROR(__xludf.DUMMYFUNCTION("GOOGLETRANSLATE(C746, ""en"", ""es"")"),"carretera")</f>
        <v>carretera</v>
      </c>
      <c r="F746" s="8" t="str">
        <f>IFERROR(__xludf.DUMMYFUNCTION("GOOGLETRANSLATE(C746, ""en"", ""fr"")"),"autoroute")</f>
        <v>autoroute</v>
      </c>
      <c r="G746" s="8" t="str">
        <f>IFERROR(__xludf.DUMMYFUNCTION("GOOGLETRANSLATE(C746, ""en"", ""de"")"),"Autobahn")</f>
        <v>Autobahn</v>
      </c>
      <c r="H746" s="8" t="str">
        <f>IFERROR(__xludf.DUMMYFUNCTION("GOOGLETRANSLATE(C746, ""en"", ""ru"")"),"шоссе")</f>
        <v>шоссе</v>
      </c>
      <c r="I746" s="8" t="str">
        <f>IFERROR(__xludf.DUMMYFUNCTION("GOOGLETRANSLATE(C746, ""en"", ""ar"")"),"الطريق السريع")</f>
        <v>الطريق السريع</v>
      </c>
      <c r="J746" s="8"/>
      <c r="K746" s="7" t="str">
        <f>IFERROR(__xludf.DUMMYFUNCTION("CONCAT(REGEXREPLACE(C746,""[ ,]+"",""_""),"".mp3"")"),"highway.mp3")</f>
        <v>highway.mp3</v>
      </c>
      <c r="M746" s="4" t="s">
        <v>10</v>
      </c>
    </row>
    <row r="747" ht="15.75" customHeight="1">
      <c r="A747" s="1">
        <v>2115.0</v>
      </c>
      <c r="B747" s="3">
        <v>145.0</v>
      </c>
      <c r="C747" s="7" t="s">
        <v>780</v>
      </c>
      <c r="D747" s="8" t="str">
        <f>IFERROR(__xludf.DUMMYFUNCTION("GOOGLETRANSLATE(C747, ""en"", ""pt"")"),"estrada")</f>
        <v>estrada</v>
      </c>
      <c r="E747" s="8" t="str">
        <f>IFERROR(__xludf.DUMMYFUNCTION("GOOGLETRANSLATE(C747, ""en"", ""es"")"),"camino")</f>
        <v>camino</v>
      </c>
      <c r="F747" s="8" t="str">
        <f>IFERROR(__xludf.DUMMYFUNCTION("GOOGLETRANSLATE(C747, ""en"", ""fr"")"),"route")</f>
        <v>route</v>
      </c>
      <c r="G747" s="8" t="str">
        <f>IFERROR(__xludf.DUMMYFUNCTION("GOOGLETRANSLATE(C747, ""en"", ""de"")"),"Straße")</f>
        <v>Straße</v>
      </c>
      <c r="H747" s="8" t="str">
        <f>IFERROR(__xludf.DUMMYFUNCTION("GOOGLETRANSLATE(C747, ""en"", ""ru"")"),"дорога")</f>
        <v>дорога</v>
      </c>
      <c r="I747" s="8" t="str">
        <f>IFERROR(__xludf.DUMMYFUNCTION("GOOGLETRANSLATE(C747, ""en"", ""ar"")"),"طريق")</f>
        <v>طريق</v>
      </c>
      <c r="J747" s="8"/>
      <c r="K747" s="7" t="str">
        <f>IFERROR(__xludf.DUMMYFUNCTION("CONCAT(REGEXREPLACE(C747,""[ ,]+"",""_""),"".mp3"")"),"road.mp3")</f>
        <v>road.mp3</v>
      </c>
      <c r="M747" s="4" t="s">
        <v>10</v>
      </c>
    </row>
    <row r="748" ht="15.75" customHeight="1">
      <c r="A748" s="1">
        <v>2116.0</v>
      </c>
      <c r="B748" s="3">
        <v>145.0</v>
      </c>
      <c r="C748" s="7" t="s">
        <v>781</v>
      </c>
      <c r="D748" s="8" t="str">
        <f>IFERROR(__xludf.DUMMYFUNCTION("GOOGLETRANSLATE(C748, ""en"", ""pt"")"),"rua")</f>
        <v>rua</v>
      </c>
      <c r="E748" s="8" t="str">
        <f>IFERROR(__xludf.DUMMYFUNCTION("GOOGLETRANSLATE(C748, ""en"", ""es"")"),"calle")</f>
        <v>calle</v>
      </c>
      <c r="F748" s="8" t="str">
        <f>IFERROR(__xludf.DUMMYFUNCTION("GOOGLETRANSLATE(C748, ""en"", ""fr"")"),"rue")</f>
        <v>rue</v>
      </c>
      <c r="G748" s="8" t="str">
        <f>IFERROR(__xludf.DUMMYFUNCTION("GOOGLETRANSLATE(C748, ""en"", ""de"")"),"Straße")</f>
        <v>Straße</v>
      </c>
      <c r="H748" s="8" t="str">
        <f>IFERROR(__xludf.DUMMYFUNCTION("GOOGLETRANSLATE(C748, ""en"", ""ru"")"),"улица")</f>
        <v>улица</v>
      </c>
      <c r="I748" s="8" t="str">
        <f>IFERROR(__xludf.DUMMYFUNCTION("GOOGLETRANSLATE(C748, ""en"", ""ar"")"),"شارع")</f>
        <v>شارع</v>
      </c>
      <c r="J748" s="8"/>
      <c r="K748" s="7" t="str">
        <f>IFERROR(__xludf.DUMMYFUNCTION("CONCAT(REGEXREPLACE(C748,""[ ,]+"",""_""),"".mp3"")"),"street.mp3")</f>
        <v>street.mp3</v>
      </c>
      <c r="M748" s="4" t="s">
        <v>10</v>
      </c>
    </row>
    <row r="749" ht="15.75" customHeight="1">
      <c r="A749" s="1">
        <v>2117.0</v>
      </c>
      <c r="B749" s="3">
        <v>145.0</v>
      </c>
      <c r="C749" s="7" t="s">
        <v>782</v>
      </c>
      <c r="D749" s="8" t="str">
        <f>IFERROR(__xludf.DUMMYFUNCTION("GOOGLETRANSLATE(C749, ""en"", ""pt"")"),"avenida")</f>
        <v>avenida</v>
      </c>
      <c r="E749" s="8" t="str">
        <f>IFERROR(__xludf.DUMMYFUNCTION("GOOGLETRANSLATE(C749, ""en"", ""es"")"),"avenida")</f>
        <v>avenida</v>
      </c>
      <c r="F749" s="8" t="str">
        <f>IFERROR(__xludf.DUMMYFUNCTION("GOOGLETRANSLATE(C749, ""en"", ""fr"")"),"rue")</f>
        <v>rue</v>
      </c>
      <c r="G749" s="8" t="str">
        <f>IFERROR(__xludf.DUMMYFUNCTION("GOOGLETRANSLATE(C749, ""en"", ""de"")"),"Avenue")</f>
        <v>Avenue</v>
      </c>
      <c r="H749" s="8" t="str">
        <f>IFERROR(__xludf.DUMMYFUNCTION("GOOGLETRANSLATE(C749, ""en"", ""ru"")"),"проспект")</f>
        <v>проспект</v>
      </c>
      <c r="I749" s="8" t="str">
        <f>IFERROR(__xludf.DUMMYFUNCTION("GOOGLETRANSLATE(C749, ""en"", ""ar"")"),"شارع")</f>
        <v>شارع</v>
      </c>
      <c r="J749" s="8"/>
      <c r="K749" s="7" t="str">
        <f>IFERROR(__xludf.DUMMYFUNCTION("CONCAT(REGEXREPLACE(C749,""[ ,]+"",""_""),"".mp3"")"),"avenue.mp3")</f>
        <v>avenue.mp3</v>
      </c>
      <c r="M749" s="4" t="s">
        <v>10</v>
      </c>
    </row>
    <row r="750" ht="15.75" customHeight="1">
      <c r="A750" s="1">
        <v>2118.0</v>
      </c>
      <c r="B750" s="3">
        <v>145.0</v>
      </c>
      <c r="C750" s="7" t="s">
        <v>783</v>
      </c>
      <c r="D750" s="8" t="str">
        <f>IFERROR(__xludf.DUMMYFUNCTION("GOOGLETRANSLATE(C750, ""en"", ""pt"")"),"cidade")</f>
        <v>cidade</v>
      </c>
      <c r="E750" s="8" t="str">
        <f>IFERROR(__xludf.DUMMYFUNCTION("GOOGLETRANSLATE(C750, ""en"", ""es"")"),"ciudad")</f>
        <v>ciudad</v>
      </c>
      <c r="F750" s="8" t="str">
        <f>IFERROR(__xludf.DUMMYFUNCTION("GOOGLETRANSLATE(C750, ""en"", ""fr"")"),"ville")</f>
        <v>ville</v>
      </c>
      <c r="G750" s="8" t="str">
        <f>IFERROR(__xludf.DUMMYFUNCTION("GOOGLETRANSLATE(C750, ""en"", ""de"")"),"Stadt")</f>
        <v>Stadt</v>
      </c>
      <c r="H750" s="8" t="str">
        <f>IFERROR(__xludf.DUMMYFUNCTION("GOOGLETRANSLATE(C750, ""en"", ""ru"")"),"город")</f>
        <v>город</v>
      </c>
      <c r="I750" s="8" t="str">
        <f>IFERROR(__xludf.DUMMYFUNCTION("GOOGLETRANSLATE(C750, ""en"", ""ar"")"),"مدينة")</f>
        <v>مدينة</v>
      </c>
      <c r="J750" s="8"/>
      <c r="K750" s="7" t="str">
        <f>IFERROR(__xludf.DUMMYFUNCTION("CONCAT(REGEXREPLACE(C750,""[ ,]+"",""_""),"".mp3"")"),"city.mp3")</f>
        <v>city.mp3</v>
      </c>
      <c r="M750" s="4" t="s">
        <v>10</v>
      </c>
    </row>
    <row r="751" ht="15.75" customHeight="1">
      <c r="A751" s="1">
        <v>2119.0</v>
      </c>
      <c r="B751" s="3">
        <v>145.0</v>
      </c>
      <c r="C751" s="7" t="s">
        <v>784</v>
      </c>
      <c r="D751" s="8" t="str">
        <f>IFERROR(__xludf.DUMMYFUNCTION("GOOGLETRANSLATE(C751, ""en"", ""pt"")"),"cidade")</f>
        <v>cidade</v>
      </c>
      <c r="E751" s="8" t="str">
        <f>IFERROR(__xludf.DUMMYFUNCTION("GOOGLETRANSLATE(C751, ""en"", ""es"")"),"ciudad")</f>
        <v>ciudad</v>
      </c>
      <c r="F751" s="8" t="str">
        <f>IFERROR(__xludf.DUMMYFUNCTION("GOOGLETRANSLATE(C751, ""en"", ""fr"")"),"ville")</f>
        <v>ville</v>
      </c>
      <c r="G751" s="8" t="str">
        <f>IFERROR(__xludf.DUMMYFUNCTION("GOOGLETRANSLATE(C751, ""en"", ""de"")"),"Stadt")</f>
        <v>Stadt</v>
      </c>
      <c r="H751" s="8" t="str">
        <f>IFERROR(__xludf.DUMMYFUNCTION("GOOGLETRANSLATE(C751, ""en"", ""ru"")"),"город")</f>
        <v>город</v>
      </c>
      <c r="I751" s="8" t="str">
        <f>IFERROR(__xludf.DUMMYFUNCTION("GOOGLETRANSLATE(C751, ""en"", ""ar"")"),"بلدة")</f>
        <v>بلدة</v>
      </c>
      <c r="J751" s="8"/>
      <c r="K751" s="7" t="str">
        <f>IFERROR(__xludf.DUMMYFUNCTION("CONCAT(REGEXREPLACE(C751,""[ ,]+"",""_""),"".mp3"")"),"town.mp3")</f>
        <v>town.mp3</v>
      </c>
      <c r="M751" s="4" t="s">
        <v>10</v>
      </c>
    </row>
    <row r="752" ht="15.75" customHeight="1">
      <c r="A752" s="1">
        <v>2120.0</v>
      </c>
      <c r="B752" s="3">
        <v>145.0</v>
      </c>
      <c r="C752" s="7" t="s">
        <v>785</v>
      </c>
      <c r="D752" s="8" t="str">
        <f>IFERROR(__xludf.DUMMYFUNCTION("GOOGLETRANSLATE(C752, ""en"", ""pt"")"),"aldeia")</f>
        <v>aldeia</v>
      </c>
      <c r="E752" s="8" t="str">
        <f>IFERROR(__xludf.DUMMYFUNCTION("GOOGLETRANSLATE(C752, ""en"", ""es"")"),"aldea")</f>
        <v>aldea</v>
      </c>
      <c r="F752" s="8" t="str">
        <f>IFERROR(__xludf.DUMMYFUNCTION("GOOGLETRANSLATE(C752, ""en"", ""fr"")"),"village")</f>
        <v>village</v>
      </c>
      <c r="G752" s="8" t="str">
        <f>IFERROR(__xludf.DUMMYFUNCTION("GOOGLETRANSLATE(C752, ""en"", ""de"")"),"Dorf")</f>
        <v>Dorf</v>
      </c>
      <c r="H752" s="8" t="str">
        <f>IFERROR(__xludf.DUMMYFUNCTION("GOOGLETRANSLATE(C752, ""en"", ""ru"")"),"деревня")</f>
        <v>деревня</v>
      </c>
      <c r="I752" s="8" t="str">
        <f>IFERROR(__xludf.DUMMYFUNCTION("GOOGLETRANSLATE(C752, ""en"", ""ar"")"),"قرية")</f>
        <v>قرية</v>
      </c>
      <c r="J752" s="8"/>
      <c r="K752" s="7" t="str">
        <f>IFERROR(__xludf.DUMMYFUNCTION("CONCAT(REGEXREPLACE(C752,""[ ,]+"",""_""),"".mp3"")"),"village.mp3")</f>
        <v>village.mp3</v>
      </c>
      <c r="M752" s="4" t="s">
        <v>10</v>
      </c>
    </row>
    <row r="753" ht="15.75" customHeight="1">
      <c r="A753" s="1">
        <v>2121.0</v>
      </c>
      <c r="B753" s="3">
        <v>145.0</v>
      </c>
      <c r="C753" s="7" t="s">
        <v>786</v>
      </c>
      <c r="D753" s="8" t="str">
        <f>IFERROR(__xludf.DUMMYFUNCTION("GOOGLETRANSLATE(C753, ""en"", ""pt"")"),"subúrbio")</f>
        <v>subúrbio</v>
      </c>
      <c r="E753" s="8" t="str">
        <f>IFERROR(__xludf.DUMMYFUNCTION("GOOGLETRANSLATE(C753, ""en"", ""es"")"),"suburbio")</f>
        <v>suburbio</v>
      </c>
      <c r="F753" s="8" t="str">
        <f>IFERROR(__xludf.DUMMYFUNCTION("GOOGLETRANSLATE(C753, ""en"", ""fr"")"),"banlieue")</f>
        <v>banlieue</v>
      </c>
      <c r="G753" s="8" t="str">
        <f>IFERROR(__xludf.DUMMYFUNCTION("GOOGLETRANSLATE(C753, ""en"", ""de"")"),"Vorort")</f>
        <v>Vorort</v>
      </c>
      <c r="H753" s="8" t="str">
        <f>IFERROR(__xludf.DUMMYFUNCTION("GOOGLETRANSLATE(C753, ""en"", ""ru"")"),"пригород")</f>
        <v>пригород</v>
      </c>
      <c r="I753" s="8" t="str">
        <f>IFERROR(__xludf.DUMMYFUNCTION("GOOGLETRANSLATE(C753, ""en"", ""ar"")"),"ضاحية")</f>
        <v>ضاحية</v>
      </c>
      <c r="J753" s="8"/>
      <c r="K753" s="7" t="str">
        <f>IFERROR(__xludf.DUMMYFUNCTION("CONCAT(REGEXREPLACE(C753,""[ ,]+"",""_""),"".mp3"")"),"suburb.mp3")</f>
        <v>suburb.mp3</v>
      </c>
      <c r="M753" s="4" t="s">
        <v>10</v>
      </c>
    </row>
    <row r="754" ht="15.75" customHeight="1">
      <c r="A754" s="1">
        <v>2122.0</v>
      </c>
      <c r="B754" s="3">
        <v>145.0</v>
      </c>
      <c r="C754" s="7" t="s">
        <v>787</v>
      </c>
      <c r="D754" s="8" t="str">
        <f>IFERROR(__xludf.DUMMYFUNCTION("GOOGLETRANSLATE(C754, ""en"", ""pt"")"),"vizinhança")</f>
        <v>vizinhança</v>
      </c>
      <c r="E754" s="8" t="str">
        <f>IFERROR(__xludf.DUMMYFUNCTION("GOOGLETRANSLATE(C754, ""en"", ""es"")"),"vecindario")</f>
        <v>vecindario</v>
      </c>
      <c r="F754" s="8" t="str">
        <f>IFERROR(__xludf.DUMMYFUNCTION("GOOGLETRANSLATE(C754, ""en"", ""fr"")"),"quartier")</f>
        <v>quartier</v>
      </c>
      <c r="G754" s="8" t="str">
        <f>IFERROR(__xludf.DUMMYFUNCTION("GOOGLETRANSLATE(C754, ""en"", ""de"")"),"Nachbarschaft")</f>
        <v>Nachbarschaft</v>
      </c>
      <c r="H754" s="8" t="str">
        <f>IFERROR(__xludf.DUMMYFUNCTION("GOOGLETRANSLATE(C754, ""en"", ""ru"")"),"район")</f>
        <v>район</v>
      </c>
      <c r="I754" s="8" t="str">
        <f>IFERROR(__xludf.DUMMYFUNCTION("GOOGLETRANSLATE(C754, ""en"", ""ar"")"),"حيّ")</f>
        <v>حيّ</v>
      </c>
      <c r="J754" s="8"/>
      <c r="K754" s="7" t="str">
        <f>IFERROR(__xludf.DUMMYFUNCTION("CONCAT(REGEXREPLACE(C754,""[ ,]+"",""_""),"".mp3"")"),"neighborhood.mp3")</f>
        <v>neighborhood.mp3</v>
      </c>
      <c r="M754" s="4" t="s">
        <v>10</v>
      </c>
    </row>
    <row r="755" ht="15.75" customHeight="1">
      <c r="A755" s="1">
        <v>2123.0</v>
      </c>
      <c r="B755" s="3">
        <v>145.0</v>
      </c>
      <c r="C755" s="7" t="s">
        <v>788</v>
      </c>
      <c r="D755" s="8" t="str">
        <f>IFERROR(__xludf.DUMMYFUNCTION("GOOGLETRANSLATE(C755, ""en"", ""pt"")"),"distrito")</f>
        <v>distrito</v>
      </c>
      <c r="E755" s="8" t="str">
        <f>IFERROR(__xludf.DUMMYFUNCTION("GOOGLETRANSLATE(C755, ""en"", ""es"")"),"distrito")</f>
        <v>distrito</v>
      </c>
      <c r="F755" s="8" t="str">
        <f>IFERROR(__xludf.DUMMYFUNCTION("GOOGLETRANSLATE(C755, ""en"", ""fr"")"),"district")</f>
        <v>district</v>
      </c>
      <c r="G755" s="8" t="str">
        <f>IFERROR(__xludf.DUMMYFUNCTION("GOOGLETRANSLATE(C755, ""en"", ""de"")"),"Bezirk")</f>
        <v>Bezirk</v>
      </c>
      <c r="H755" s="8" t="str">
        <f>IFERROR(__xludf.DUMMYFUNCTION("GOOGLETRANSLATE(C755, ""en"", ""ru"")"),"округ")</f>
        <v>округ</v>
      </c>
      <c r="I755" s="8" t="str">
        <f>IFERROR(__xludf.DUMMYFUNCTION("GOOGLETRANSLATE(C755, ""en"", ""ar"")"),"يصرف")</f>
        <v>يصرف</v>
      </c>
      <c r="J755" s="8"/>
      <c r="K755" s="7" t="str">
        <f>IFERROR(__xludf.DUMMYFUNCTION("CONCAT(REGEXREPLACE(C755,""[ ,]+"",""_""),"".mp3"")"),"district.mp3")</f>
        <v>district.mp3</v>
      </c>
      <c r="M755" s="4" t="s">
        <v>10</v>
      </c>
    </row>
    <row r="756" ht="15.75" customHeight="1">
      <c r="A756" s="1">
        <v>2124.0</v>
      </c>
      <c r="B756" s="3">
        <v>145.0</v>
      </c>
      <c r="C756" s="7" t="s">
        <v>789</v>
      </c>
      <c r="D756" s="8" t="str">
        <f>IFERROR(__xludf.DUMMYFUNCTION("GOOGLETRANSLATE(C756, ""en"", ""pt"")"),"centro da cidade")</f>
        <v>centro da cidade</v>
      </c>
      <c r="E756" s="8" t="str">
        <f>IFERROR(__xludf.DUMMYFUNCTION("GOOGLETRANSLATE(C756, ""en"", ""es"")"),"centro")</f>
        <v>centro</v>
      </c>
      <c r="F756" s="8" t="str">
        <f>IFERROR(__xludf.DUMMYFUNCTION("GOOGLETRANSLATE(C756, ""en"", ""fr"")"),"centre-ville")</f>
        <v>centre-ville</v>
      </c>
      <c r="G756" s="8" t="str">
        <f>IFERROR(__xludf.DUMMYFUNCTION("GOOGLETRANSLATE(C756, ""en"", ""de"")"),"Innenstadt")</f>
        <v>Innenstadt</v>
      </c>
      <c r="H756" s="8" t="str">
        <f>IFERROR(__xludf.DUMMYFUNCTION("GOOGLETRANSLATE(C756, ""en"", ""ru"")"),"центр города")</f>
        <v>центр города</v>
      </c>
      <c r="I756" s="8" t="str">
        <f>IFERROR(__xludf.DUMMYFUNCTION("GOOGLETRANSLATE(C756, ""en"", ""ar"")"),"وسط البلد")</f>
        <v>وسط البلد</v>
      </c>
      <c r="J756" s="8"/>
      <c r="K756" s="7" t="str">
        <f>IFERROR(__xludf.DUMMYFUNCTION("CONCAT(REGEXREPLACE(C756,""[ ,]+"",""_""),"".mp3"")"),"downtown.mp3")</f>
        <v>downtown.mp3</v>
      </c>
      <c r="M756" s="4" t="s">
        <v>10</v>
      </c>
    </row>
    <row r="757" ht="15.75" customHeight="1">
      <c r="A757" s="1">
        <v>2125.0</v>
      </c>
      <c r="B757" s="3">
        <v>145.0</v>
      </c>
      <c r="C757" s="7" t="s">
        <v>790</v>
      </c>
      <c r="D757" s="8" t="str">
        <f>IFERROR(__xludf.DUMMYFUNCTION("GOOGLETRANSLATE(C757, ""en"", ""pt"")"),"centro da cidade")</f>
        <v>centro da cidade</v>
      </c>
      <c r="E757" s="8" t="str">
        <f>IFERROR(__xludf.DUMMYFUNCTION("GOOGLETRANSLATE(C757, ""en"", ""es"")"),"centro de la ciudad")</f>
        <v>centro de la ciudad</v>
      </c>
      <c r="F757" s="8" t="str">
        <f>IFERROR(__xludf.DUMMYFUNCTION("GOOGLETRANSLATE(C757, ""en"", ""fr"")"),"centre-ville")</f>
        <v>centre-ville</v>
      </c>
      <c r="G757" s="8" t="str">
        <f>IFERROR(__xludf.DUMMYFUNCTION("GOOGLETRANSLATE(C757, ""en"", ""de"")"),"Stadtzentrum")</f>
        <v>Stadtzentrum</v>
      </c>
      <c r="H757" s="8" t="str">
        <f>IFERROR(__xludf.DUMMYFUNCTION("GOOGLETRANSLATE(C757, ""en"", ""ru"")"),"центр города")</f>
        <v>центр города</v>
      </c>
      <c r="I757" s="8" t="str">
        <f>IFERROR(__xludf.DUMMYFUNCTION("GOOGLETRANSLATE(C757, ""en"", ""ar"")"),"وسط المدينة")</f>
        <v>وسط المدينة</v>
      </c>
      <c r="J757" s="8"/>
      <c r="K757" s="7" t="str">
        <f>IFERROR(__xludf.DUMMYFUNCTION("CONCAT(REGEXREPLACE(C757,""[ ,]+"",""_""),"".mp3"")"),"city_center.mp3")</f>
        <v>city_center.mp3</v>
      </c>
      <c r="M757" s="4" t="s">
        <v>10</v>
      </c>
    </row>
    <row r="758" ht="15.75" customHeight="1">
      <c r="A758" s="1">
        <v>2126.0</v>
      </c>
      <c r="B758" s="3">
        <v>145.0</v>
      </c>
      <c r="C758" s="7" t="s">
        <v>791</v>
      </c>
      <c r="D758" s="8" t="str">
        <f>IFERROR(__xludf.DUMMYFUNCTION("GOOGLETRANSLATE(C758, ""en"", ""pt"")"),"quadrado")</f>
        <v>quadrado</v>
      </c>
      <c r="E758" s="8" t="str">
        <f>IFERROR(__xludf.DUMMYFUNCTION("GOOGLETRANSLATE(C758, ""en"", ""es"")"),"cuadrado")</f>
        <v>cuadrado</v>
      </c>
      <c r="F758" s="8" t="str">
        <f>IFERROR(__xludf.DUMMYFUNCTION("GOOGLETRANSLATE(C758, ""en"", ""fr"")"),"carré")</f>
        <v>carré</v>
      </c>
      <c r="G758" s="8" t="str">
        <f>IFERROR(__xludf.DUMMYFUNCTION("GOOGLETRANSLATE(C758, ""en"", ""de"")"),"Quadrat")</f>
        <v>Quadrat</v>
      </c>
      <c r="H758" s="8" t="str">
        <f>IFERROR(__xludf.DUMMYFUNCTION("GOOGLETRANSLATE(C758, ""en"", ""ru"")"),"квадрат")</f>
        <v>квадрат</v>
      </c>
      <c r="I758" s="8" t="str">
        <f>IFERROR(__xludf.DUMMYFUNCTION("GOOGLETRANSLATE(C758, ""en"", ""ar"")"),"مربع")</f>
        <v>مربع</v>
      </c>
      <c r="J758" s="8"/>
      <c r="K758" s="7" t="str">
        <f>IFERROR(__xludf.DUMMYFUNCTION("CONCAT(REGEXREPLACE(C758,""[ ,]+"",""_""),"".mp3"")"),"square.mp3")</f>
        <v>square.mp3</v>
      </c>
      <c r="M758" s="4" t="s">
        <v>10</v>
      </c>
    </row>
    <row r="759" ht="15.75" customHeight="1">
      <c r="A759" s="1">
        <v>2127.0</v>
      </c>
      <c r="B759" s="3">
        <v>145.0</v>
      </c>
      <c r="C759" s="7" t="s">
        <v>792</v>
      </c>
      <c r="D759" s="8" t="str">
        <f>IFERROR(__xludf.DUMMYFUNCTION("GOOGLETRANSLATE(C759, ""en"", ""pt"")"),"praça")</f>
        <v>praça</v>
      </c>
      <c r="E759" s="8" t="str">
        <f>IFERROR(__xludf.DUMMYFUNCTION("GOOGLETRANSLATE(C759, ""en"", ""es"")"),"plaza")</f>
        <v>plaza</v>
      </c>
      <c r="F759" s="8" t="str">
        <f>IFERROR(__xludf.DUMMYFUNCTION("GOOGLETRANSLATE(C759, ""en"", ""fr"")"),"place")</f>
        <v>place</v>
      </c>
      <c r="G759" s="8" t="str">
        <f>IFERROR(__xludf.DUMMYFUNCTION("GOOGLETRANSLATE(C759, ""en"", ""de"")"),"Platz")</f>
        <v>Platz</v>
      </c>
      <c r="H759" s="8" t="str">
        <f>IFERROR(__xludf.DUMMYFUNCTION("GOOGLETRANSLATE(C759, ""en"", ""ru"")"),"площадь")</f>
        <v>площадь</v>
      </c>
      <c r="I759" s="8" t="str">
        <f>IFERROR(__xludf.DUMMYFUNCTION("GOOGLETRANSLATE(C759, ""en"", ""ar"")"),"ساحة")</f>
        <v>ساحة</v>
      </c>
      <c r="J759" s="8"/>
      <c r="K759" s="7" t="str">
        <f>IFERROR(__xludf.DUMMYFUNCTION("CONCAT(REGEXREPLACE(C759,""[ ,]+"",""_""),"".mp3"")"),"plaza.mp3")</f>
        <v>plaza.mp3</v>
      </c>
      <c r="M759" s="4" t="s">
        <v>10</v>
      </c>
    </row>
    <row r="760" ht="15.75" customHeight="1">
      <c r="A760" s="1">
        <v>2128.0</v>
      </c>
      <c r="B760" s="3">
        <v>145.0</v>
      </c>
      <c r="C760" s="7" t="s">
        <v>793</v>
      </c>
      <c r="D760" s="8" t="str">
        <f>IFERROR(__xludf.DUMMYFUNCTION("GOOGLETRANSLATE(C760, ""en"", ""pt"")"),"parque")</f>
        <v>parque</v>
      </c>
      <c r="E760" s="8" t="str">
        <f>IFERROR(__xludf.DUMMYFUNCTION("GOOGLETRANSLATE(C760, ""en"", ""es"")"),"parque")</f>
        <v>parque</v>
      </c>
      <c r="F760" s="8" t="str">
        <f>IFERROR(__xludf.DUMMYFUNCTION("GOOGLETRANSLATE(C760, ""en"", ""fr"")"),"parc")</f>
        <v>parc</v>
      </c>
      <c r="G760" s="8" t="str">
        <f>IFERROR(__xludf.DUMMYFUNCTION("GOOGLETRANSLATE(C760, ""en"", ""de"")"),"Park")</f>
        <v>Park</v>
      </c>
      <c r="H760" s="8" t="str">
        <f>IFERROR(__xludf.DUMMYFUNCTION("GOOGLETRANSLATE(C760, ""en"", ""ru"")"),"парк")</f>
        <v>парк</v>
      </c>
      <c r="I760" s="8" t="str">
        <f>IFERROR(__xludf.DUMMYFUNCTION("GOOGLETRANSLATE(C760, ""en"", ""ar"")"),"حديقة")</f>
        <v>حديقة</v>
      </c>
      <c r="J760" s="8"/>
      <c r="K760" s="7" t="str">
        <f>IFERROR(__xludf.DUMMYFUNCTION("CONCAT(REGEXREPLACE(C760,""[ ,]+"",""_""),"".mp3"")"),"park.mp3")</f>
        <v>park.mp3</v>
      </c>
      <c r="M760" s="4" t="s">
        <v>10</v>
      </c>
    </row>
    <row r="761" ht="15.75" customHeight="1">
      <c r="A761" s="1">
        <v>2129.0</v>
      </c>
      <c r="B761" s="3">
        <v>145.0</v>
      </c>
      <c r="C761" s="7" t="s">
        <v>794</v>
      </c>
      <c r="D761" s="8" t="str">
        <f>IFERROR(__xludf.DUMMYFUNCTION("GOOGLETRANSLATE(C761, ""en"", ""pt"")"),"jardim público")</f>
        <v>jardim público</v>
      </c>
      <c r="E761" s="8" t="str">
        <f>IFERROR(__xludf.DUMMYFUNCTION("GOOGLETRANSLATE(C761, ""en"", ""es"")"),"jardín público")</f>
        <v>jardín público</v>
      </c>
      <c r="F761" s="8" t="str">
        <f>IFERROR(__xludf.DUMMYFUNCTION("GOOGLETRANSLATE(C761, ""en"", ""fr"")"),"jardin public")</f>
        <v>jardin public</v>
      </c>
      <c r="G761" s="8" t="str">
        <f>IFERROR(__xludf.DUMMYFUNCTION("GOOGLETRANSLATE(C761, ""en"", ""de"")"),"öffentlicher Garten")</f>
        <v>öffentlicher Garten</v>
      </c>
      <c r="H761" s="8" t="str">
        <f>IFERROR(__xludf.DUMMYFUNCTION("GOOGLETRANSLATE(C761, ""en"", ""ru"")"),"общественный сад")</f>
        <v>общественный сад</v>
      </c>
      <c r="I761" s="8" t="str">
        <f>IFERROR(__xludf.DUMMYFUNCTION("GOOGLETRANSLATE(C761, ""en"", ""ar"")"),"حديقة عامة")</f>
        <v>حديقة عامة</v>
      </c>
      <c r="J761" s="8"/>
      <c r="K761" s="7" t="str">
        <f>IFERROR(__xludf.DUMMYFUNCTION("CONCAT(REGEXREPLACE(C761,""[ ,]+"",""_""),"".mp3"")"),"public_garden.mp3")</f>
        <v>public_garden.mp3</v>
      </c>
      <c r="M761" s="4" t="s">
        <v>10</v>
      </c>
    </row>
    <row r="762" ht="15.75" customHeight="1">
      <c r="A762" s="1">
        <v>2130.0</v>
      </c>
      <c r="B762" s="3">
        <v>145.0</v>
      </c>
      <c r="C762" s="7" t="s">
        <v>795</v>
      </c>
      <c r="D762" s="8" t="str">
        <f>IFERROR(__xludf.DUMMYFUNCTION("GOOGLETRANSLATE(C762, ""en"", ""pt"")"),"floresta")</f>
        <v>floresta</v>
      </c>
      <c r="E762" s="8" t="str">
        <f>IFERROR(__xludf.DUMMYFUNCTION("GOOGLETRANSLATE(C762, ""en"", ""es"")"),"bosque")</f>
        <v>bosque</v>
      </c>
      <c r="F762" s="8" t="str">
        <f>IFERROR(__xludf.DUMMYFUNCTION("GOOGLETRANSLATE(C762, ""en"", ""fr"")"),"forêt")</f>
        <v>forêt</v>
      </c>
      <c r="G762" s="8" t="str">
        <f>IFERROR(__xludf.DUMMYFUNCTION("GOOGLETRANSLATE(C762, ""en"", ""de"")"),"Wald")</f>
        <v>Wald</v>
      </c>
      <c r="H762" s="8" t="str">
        <f>IFERROR(__xludf.DUMMYFUNCTION("GOOGLETRANSLATE(C762, ""en"", ""ru"")"),"лес")</f>
        <v>лес</v>
      </c>
      <c r="I762" s="8" t="str">
        <f>IFERROR(__xludf.DUMMYFUNCTION("GOOGLETRANSLATE(C762, ""en"", ""ar"")"),"غابة")</f>
        <v>غابة</v>
      </c>
      <c r="J762" s="8"/>
      <c r="K762" s="7" t="str">
        <f>IFERROR(__xludf.DUMMYFUNCTION("CONCAT(REGEXREPLACE(C762,""[ ,]+"",""_""),"".mp3"")"),"forest.mp3")</f>
        <v>forest.mp3</v>
      </c>
      <c r="M762" s="4" t="s">
        <v>10</v>
      </c>
    </row>
    <row r="763" ht="15.75" customHeight="1">
      <c r="A763" s="1">
        <v>2131.0</v>
      </c>
      <c r="B763" s="3">
        <v>145.0</v>
      </c>
      <c r="C763" s="7" t="s">
        <v>796</v>
      </c>
      <c r="D763" s="8" t="str">
        <f>IFERROR(__xludf.DUMMYFUNCTION("GOOGLETRANSLATE(C763, ""en"", ""pt"")"),"selva")</f>
        <v>selva</v>
      </c>
      <c r="E763" s="8" t="str">
        <f>IFERROR(__xludf.DUMMYFUNCTION("GOOGLETRANSLATE(C763, ""en"", ""es"")"),"selva")</f>
        <v>selva</v>
      </c>
      <c r="F763" s="8" t="str">
        <f>IFERROR(__xludf.DUMMYFUNCTION("GOOGLETRANSLATE(C763, ""en"", ""fr"")"),"jungle")</f>
        <v>jungle</v>
      </c>
      <c r="G763" s="8" t="str">
        <f>IFERROR(__xludf.DUMMYFUNCTION("GOOGLETRANSLATE(C763, ""en"", ""de"")"),"Dschungel")</f>
        <v>Dschungel</v>
      </c>
      <c r="H763" s="8" t="str">
        <f>IFERROR(__xludf.DUMMYFUNCTION("GOOGLETRANSLATE(C763, ""en"", ""ru"")"),"джунгли")</f>
        <v>джунгли</v>
      </c>
      <c r="I763" s="8" t="str">
        <f>IFERROR(__xludf.DUMMYFUNCTION("GOOGLETRANSLATE(C763, ""en"", ""ar"")"),"الغابة")</f>
        <v>الغابة</v>
      </c>
      <c r="J763" s="8"/>
      <c r="K763" s="7" t="str">
        <f>IFERROR(__xludf.DUMMYFUNCTION("CONCAT(REGEXREPLACE(C763,""[ ,]+"",""_""),"".mp3"")"),"jungle.mp3")</f>
        <v>jungle.mp3</v>
      </c>
      <c r="M763" s="4" t="s">
        <v>10</v>
      </c>
    </row>
    <row r="764" ht="15.75" customHeight="1">
      <c r="A764" s="1">
        <v>2132.0</v>
      </c>
      <c r="B764" s="3">
        <v>145.0</v>
      </c>
      <c r="C764" s="7" t="s">
        <v>797</v>
      </c>
      <c r="D764" s="8" t="str">
        <f>IFERROR(__xludf.DUMMYFUNCTION("GOOGLETRANSLATE(C764, ""en"", ""pt"")"),"floresta tropical")</f>
        <v>floresta tropical</v>
      </c>
      <c r="E764" s="8" t="str">
        <f>IFERROR(__xludf.DUMMYFUNCTION("GOOGLETRANSLATE(C764, ""en"", ""es"")"),"selva tropical")</f>
        <v>selva tropical</v>
      </c>
      <c r="F764" s="8" t="str">
        <f>IFERROR(__xludf.DUMMYFUNCTION("GOOGLETRANSLATE(C764, ""en"", ""fr"")"),"forêt tropicale")</f>
        <v>forêt tropicale</v>
      </c>
      <c r="G764" s="8" t="str">
        <f>IFERROR(__xludf.DUMMYFUNCTION("GOOGLETRANSLATE(C764, ""en"", ""de"")"),"Regenwald")</f>
        <v>Regenwald</v>
      </c>
      <c r="H764" s="8" t="str">
        <f>IFERROR(__xludf.DUMMYFUNCTION("GOOGLETRANSLATE(C764, ""en"", ""ru"")"),"тропический лес")</f>
        <v>тропический лес</v>
      </c>
      <c r="I764" s="8" t="str">
        <f>IFERROR(__xludf.DUMMYFUNCTION("GOOGLETRANSLATE(C764, ""en"", ""ar"")"),"الغابات المطيرة")</f>
        <v>الغابات المطيرة</v>
      </c>
      <c r="J764" s="8"/>
      <c r="K764" s="7" t="str">
        <f>IFERROR(__xludf.DUMMYFUNCTION("CONCAT(REGEXREPLACE(C764,""[ ,]+"",""_""),"".mp3"")"),"rainforest.mp3")</f>
        <v>rainforest.mp3</v>
      </c>
      <c r="M764" s="4" t="s">
        <v>10</v>
      </c>
    </row>
    <row r="765" ht="15.75" customHeight="1">
      <c r="A765" s="1">
        <v>2133.0</v>
      </c>
      <c r="B765" s="3">
        <v>145.0</v>
      </c>
      <c r="C765" s="7" t="s">
        <v>798</v>
      </c>
      <c r="D765" s="8" t="str">
        <f>IFERROR(__xludf.DUMMYFUNCTION("GOOGLETRANSLATE(C765, ""en"", ""pt"")"),"deserto")</f>
        <v>deserto</v>
      </c>
      <c r="E765" s="8" t="str">
        <f>IFERROR(__xludf.DUMMYFUNCTION("GOOGLETRANSLATE(C765, ""en"", ""es"")"),"desierto")</f>
        <v>desierto</v>
      </c>
      <c r="F765" s="8" t="str">
        <f>IFERROR(__xludf.DUMMYFUNCTION("GOOGLETRANSLATE(C765, ""en"", ""fr"")"),"désert")</f>
        <v>désert</v>
      </c>
      <c r="G765" s="8" t="str">
        <f>IFERROR(__xludf.DUMMYFUNCTION("GOOGLETRANSLATE(C765, ""en"", ""de"")"),"Wüste")</f>
        <v>Wüste</v>
      </c>
      <c r="H765" s="8" t="str">
        <f>IFERROR(__xludf.DUMMYFUNCTION("GOOGLETRANSLATE(C765, ""en"", ""ru"")"),"пустыня")</f>
        <v>пустыня</v>
      </c>
      <c r="I765" s="8" t="str">
        <f>IFERROR(__xludf.DUMMYFUNCTION("GOOGLETRANSLATE(C765, ""en"", ""ar"")"),"صحراء")</f>
        <v>صحراء</v>
      </c>
      <c r="J765" s="8"/>
      <c r="K765" s="7" t="str">
        <f>IFERROR(__xludf.DUMMYFUNCTION("CONCAT(REGEXREPLACE(C765,""[ ,]+"",""_""),"".mp3"")"),"desert.mp3")</f>
        <v>desert.mp3</v>
      </c>
      <c r="M765" s="4" t="s">
        <v>10</v>
      </c>
    </row>
    <row r="766" ht="15.75" customHeight="1">
      <c r="A766" s="1">
        <v>2134.0</v>
      </c>
      <c r="B766" s="3">
        <v>145.0</v>
      </c>
      <c r="C766" s="7" t="s">
        <v>799</v>
      </c>
      <c r="D766" s="8" t="str">
        <f>IFERROR(__xludf.DUMMYFUNCTION("GOOGLETRANSLATE(C766, ""en"", ""pt"")"),"vale")</f>
        <v>vale</v>
      </c>
      <c r="E766" s="8" t="str">
        <f>IFERROR(__xludf.DUMMYFUNCTION("GOOGLETRANSLATE(C766, ""en"", ""es"")"),"valle")</f>
        <v>valle</v>
      </c>
      <c r="F766" s="8" t="str">
        <f>IFERROR(__xludf.DUMMYFUNCTION("GOOGLETRANSLATE(C766, ""en"", ""fr"")"),"vallée")</f>
        <v>vallée</v>
      </c>
      <c r="G766" s="8" t="str">
        <f>IFERROR(__xludf.DUMMYFUNCTION("GOOGLETRANSLATE(C766, ""en"", ""de"")"),"Schlucht")</f>
        <v>Schlucht</v>
      </c>
      <c r="H766" s="8" t="str">
        <f>IFERROR(__xludf.DUMMYFUNCTION("GOOGLETRANSLATE(C766, ""en"", ""ru"")"),"долина")</f>
        <v>долина</v>
      </c>
      <c r="I766" s="8" t="str">
        <f>IFERROR(__xludf.DUMMYFUNCTION("GOOGLETRANSLATE(C766, ""en"", ""ar"")"),"وادي")</f>
        <v>وادي</v>
      </c>
      <c r="J766" s="8"/>
      <c r="K766" s="7" t="str">
        <f>IFERROR(__xludf.DUMMYFUNCTION("CONCAT(REGEXREPLACE(C766,""[ ,]+"",""_""),"".mp3"")"),"valley.mp3")</f>
        <v>valley.mp3</v>
      </c>
      <c r="M766" s="4" t="s">
        <v>10</v>
      </c>
    </row>
    <row r="767" ht="15.75" customHeight="1">
      <c r="A767" s="1">
        <v>2135.0</v>
      </c>
      <c r="B767" s="3">
        <v>145.0</v>
      </c>
      <c r="C767" s="7" t="s">
        <v>800</v>
      </c>
      <c r="D767" s="8" t="str">
        <f>IFERROR(__xludf.DUMMYFUNCTION("GOOGLETRANSLATE(C767, ""en"", ""pt"")"),"cânion")</f>
        <v>cânion</v>
      </c>
      <c r="E767" s="8" t="str">
        <f>IFERROR(__xludf.DUMMYFUNCTION("GOOGLETRANSLATE(C767, ""en"", ""es"")"),"cañón")</f>
        <v>cañón</v>
      </c>
      <c r="F767" s="8" t="str">
        <f>IFERROR(__xludf.DUMMYFUNCTION("GOOGLETRANSLATE(C767, ""en"", ""fr"")"),"canyon")</f>
        <v>canyon</v>
      </c>
      <c r="G767" s="8" t="str">
        <f>IFERROR(__xludf.DUMMYFUNCTION("GOOGLETRANSLATE(C767, ""en"", ""de"")"),"Schlucht")</f>
        <v>Schlucht</v>
      </c>
      <c r="H767" s="8" t="str">
        <f>IFERROR(__xludf.DUMMYFUNCTION("GOOGLETRANSLATE(C767, ""en"", ""ru"")"),"каньон")</f>
        <v>каньон</v>
      </c>
      <c r="I767" s="8" t="str">
        <f>IFERROR(__xludf.DUMMYFUNCTION("GOOGLETRANSLATE(C767, ""en"", ""ar"")"),"الوادي")</f>
        <v>الوادي</v>
      </c>
      <c r="J767" s="8"/>
      <c r="K767" s="7" t="str">
        <f>IFERROR(__xludf.DUMMYFUNCTION("CONCAT(REGEXREPLACE(C767,""[ ,]+"",""_""),"".mp3"")"),"canyon.mp3")</f>
        <v>canyon.mp3</v>
      </c>
      <c r="M767" s="4" t="s">
        <v>10</v>
      </c>
    </row>
    <row r="768" ht="15.75" customHeight="1">
      <c r="A768" s="1">
        <v>2136.0</v>
      </c>
      <c r="B768" s="3">
        <v>145.0</v>
      </c>
      <c r="C768" s="7" t="s">
        <v>801</v>
      </c>
      <c r="D768" s="8" t="str">
        <f>IFERROR(__xludf.DUMMYFUNCTION("GOOGLETRANSLATE(C768, ""en"", ""pt"")"),"montanha")</f>
        <v>montanha</v>
      </c>
      <c r="E768" s="8" t="str">
        <f>IFERROR(__xludf.DUMMYFUNCTION("GOOGLETRANSLATE(C768, ""en"", ""es"")"),"montaña")</f>
        <v>montaña</v>
      </c>
      <c r="F768" s="8" t="str">
        <f>IFERROR(__xludf.DUMMYFUNCTION("GOOGLETRANSLATE(C768, ""en"", ""fr"")"),"montagne")</f>
        <v>montagne</v>
      </c>
      <c r="G768" s="8" t="str">
        <f>IFERROR(__xludf.DUMMYFUNCTION("GOOGLETRANSLATE(C768, ""en"", ""de"")"),"Berg")</f>
        <v>Berg</v>
      </c>
      <c r="H768" s="8" t="str">
        <f>IFERROR(__xludf.DUMMYFUNCTION("GOOGLETRANSLATE(C768, ""en"", ""ru"")"),"гора")</f>
        <v>гора</v>
      </c>
      <c r="I768" s="8" t="str">
        <f>IFERROR(__xludf.DUMMYFUNCTION("GOOGLETRANSLATE(C768, ""en"", ""ar"")"),"جبل")</f>
        <v>جبل</v>
      </c>
      <c r="J768" s="8"/>
      <c r="K768" s="7" t="str">
        <f>IFERROR(__xludf.DUMMYFUNCTION("CONCAT(REGEXREPLACE(C768,""[ ,]+"",""_""),"".mp3"")"),"mountain.mp3")</f>
        <v>mountain.mp3</v>
      </c>
      <c r="M768" s="4" t="s">
        <v>10</v>
      </c>
    </row>
    <row r="769" ht="15.75" customHeight="1">
      <c r="A769" s="1">
        <v>2137.0</v>
      </c>
      <c r="B769" s="3">
        <v>145.0</v>
      </c>
      <c r="C769" s="7" t="s">
        <v>802</v>
      </c>
      <c r="D769" s="8" t="str">
        <f>IFERROR(__xludf.DUMMYFUNCTION("GOOGLETRANSLATE(C769, ""en"", ""pt"")"),"colina")</f>
        <v>colina</v>
      </c>
      <c r="E769" s="8" t="str">
        <f>IFERROR(__xludf.DUMMYFUNCTION("GOOGLETRANSLATE(C769, ""en"", ""es"")"),"colina")</f>
        <v>colina</v>
      </c>
      <c r="F769" s="8" t="str">
        <f>IFERROR(__xludf.DUMMYFUNCTION("GOOGLETRANSLATE(C769, ""en"", ""fr"")"),"colline")</f>
        <v>colline</v>
      </c>
      <c r="G769" s="8" t="str">
        <f>IFERROR(__xludf.DUMMYFUNCTION("GOOGLETRANSLATE(C769, ""en"", ""de"")"),"hügel")</f>
        <v>hügel</v>
      </c>
      <c r="H769" s="8" t="str">
        <f>IFERROR(__xludf.DUMMYFUNCTION("GOOGLETRANSLATE(C769, ""en"", ""ru"")"),"холм")</f>
        <v>холм</v>
      </c>
      <c r="I769" s="8" t="str">
        <f>IFERROR(__xludf.DUMMYFUNCTION("GOOGLETRANSLATE(C769, ""en"", ""ar"")"),"تلة")</f>
        <v>تلة</v>
      </c>
      <c r="J769" s="8"/>
      <c r="K769" s="7" t="str">
        <f>IFERROR(__xludf.DUMMYFUNCTION("CONCAT(REGEXREPLACE(C769,""[ ,]+"",""_""),"".mp3"")"),"hill.mp3")</f>
        <v>hill.mp3</v>
      </c>
      <c r="M769" s="4" t="s">
        <v>10</v>
      </c>
    </row>
    <row r="770" ht="15.75" customHeight="1">
      <c r="A770" s="1">
        <v>2138.0</v>
      </c>
      <c r="B770" s="3">
        <v>145.0</v>
      </c>
      <c r="C770" s="7" t="s">
        <v>803</v>
      </c>
      <c r="D770" s="8" t="str">
        <f>IFERROR(__xludf.DUMMYFUNCTION("GOOGLETRANSLATE(C770, ""en"", ""pt"")"),"vulcão")</f>
        <v>vulcão</v>
      </c>
      <c r="E770" s="8" t="str">
        <f>IFERROR(__xludf.DUMMYFUNCTION("GOOGLETRANSLATE(C770, ""en"", ""es"")"),"volcán")</f>
        <v>volcán</v>
      </c>
      <c r="F770" s="8" t="str">
        <f>IFERROR(__xludf.DUMMYFUNCTION("GOOGLETRANSLATE(C770, ""en"", ""fr"")"),"volcan")</f>
        <v>volcan</v>
      </c>
      <c r="G770" s="8" t="str">
        <f>IFERROR(__xludf.DUMMYFUNCTION("GOOGLETRANSLATE(C770, ""en"", ""de"")"),"Vulkan")</f>
        <v>Vulkan</v>
      </c>
      <c r="H770" s="8" t="str">
        <f>IFERROR(__xludf.DUMMYFUNCTION("GOOGLETRANSLATE(C770, ""en"", ""ru"")"),"вулкан")</f>
        <v>вулкан</v>
      </c>
      <c r="I770" s="8" t="str">
        <f>IFERROR(__xludf.DUMMYFUNCTION("GOOGLETRANSLATE(C770, ""en"", ""ar"")"),"بركان")</f>
        <v>بركان</v>
      </c>
      <c r="J770" s="8"/>
      <c r="K770" s="7" t="str">
        <f>IFERROR(__xludf.DUMMYFUNCTION("CONCAT(REGEXREPLACE(C770,""[ ,]+"",""_""),"".mp3"")"),"volcano.mp3")</f>
        <v>volcano.mp3</v>
      </c>
      <c r="M770" s="4" t="s">
        <v>10</v>
      </c>
    </row>
    <row r="771" ht="15.75" customHeight="1">
      <c r="A771" s="1">
        <v>2139.0</v>
      </c>
      <c r="B771" s="3">
        <v>145.0</v>
      </c>
      <c r="C771" s="7" t="s">
        <v>804</v>
      </c>
      <c r="D771" s="8" t="str">
        <f>IFERROR(__xludf.DUMMYFUNCTION("GOOGLETRANSLATE(C771, ""en"", ""pt"")"),"platô")</f>
        <v>platô</v>
      </c>
      <c r="E771" s="8" t="str">
        <f>IFERROR(__xludf.DUMMYFUNCTION("GOOGLETRANSLATE(C771, ""en"", ""es"")"),"meseta")</f>
        <v>meseta</v>
      </c>
      <c r="F771" s="8" t="str">
        <f>IFERROR(__xludf.DUMMYFUNCTION("GOOGLETRANSLATE(C771, ""en"", ""fr"")"),"plateau")</f>
        <v>plateau</v>
      </c>
      <c r="G771" s="8" t="str">
        <f>IFERROR(__xludf.DUMMYFUNCTION("GOOGLETRANSLATE(C771, ""en"", ""de"")"),"Plateau")</f>
        <v>Plateau</v>
      </c>
      <c r="H771" s="8" t="str">
        <f>IFERROR(__xludf.DUMMYFUNCTION("GOOGLETRANSLATE(C771, ""en"", ""ru"")"),"плато")</f>
        <v>плато</v>
      </c>
      <c r="I771" s="8" t="str">
        <f>IFERROR(__xludf.DUMMYFUNCTION("GOOGLETRANSLATE(C771, ""en"", ""ar"")"),"هضبة")</f>
        <v>هضبة</v>
      </c>
      <c r="J771" s="8"/>
      <c r="K771" s="7" t="str">
        <f>IFERROR(__xludf.DUMMYFUNCTION("CONCAT(REGEXREPLACE(C771,""[ ,]+"",""_""),"".mp3"")"),"plateau.mp3")</f>
        <v>plateau.mp3</v>
      </c>
      <c r="M771" s="4" t="s">
        <v>10</v>
      </c>
    </row>
    <row r="772" ht="15.75" customHeight="1">
      <c r="A772" s="1">
        <v>2140.0</v>
      </c>
      <c r="B772" s="3">
        <v>145.0</v>
      </c>
      <c r="C772" s="7" t="s">
        <v>805</v>
      </c>
      <c r="D772" s="8" t="str">
        <f>IFERROR(__xludf.DUMMYFUNCTION("GOOGLETRANSLATE(C772, ""en"", ""pt"")"),"simples")</f>
        <v>simples</v>
      </c>
      <c r="E772" s="8" t="str">
        <f>IFERROR(__xludf.DUMMYFUNCTION("GOOGLETRANSLATE(C772, ""en"", ""es"")"),"plano")</f>
        <v>plano</v>
      </c>
      <c r="F772" s="8" t="str">
        <f>IFERROR(__xludf.DUMMYFUNCTION("GOOGLETRANSLATE(C772, ""en"", ""fr"")"),"plaine")</f>
        <v>plaine</v>
      </c>
      <c r="G772" s="8" t="str">
        <f>IFERROR(__xludf.DUMMYFUNCTION("GOOGLETRANSLATE(C772, ""en"", ""de"")"),"schmucklos")</f>
        <v>schmucklos</v>
      </c>
      <c r="H772" s="8" t="str">
        <f>IFERROR(__xludf.DUMMYFUNCTION("GOOGLETRANSLATE(C772, ""en"", ""ru"")"),"простой")</f>
        <v>простой</v>
      </c>
      <c r="I772" s="8" t="str">
        <f>IFERROR(__xludf.DUMMYFUNCTION("GOOGLETRANSLATE(C772, ""en"", ""ar"")"),"سهل")</f>
        <v>سهل</v>
      </c>
      <c r="J772" s="8"/>
      <c r="K772" s="7" t="str">
        <f>IFERROR(__xludf.DUMMYFUNCTION("CONCAT(REGEXREPLACE(C772,""[ ,]+"",""_""),"".mp3"")"),"plain.mp3")</f>
        <v>plain.mp3</v>
      </c>
      <c r="M772" s="4" t="s">
        <v>10</v>
      </c>
    </row>
    <row r="773" ht="15.75" customHeight="1">
      <c r="A773" s="1">
        <v>2141.0</v>
      </c>
      <c r="B773" s="3">
        <v>145.0</v>
      </c>
      <c r="C773" s="7" t="s">
        <v>806</v>
      </c>
      <c r="D773" s="8" t="str">
        <f>IFERROR(__xludf.DUMMYFUNCTION("GOOGLETRANSLATE(C773, ""en"", ""pt"")"),"ilha")</f>
        <v>ilha</v>
      </c>
      <c r="E773" s="8" t="str">
        <f>IFERROR(__xludf.DUMMYFUNCTION("GOOGLETRANSLATE(C773, ""en"", ""es"")"),"isla")</f>
        <v>isla</v>
      </c>
      <c r="F773" s="8" t="str">
        <f>IFERROR(__xludf.DUMMYFUNCTION("GOOGLETRANSLATE(C773, ""en"", ""fr"")"),"île")</f>
        <v>île</v>
      </c>
      <c r="G773" s="8" t="str">
        <f>IFERROR(__xludf.DUMMYFUNCTION("GOOGLETRANSLATE(C773, ""en"", ""de"")"),"Insel")</f>
        <v>Insel</v>
      </c>
      <c r="H773" s="8" t="str">
        <f>IFERROR(__xludf.DUMMYFUNCTION("GOOGLETRANSLATE(C773, ""en"", ""ru"")"),"остров")</f>
        <v>остров</v>
      </c>
      <c r="I773" s="8" t="str">
        <f>IFERROR(__xludf.DUMMYFUNCTION("GOOGLETRANSLATE(C773, ""en"", ""ar"")"),"جزيرة")</f>
        <v>جزيرة</v>
      </c>
      <c r="J773" s="8"/>
      <c r="K773" s="7" t="str">
        <f>IFERROR(__xludf.DUMMYFUNCTION("CONCAT(REGEXREPLACE(C773,""[ ,]+"",""_""),"".mp3"")"),"island.mp3")</f>
        <v>island.mp3</v>
      </c>
      <c r="M773" s="4" t="s">
        <v>10</v>
      </c>
    </row>
    <row r="774" ht="15.75" customHeight="1">
      <c r="A774" s="1">
        <v>2142.0</v>
      </c>
      <c r="B774" s="3">
        <v>145.0</v>
      </c>
      <c r="C774" s="7" t="s">
        <v>807</v>
      </c>
      <c r="D774" s="8" t="str">
        <f>IFERROR(__xludf.DUMMYFUNCTION("GOOGLETRANSLATE(C774, ""en"", ""pt"")"),"península")</f>
        <v>península</v>
      </c>
      <c r="E774" s="8" t="str">
        <f>IFERROR(__xludf.DUMMYFUNCTION("GOOGLETRANSLATE(C774, ""en"", ""es"")"),"península")</f>
        <v>península</v>
      </c>
      <c r="F774" s="8" t="str">
        <f>IFERROR(__xludf.DUMMYFUNCTION("GOOGLETRANSLATE(C774, ""en"", ""fr"")"),"péninsule")</f>
        <v>péninsule</v>
      </c>
      <c r="G774" s="8" t="str">
        <f>IFERROR(__xludf.DUMMYFUNCTION("GOOGLETRANSLATE(C774, ""en"", ""de"")"),"Halbinsel")</f>
        <v>Halbinsel</v>
      </c>
      <c r="H774" s="8" t="str">
        <f>IFERROR(__xludf.DUMMYFUNCTION("GOOGLETRANSLATE(C774, ""en"", ""ru"")"),"полуостров")</f>
        <v>полуостров</v>
      </c>
      <c r="I774" s="8" t="str">
        <f>IFERROR(__xludf.DUMMYFUNCTION("GOOGLETRANSLATE(C774, ""en"", ""ar"")"),"شبه جزيرة")</f>
        <v>شبه جزيرة</v>
      </c>
      <c r="J774" s="8"/>
      <c r="K774" s="7" t="str">
        <f>IFERROR(__xludf.DUMMYFUNCTION("CONCAT(REGEXREPLACE(C774,""[ ,]+"",""_""),"".mp3"")"),"peninsula.mp3")</f>
        <v>peninsula.mp3</v>
      </c>
      <c r="M774" s="4" t="s">
        <v>10</v>
      </c>
    </row>
    <row r="775" ht="15.75" customHeight="1">
      <c r="A775" s="1">
        <v>2143.0</v>
      </c>
      <c r="B775" s="3">
        <v>145.0</v>
      </c>
      <c r="C775" s="7" t="s">
        <v>808</v>
      </c>
      <c r="D775" s="8" t="str">
        <f>IFERROR(__xludf.DUMMYFUNCTION("GOOGLETRANSLATE(C775, ""en"", ""pt"")"),"penhasco")</f>
        <v>penhasco</v>
      </c>
      <c r="E775" s="8" t="str">
        <f>IFERROR(__xludf.DUMMYFUNCTION("GOOGLETRANSLATE(C775, ""en"", ""es"")"),"acantilado")</f>
        <v>acantilado</v>
      </c>
      <c r="F775" s="8" t="str">
        <f>IFERROR(__xludf.DUMMYFUNCTION("GOOGLETRANSLATE(C775, ""en"", ""fr"")"),"falaise")</f>
        <v>falaise</v>
      </c>
      <c r="G775" s="8" t="str">
        <f>IFERROR(__xludf.DUMMYFUNCTION("GOOGLETRANSLATE(C775, ""en"", ""de"")"),"Cliff")</f>
        <v>Cliff</v>
      </c>
      <c r="H775" s="8" t="str">
        <f>IFERROR(__xludf.DUMMYFUNCTION("GOOGLETRANSLATE(C775, ""en"", ""ru"")"),"утес")</f>
        <v>утес</v>
      </c>
      <c r="I775" s="8" t="str">
        <f>IFERROR(__xludf.DUMMYFUNCTION("GOOGLETRANSLATE(C775, ""en"", ""ar"")"),"جرف")</f>
        <v>جرف</v>
      </c>
      <c r="J775" s="8"/>
      <c r="K775" s="7" t="str">
        <f>IFERROR(__xludf.DUMMYFUNCTION("CONCAT(REGEXREPLACE(C775,""[ ,]+"",""_""),"".mp3"")"),"cliff.mp3")</f>
        <v>cliff.mp3</v>
      </c>
      <c r="M775" s="4" t="s">
        <v>10</v>
      </c>
    </row>
    <row r="776" ht="15.75" customHeight="1">
      <c r="A776" s="1">
        <v>2144.0</v>
      </c>
      <c r="B776" s="3">
        <v>145.0</v>
      </c>
      <c r="C776" s="7" t="s">
        <v>809</v>
      </c>
      <c r="D776" s="8" t="str">
        <f>IFERROR(__xludf.DUMMYFUNCTION("GOOGLETRANSLATE(C776, ""en"", ""pt"")"),"caverna")</f>
        <v>caverna</v>
      </c>
      <c r="E776" s="8" t="str">
        <f>IFERROR(__xludf.DUMMYFUNCTION("GOOGLETRANSLATE(C776, ""en"", ""es"")"),"cueva")</f>
        <v>cueva</v>
      </c>
      <c r="F776" s="8" t="str">
        <f>IFERROR(__xludf.DUMMYFUNCTION("GOOGLETRANSLATE(C776, ""en"", ""fr"")"),"grotte")</f>
        <v>grotte</v>
      </c>
      <c r="G776" s="8" t="str">
        <f>IFERROR(__xludf.DUMMYFUNCTION("GOOGLETRANSLATE(C776, ""en"", ""de"")"),"Höhle")</f>
        <v>Höhle</v>
      </c>
      <c r="H776" s="8" t="str">
        <f>IFERROR(__xludf.DUMMYFUNCTION("GOOGLETRANSLATE(C776, ""en"", ""ru"")"),"пещера")</f>
        <v>пещера</v>
      </c>
      <c r="I776" s="8" t="str">
        <f>IFERROR(__xludf.DUMMYFUNCTION("GOOGLETRANSLATE(C776, ""en"", ""ar"")"),"كهف")</f>
        <v>كهف</v>
      </c>
      <c r="J776" s="8"/>
      <c r="K776" s="7" t="str">
        <f>IFERROR(__xludf.DUMMYFUNCTION("CONCAT(REGEXREPLACE(C776,""[ ,]+"",""_""),"".mp3"")"),"cave.mp3")</f>
        <v>cave.mp3</v>
      </c>
      <c r="M776" s="4" t="s">
        <v>10</v>
      </c>
    </row>
    <row r="777" ht="15.75" customHeight="1">
      <c r="A777" s="1">
        <v>2145.0</v>
      </c>
      <c r="B777" s="3">
        <v>145.0</v>
      </c>
      <c r="C777" s="7" t="s">
        <v>810</v>
      </c>
      <c r="D777" s="8" t="str">
        <f>IFERROR(__xludf.DUMMYFUNCTION("GOOGLETRANSLATE(C777, ""en"", ""pt"")"),"rio")</f>
        <v>rio</v>
      </c>
      <c r="E777" s="8" t="str">
        <f>IFERROR(__xludf.DUMMYFUNCTION("GOOGLETRANSLATE(C777, ""en"", ""es"")"),"río")</f>
        <v>río</v>
      </c>
      <c r="F777" s="8" t="str">
        <f>IFERROR(__xludf.DUMMYFUNCTION("GOOGLETRANSLATE(C777, ""en"", ""fr"")"),"rivière")</f>
        <v>rivière</v>
      </c>
      <c r="G777" s="8" t="str">
        <f>IFERROR(__xludf.DUMMYFUNCTION("GOOGLETRANSLATE(C777, ""en"", ""de"")"),"Fluss")</f>
        <v>Fluss</v>
      </c>
      <c r="H777" s="8" t="str">
        <f>IFERROR(__xludf.DUMMYFUNCTION("GOOGLETRANSLATE(C777, ""en"", ""ru"")"),"река")</f>
        <v>река</v>
      </c>
      <c r="I777" s="8" t="str">
        <f>IFERROR(__xludf.DUMMYFUNCTION("GOOGLETRANSLATE(C777, ""en"", ""ar"")"),"نهر")</f>
        <v>نهر</v>
      </c>
      <c r="J777" s="8"/>
      <c r="K777" s="7" t="str">
        <f>IFERROR(__xludf.DUMMYFUNCTION("CONCAT(REGEXREPLACE(C777,""[ ,]+"",""_""),"".mp3"")"),"river.mp3")</f>
        <v>river.mp3</v>
      </c>
      <c r="M777" s="4" t="s">
        <v>10</v>
      </c>
    </row>
    <row r="778" ht="15.75" customHeight="1">
      <c r="A778" s="1">
        <v>2146.0</v>
      </c>
      <c r="B778" s="3">
        <v>145.0</v>
      </c>
      <c r="C778" s="7" t="s">
        <v>811</v>
      </c>
      <c r="D778" s="8" t="str">
        <f>IFERROR(__xludf.DUMMYFUNCTION("GOOGLETRANSLATE(C778, ""en"", ""pt"")"),"fluxo")</f>
        <v>fluxo</v>
      </c>
      <c r="E778" s="8" t="str">
        <f>IFERROR(__xludf.DUMMYFUNCTION("GOOGLETRANSLATE(C778, ""en"", ""es"")"),"arroyo")</f>
        <v>arroyo</v>
      </c>
      <c r="F778" s="8" t="str">
        <f>IFERROR(__xludf.DUMMYFUNCTION("GOOGLETRANSLATE(C778, ""en"", ""fr"")"),"flux")</f>
        <v>flux</v>
      </c>
      <c r="G778" s="8" t="str">
        <f>IFERROR(__xludf.DUMMYFUNCTION("GOOGLETRANSLATE(C778, ""en"", ""de"")"),"Strom")</f>
        <v>Strom</v>
      </c>
      <c r="H778" s="8" t="str">
        <f>IFERROR(__xludf.DUMMYFUNCTION("GOOGLETRANSLATE(C778, ""en"", ""ru"")"),"транслировать")</f>
        <v>транслировать</v>
      </c>
      <c r="I778" s="8" t="str">
        <f>IFERROR(__xludf.DUMMYFUNCTION("GOOGLETRANSLATE(C778, ""en"", ""ar"")"),"تدفق")</f>
        <v>تدفق</v>
      </c>
      <c r="J778" s="8"/>
      <c r="K778" s="7" t="str">
        <f>IFERROR(__xludf.DUMMYFUNCTION("CONCAT(REGEXREPLACE(C778,""[ ,]+"",""_""),"".mp3"")"),"stream.mp3")</f>
        <v>stream.mp3</v>
      </c>
      <c r="M778" s="4" t="s">
        <v>10</v>
      </c>
    </row>
    <row r="779" ht="15.75" customHeight="1">
      <c r="A779" s="1">
        <v>2147.0</v>
      </c>
      <c r="B779" s="3">
        <v>145.0</v>
      </c>
      <c r="C779" s="7" t="s">
        <v>812</v>
      </c>
      <c r="D779" s="8" t="str">
        <f>IFERROR(__xludf.DUMMYFUNCTION("GOOGLETRANSLATE(C779, ""en"", ""pt"")"),"lago")</f>
        <v>lago</v>
      </c>
      <c r="E779" s="8" t="str">
        <f>IFERROR(__xludf.DUMMYFUNCTION("GOOGLETRANSLATE(C779, ""en"", ""es"")"),"lago")</f>
        <v>lago</v>
      </c>
      <c r="F779" s="8" t="str">
        <f>IFERROR(__xludf.DUMMYFUNCTION("GOOGLETRANSLATE(C779, ""en"", ""fr"")"),"lac")</f>
        <v>lac</v>
      </c>
      <c r="G779" s="8" t="str">
        <f>IFERROR(__xludf.DUMMYFUNCTION("GOOGLETRANSLATE(C779, ""en"", ""de"")"),"See")</f>
        <v>See</v>
      </c>
      <c r="H779" s="8" t="str">
        <f>IFERROR(__xludf.DUMMYFUNCTION("GOOGLETRANSLATE(C779, ""en"", ""ru"")"),"озеро")</f>
        <v>озеро</v>
      </c>
      <c r="I779" s="8" t="str">
        <f>IFERROR(__xludf.DUMMYFUNCTION("GOOGLETRANSLATE(C779, ""en"", ""ar"")"),"بحيرة")</f>
        <v>بحيرة</v>
      </c>
      <c r="J779" s="8"/>
      <c r="K779" s="7" t="str">
        <f>IFERROR(__xludf.DUMMYFUNCTION("CONCAT(REGEXREPLACE(C779,""[ ,]+"",""_""),"".mp3"")"),"lake.mp3")</f>
        <v>lake.mp3</v>
      </c>
      <c r="M779" s="4" t="s">
        <v>10</v>
      </c>
    </row>
    <row r="780" ht="15.75" customHeight="1">
      <c r="A780" s="1">
        <v>2148.0</v>
      </c>
      <c r="B780" s="3">
        <v>145.0</v>
      </c>
      <c r="C780" s="7" t="s">
        <v>813</v>
      </c>
      <c r="D780" s="8" t="str">
        <f>IFERROR(__xludf.DUMMYFUNCTION("GOOGLETRANSLATE(C780, ""en"", ""pt"")"),"lago")</f>
        <v>lago</v>
      </c>
      <c r="E780" s="8" t="str">
        <f>IFERROR(__xludf.DUMMYFUNCTION("GOOGLETRANSLATE(C780, ""en"", ""es"")"),"estanque")</f>
        <v>estanque</v>
      </c>
      <c r="F780" s="8" t="str">
        <f>IFERROR(__xludf.DUMMYFUNCTION("GOOGLETRANSLATE(C780, ""en"", ""fr"")"),"étang")</f>
        <v>étang</v>
      </c>
      <c r="G780" s="8" t="str">
        <f>IFERROR(__xludf.DUMMYFUNCTION("GOOGLETRANSLATE(C780, ""en"", ""de"")"),"Teich")</f>
        <v>Teich</v>
      </c>
      <c r="H780" s="8" t="str">
        <f>IFERROR(__xludf.DUMMYFUNCTION("GOOGLETRANSLATE(C780, ""en"", ""ru"")"),"пруд")</f>
        <v>пруд</v>
      </c>
      <c r="I780" s="8" t="str">
        <f>IFERROR(__xludf.DUMMYFUNCTION("GOOGLETRANSLATE(C780, ""en"", ""ar"")"),"بركة")</f>
        <v>بركة</v>
      </c>
      <c r="J780" s="8"/>
      <c r="K780" s="7" t="str">
        <f>IFERROR(__xludf.DUMMYFUNCTION("CONCAT(REGEXREPLACE(C780,""[ ,]+"",""_""),"".mp3"")"),"pond.mp3")</f>
        <v>pond.mp3</v>
      </c>
      <c r="M780" s="4" t="s">
        <v>10</v>
      </c>
    </row>
    <row r="781" ht="15.75" customHeight="1">
      <c r="A781" s="1">
        <v>2149.0</v>
      </c>
      <c r="B781" s="3">
        <v>145.0</v>
      </c>
      <c r="C781" s="7" t="s">
        <v>814</v>
      </c>
      <c r="D781" s="8" t="str">
        <f>IFERROR(__xludf.DUMMYFUNCTION("GOOGLETRANSLATE(C781, ""en"", ""pt"")"),"cachoeira")</f>
        <v>cachoeira</v>
      </c>
      <c r="E781" s="8" t="str">
        <f>IFERROR(__xludf.DUMMYFUNCTION("GOOGLETRANSLATE(C781, ""en"", ""es"")"),"cascada")</f>
        <v>cascada</v>
      </c>
      <c r="F781" s="8" t="str">
        <f>IFERROR(__xludf.DUMMYFUNCTION("GOOGLETRANSLATE(C781, ""en"", ""fr"")"),"cascade")</f>
        <v>cascade</v>
      </c>
      <c r="G781" s="8" t="str">
        <f>IFERROR(__xludf.DUMMYFUNCTION("GOOGLETRANSLATE(C781, ""en"", ""de"")"),"Wasserfall")</f>
        <v>Wasserfall</v>
      </c>
      <c r="H781" s="8" t="str">
        <f>IFERROR(__xludf.DUMMYFUNCTION("GOOGLETRANSLATE(C781, ""en"", ""ru"")"),"водопад")</f>
        <v>водопад</v>
      </c>
      <c r="I781" s="8" t="str">
        <f>IFERROR(__xludf.DUMMYFUNCTION("GOOGLETRANSLATE(C781, ""en"", ""ar"")"),"شلال")</f>
        <v>شلال</v>
      </c>
      <c r="J781" s="8"/>
      <c r="K781" s="7" t="str">
        <f>IFERROR(__xludf.DUMMYFUNCTION("CONCAT(REGEXREPLACE(C781,""[ ,]+"",""_""),"".mp3"")"),"waterfall.mp3")</f>
        <v>waterfall.mp3</v>
      </c>
      <c r="M781" s="4" t="s">
        <v>10</v>
      </c>
    </row>
    <row r="782" ht="15.75" customHeight="1">
      <c r="A782" s="1">
        <v>2150.0</v>
      </c>
      <c r="B782" s="3">
        <v>145.0</v>
      </c>
      <c r="C782" s="7" t="s">
        <v>815</v>
      </c>
      <c r="D782" s="8" t="str">
        <f>IFERROR(__xludf.DUMMYFUNCTION("GOOGLETRANSLATE(C782, ""en"", ""pt"")"),"oceano")</f>
        <v>oceano</v>
      </c>
      <c r="E782" s="8" t="str">
        <f>IFERROR(__xludf.DUMMYFUNCTION("GOOGLETRANSLATE(C782, ""en"", ""es"")"),"océano")</f>
        <v>océano</v>
      </c>
      <c r="F782" s="8" t="str">
        <f>IFERROR(__xludf.DUMMYFUNCTION("GOOGLETRANSLATE(C782, ""en"", ""fr"")"),"océan")</f>
        <v>océan</v>
      </c>
      <c r="G782" s="8" t="str">
        <f>IFERROR(__xludf.DUMMYFUNCTION("GOOGLETRANSLATE(C782, ""en"", ""de"")"),"Ozean")</f>
        <v>Ozean</v>
      </c>
      <c r="H782" s="8" t="str">
        <f>IFERROR(__xludf.DUMMYFUNCTION("GOOGLETRANSLATE(C782, ""en"", ""ru"")"),"океан")</f>
        <v>океан</v>
      </c>
      <c r="I782" s="8" t="str">
        <f>IFERROR(__xludf.DUMMYFUNCTION("GOOGLETRANSLATE(C782, ""en"", ""ar"")"),"محيط")</f>
        <v>محيط</v>
      </c>
      <c r="J782" s="8"/>
      <c r="K782" s="7" t="str">
        <f>IFERROR(__xludf.DUMMYFUNCTION("CONCAT(REGEXREPLACE(C782,""[ ,]+"",""_""),"".mp3"")"),"ocean.mp3")</f>
        <v>ocean.mp3</v>
      </c>
      <c r="M782" s="4" t="s">
        <v>10</v>
      </c>
    </row>
    <row r="783" ht="15.75" customHeight="1">
      <c r="A783" s="1">
        <v>2151.0</v>
      </c>
      <c r="B783" s="3">
        <v>145.0</v>
      </c>
      <c r="C783" s="7" t="s">
        <v>816</v>
      </c>
      <c r="D783" s="8" t="str">
        <f>IFERROR(__xludf.DUMMYFUNCTION("GOOGLETRANSLATE(C783, ""en"", ""pt"")"),"mar")</f>
        <v>mar</v>
      </c>
      <c r="E783" s="8" t="str">
        <f>IFERROR(__xludf.DUMMYFUNCTION("GOOGLETRANSLATE(C783, ""en"", ""es"")"),"mar")</f>
        <v>mar</v>
      </c>
      <c r="F783" s="8" t="str">
        <f>IFERROR(__xludf.DUMMYFUNCTION("GOOGLETRANSLATE(C783, ""en"", ""fr"")"),"mer")</f>
        <v>mer</v>
      </c>
      <c r="G783" s="8" t="str">
        <f>IFERROR(__xludf.DUMMYFUNCTION("GOOGLETRANSLATE(C783, ""en"", ""de"")"),"Meer")</f>
        <v>Meer</v>
      </c>
      <c r="H783" s="8" t="str">
        <f>IFERROR(__xludf.DUMMYFUNCTION("GOOGLETRANSLATE(C783, ""en"", ""ru"")"),"море")</f>
        <v>море</v>
      </c>
      <c r="I783" s="8" t="str">
        <f>IFERROR(__xludf.DUMMYFUNCTION("GOOGLETRANSLATE(C783, ""en"", ""ar"")"),"بحر")</f>
        <v>بحر</v>
      </c>
      <c r="J783" s="8"/>
      <c r="K783" s="7" t="str">
        <f>IFERROR(__xludf.DUMMYFUNCTION("CONCAT(REGEXREPLACE(C783,""[ ,]+"",""_""),"".mp3"")"),"sea.mp3")</f>
        <v>sea.mp3</v>
      </c>
      <c r="M783" s="4" t="s">
        <v>10</v>
      </c>
    </row>
    <row r="784" ht="15.75" customHeight="1">
      <c r="A784" s="1">
        <v>2152.0</v>
      </c>
      <c r="B784" s="3">
        <v>145.0</v>
      </c>
      <c r="C784" s="7" t="s">
        <v>817</v>
      </c>
      <c r="D784" s="8" t="str">
        <f>IFERROR(__xludf.DUMMYFUNCTION("GOOGLETRANSLATE(C784, ""en"", ""pt"")"),"baía")</f>
        <v>baía</v>
      </c>
      <c r="E784" s="8" t="str">
        <f>IFERROR(__xludf.DUMMYFUNCTION("GOOGLETRANSLATE(C784, ""en"", ""es"")"),"bahía")</f>
        <v>bahía</v>
      </c>
      <c r="F784" s="8" t="str">
        <f>IFERROR(__xludf.DUMMYFUNCTION("GOOGLETRANSLATE(C784, ""en"", ""fr"")"),"baie")</f>
        <v>baie</v>
      </c>
      <c r="G784" s="8" t="str">
        <f>IFERROR(__xludf.DUMMYFUNCTION("GOOGLETRANSLATE(C784, ""en"", ""de"")"),"Bucht")</f>
        <v>Bucht</v>
      </c>
      <c r="H784" s="8" t="str">
        <f>IFERROR(__xludf.DUMMYFUNCTION("GOOGLETRANSLATE(C784, ""en"", ""ru"")"),"залив")</f>
        <v>залив</v>
      </c>
      <c r="I784" s="8" t="str">
        <f>IFERROR(__xludf.DUMMYFUNCTION("GOOGLETRANSLATE(C784, ""en"", ""ar"")"),"خليج")</f>
        <v>خليج</v>
      </c>
      <c r="J784" s="8"/>
      <c r="K784" s="7" t="str">
        <f>IFERROR(__xludf.DUMMYFUNCTION("CONCAT(REGEXREPLACE(C784,""[ ,]+"",""_""),"".mp3"")"),"bay.mp3")</f>
        <v>bay.mp3</v>
      </c>
      <c r="M784" s="4" t="s">
        <v>10</v>
      </c>
    </row>
    <row r="785" ht="15.75" customHeight="1">
      <c r="A785" s="1">
        <v>2153.0</v>
      </c>
      <c r="B785" s="3">
        <v>145.0</v>
      </c>
      <c r="C785" s="7" t="s">
        <v>818</v>
      </c>
      <c r="D785" s="8" t="str">
        <f>IFERROR(__xludf.DUMMYFUNCTION("GOOGLETRANSLATE(C785, ""en"", ""pt"")"),"golfo")</f>
        <v>golfo</v>
      </c>
      <c r="E785" s="8" t="str">
        <f>IFERROR(__xludf.DUMMYFUNCTION("GOOGLETRANSLATE(C785, ""en"", ""es"")"),"golfo")</f>
        <v>golfo</v>
      </c>
      <c r="F785" s="8" t="str">
        <f>IFERROR(__xludf.DUMMYFUNCTION("GOOGLETRANSLATE(C785, ""en"", ""fr"")"),"golfe")</f>
        <v>golfe</v>
      </c>
      <c r="G785" s="8" t="str">
        <f>IFERROR(__xludf.DUMMYFUNCTION("GOOGLETRANSLATE(C785, ""en"", ""de"")"),"Golf")</f>
        <v>Golf</v>
      </c>
      <c r="H785" s="8" t="str">
        <f>IFERROR(__xludf.DUMMYFUNCTION("GOOGLETRANSLATE(C785, ""en"", ""ru"")"),"залив")</f>
        <v>залив</v>
      </c>
      <c r="I785" s="8" t="str">
        <f>IFERROR(__xludf.DUMMYFUNCTION("GOOGLETRANSLATE(C785, ""en"", ""ar"")"),"الخليج")</f>
        <v>الخليج</v>
      </c>
      <c r="J785" s="8"/>
      <c r="K785" s="7" t="str">
        <f>IFERROR(__xludf.DUMMYFUNCTION("CONCAT(REGEXREPLACE(C785,""[ ,]+"",""_""),"".mp3"")"),"gulf.mp3")</f>
        <v>gulf.mp3</v>
      </c>
      <c r="M785" s="4" t="s">
        <v>10</v>
      </c>
    </row>
    <row r="786" ht="15.75" customHeight="1">
      <c r="A786" s="1">
        <v>2154.0</v>
      </c>
      <c r="B786" s="3">
        <v>145.0</v>
      </c>
      <c r="C786" s="7" t="s">
        <v>819</v>
      </c>
      <c r="D786" s="8" t="str">
        <f>IFERROR(__xludf.DUMMYFUNCTION("GOOGLETRANSLATE(C786, ""en"", ""pt"")"),"praia")</f>
        <v>praia</v>
      </c>
      <c r="E786" s="8" t="str">
        <f>IFERROR(__xludf.DUMMYFUNCTION("GOOGLETRANSLATE(C786, ""en"", ""es"")"),"playa")</f>
        <v>playa</v>
      </c>
      <c r="F786" s="8" t="str">
        <f>IFERROR(__xludf.DUMMYFUNCTION("GOOGLETRANSLATE(C786, ""en"", ""fr"")"),"plage")</f>
        <v>plage</v>
      </c>
      <c r="G786" s="8" t="str">
        <f>IFERROR(__xludf.DUMMYFUNCTION("GOOGLETRANSLATE(C786, ""en"", ""de"")"),"Strand")</f>
        <v>Strand</v>
      </c>
      <c r="H786" s="8" t="str">
        <f>IFERROR(__xludf.DUMMYFUNCTION("GOOGLETRANSLATE(C786, ""en"", ""ru"")"),"пляж")</f>
        <v>пляж</v>
      </c>
      <c r="I786" s="8" t="str">
        <f>IFERROR(__xludf.DUMMYFUNCTION("GOOGLETRANSLATE(C786, ""en"", ""ar"")"),"شاطئ")</f>
        <v>شاطئ</v>
      </c>
      <c r="J786" s="8"/>
      <c r="K786" s="7" t="str">
        <f>IFERROR(__xludf.DUMMYFUNCTION("CONCAT(REGEXREPLACE(C786,""[ ,]+"",""_""),"".mp3"")"),"beach.mp3")</f>
        <v>beach.mp3</v>
      </c>
      <c r="M786" s="4" t="s">
        <v>10</v>
      </c>
    </row>
    <row r="787" ht="15.75" customHeight="1">
      <c r="A787" s="1">
        <v>2155.0</v>
      </c>
      <c r="B787" s="3">
        <v>145.0</v>
      </c>
      <c r="C787" s="7" t="s">
        <v>820</v>
      </c>
      <c r="D787" s="8" t="str">
        <f>IFERROR(__xludf.DUMMYFUNCTION("GOOGLETRANSLATE(C787, ""en"", ""pt"")"),"costa")</f>
        <v>costa</v>
      </c>
      <c r="E787" s="8" t="str">
        <f>IFERROR(__xludf.DUMMYFUNCTION("GOOGLETRANSLATE(C787, ""en"", ""es"")"),"costa")</f>
        <v>costa</v>
      </c>
      <c r="F787" s="8" t="str">
        <f>IFERROR(__xludf.DUMMYFUNCTION("GOOGLETRANSLATE(C787, ""en"", ""fr"")"),"côte")</f>
        <v>côte</v>
      </c>
      <c r="G787" s="8" t="str">
        <f>IFERROR(__xludf.DUMMYFUNCTION("GOOGLETRANSLATE(C787, ""en"", ""de"")"),"Küste")</f>
        <v>Küste</v>
      </c>
      <c r="H787" s="8" t="str">
        <f>IFERROR(__xludf.DUMMYFUNCTION("GOOGLETRANSLATE(C787, ""en"", ""ru"")"),"побережье")</f>
        <v>побережье</v>
      </c>
      <c r="I787" s="8" t="str">
        <f>IFERROR(__xludf.DUMMYFUNCTION("GOOGLETRANSLATE(C787, ""en"", ""ar"")"),"ساحل")</f>
        <v>ساحل</v>
      </c>
      <c r="J787" s="8"/>
      <c r="K787" s="7" t="str">
        <f>IFERROR(__xludf.DUMMYFUNCTION("CONCAT(REGEXREPLACE(C787,""[ ,]+"",""_""),"".mp3"")"),"coast.mp3")</f>
        <v>coast.mp3</v>
      </c>
      <c r="M787" s="4" t="s">
        <v>10</v>
      </c>
    </row>
    <row r="788" ht="15.75" customHeight="1">
      <c r="A788" s="1">
        <v>2156.0</v>
      </c>
      <c r="B788" s="3">
        <v>145.0</v>
      </c>
      <c r="C788" s="7" t="s">
        <v>821</v>
      </c>
      <c r="D788" s="8" t="str">
        <f>IFERROR(__xludf.DUMMYFUNCTION("GOOGLETRANSLATE(C788, ""en"", ""pt"")"),"costa")</f>
        <v>costa</v>
      </c>
      <c r="E788" s="8" t="str">
        <f>IFERROR(__xludf.DUMMYFUNCTION("GOOGLETRANSLATE(C788, ""en"", ""es"")"),"costa")</f>
        <v>costa</v>
      </c>
      <c r="F788" s="8" t="str">
        <f>IFERROR(__xludf.DUMMYFUNCTION("GOOGLETRANSLATE(C788, ""en"", ""fr"")"),"rive")</f>
        <v>rive</v>
      </c>
      <c r="G788" s="8" t="str">
        <f>IFERROR(__xludf.DUMMYFUNCTION("GOOGLETRANSLATE(C788, ""en"", ""de"")"),"Ufer")</f>
        <v>Ufer</v>
      </c>
      <c r="H788" s="8" t="str">
        <f>IFERROR(__xludf.DUMMYFUNCTION("GOOGLETRANSLATE(C788, ""en"", ""ru"")"),"берег")</f>
        <v>берег</v>
      </c>
      <c r="I788" s="8" t="str">
        <f>IFERROR(__xludf.DUMMYFUNCTION("GOOGLETRANSLATE(C788, ""en"", ""ar"")"),"شاطئ")</f>
        <v>شاطئ</v>
      </c>
      <c r="J788" s="8"/>
      <c r="K788" s="7" t="str">
        <f>IFERROR(__xludf.DUMMYFUNCTION("CONCAT(REGEXREPLACE(C788,""[ ,]+"",""_""),"".mp3"")"),"shore.mp3")</f>
        <v>shore.mp3</v>
      </c>
      <c r="M788" s="4" t="s">
        <v>10</v>
      </c>
    </row>
    <row r="789" ht="15.75" customHeight="1">
      <c r="A789" s="1">
        <v>2157.0</v>
      </c>
      <c r="B789" s="3">
        <v>145.0</v>
      </c>
      <c r="C789" s="7" t="s">
        <v>822</v>
      </c>
      <c r="D789" s="8" t="str">
        <f>IFERROR(__xludf.DUMMYFUNCTION("GOOGLETRANSLATE(C789, ""en"", ""pt"")"),"recife")</f>
        <v>recife</v>
      </c>
      <c r="E789" s="8" t="str">
        <f>IFERROR(__xludf.DUMMYFUNCTION("GOOGLETRANSLATE(C789, ""en"", ""es"")"),"arrecife")</f>
        <v>arrecife</v>
      </c>
      <c r="F789" s="8" t="str">
        <f>IFERROR(__xludf.DUMMYFUNCTION("GOOGLETRANSLATE(C789, ""en"", ""fr"")"),"récif")</f>
        <v>récif</v>
      </c>
      <c r="G789" s="8" t="str">
        <f>IFERROR(__xludf.DUMMYFUNCTION("GOOGLETRANSLATE(C789, ""en"", ""de"")"),"Riff")</f>
        <v>Riff</v>
      </c>
      <c r="H789" s="8" t="str">
        <f>IFERROR(__xludf.DUMMYFUNCTION("GOOGLETRANSLATE(C789, ""en"", ""ru"")"),"риф")</f>
        <v>риф</v>
      </c>
      <c r="I789" s="8" t="str">
        <f>IFERROR(__xludf.DUMMYFUNCTION("GOOGLETRANSLATE(C789, ""en"", ""ar"")"),"الشعاب المرجانية")</f>
        <v>الشعاب المرجانية</v>
      </c>
      <c r="J789" s="8"/>
      <c r="K789" s="7" t="str">
        <f>IFERROR(__xludf.DUMMYFUNCTION("CONCAT(REGEXREPLACE(C789,""[ ,]+"",""_""),"".mp3"")"),"reef.mp3")</f>
        <v>reef.mp3</v>
      </c>
      <c r="M789" s="4" t="s">
        <v>10</v>
      </c>
    </row>
    <row r="790" ht="15.75" customHeight="1">
      <c r="A790" s="1">
        <v>2158.0</v>
      </c>
      <c r="B790" s="3">
        <v>145.0</v>
      </c>
      <c r="C790" s="7" t="s">
        <v>823</v>
      </c>
      <c r="D790" s="8" t="str">
        <f>IFERROR(__xludf.DUMMYFUNCTION("GOOGLETRANSLATE(C790, ""en"", ""pt"")"),"lagoa")</f>
        <v>lagoa</v>
      </c>
      <c r="E790" s="8" t="str">
        <f>IFERROR(__xludf.DUMMYFUNCTION("GOOGLETRANSLATE(C790, ""en"", ""es"")"),"laguna")</f>
        <v>laguna</v>
      </c>
      <c r="F790" s="8" t="str">
        <f>IFERROR(__xludf.DUMMYFUNCTION("GOOGLETRANSLATE(C790, ""en"", ""fr"")"),"lagune")</f>
        <v>lagune</v>
      </c>
      <c r="G790" s="8" t="str">
        <f>IFERROR(__xludf.DUMMYFUNCTION("GOOGLETRANSLATE(C790, ""en"", ""de"")"),"Lagune")</f>
        <v>Lagune</v>
      </c>
      <c r="H790" s="8" t="str">
        <f>IFERROR(__xludf.DUMMYFUNCTION("GOOGLETRANSLATE(C790, ""en"", ""ru"")"),"лагуна")</f>
        <v>лагуна</v>
      </c>
      <c r="I790" s="8" t="str">
        <f>IFERROR(__xludf.DUMMYFUNCTION("GOOGLETRANSLATE(C790, ""en"", ""ar"")"),"بحيرة")</f>
        <v>بحيرة</v>
      </c>
      <c r="J790" s="8"/>
      <c r="K790" s="7" t="str">
        <f>IFERROR(__xludf.DUMMYFUNCTION("CONCAT(REGEXREPLACE(C790,""[ ,]+"",""_""),"".mp3"")"),"lagoon.mp3")</f>
        <v>lagoon.mp3</v>
      </c>
      <c r="M790" s="4" t="s">
        <v>10</v>
      </c>
    </row>
    <row r="791" ht="15.75" customHeight="1">
      <c r="A791" s="1">
        <v>2159.0</v>
      </c>
      <c r="B791" s="3">
        <v>145.0</v>
      </c>
      <c r="C791" s="7" t="s">
        <v>824</v>
      </c>
      <c r="D791" s="8" t="str">
        <f>IFERROR(__xludf.DUMMYFUNCTION("GOOGLETRANSLATE(C791, ""en"", ""pt"")"),"geleira")</f>
        <v>geleira</v>
      </c>
      <c r="E791" s="8" t="str">
        <f>IFERROR(__xludf.DUMMYFUNCTION("GOOGLETRANSLATE(C791, ""en"", ""es"")"),"glaciar")</f>
        <v>glaciar</v>
      </c>
      <c r="F791" s="8" t="str">
        <f>IFERROR(__xludf.DUMMYFUNCTION("GOOGLETRANSLATE(C791, ""en"", ""fr"")"),"glacier")</f>
        <v>glacier</v>
      </c>
      <c r="G791" s="8" t="str">
        <f>IFERROR(__xludf.DUMMYFUNCTION("GOOGLETRANSLATE(C791, ""en"", ""de"")"),"Gletscher")</f>
        <v>Gletscher</v>
      </c>
      <c r="H791" s="8" t="str">
        <f>IFERROR(__xludf.DUMMYFUNCTION("GOOGLETRANSLATE(C791, ""en"", ""ru"")"),"ледник")</f>
        <v>ледник</v>
      </c>
      <c r="I791" s="8" t="str">
        <f>IFERROR(__xludf.DUMMYFUNCTION("GOOGLETRANSLATE(C791, ""en"", ""ar"")"),"نهر جليدي")</f>
        <v>نهر جليدي</v>
      </c>
      <c r="J791" s="8"/>
      <c r="K791" s="7" t="str">
        <f>IFERROR(__xludf.DUMMYFUNCTION("CONCAT(REGEXREPLACE(C791,""[ ,]+"",""_""),"".mp3"")"),"glacier.mp3")</f>
        <v>glacier.mp3</v>
      </c>
      <c r="M791" s="4" t="s">
        <v>10</v>
      </c>
    </row>
    <row r="792" ht="15.75" customHeight="1">
      <c r="A792" s="1">
        <v>2160.0</v>
      </c>
      <c r="B792" s="3">
        <v>145.0</v>
      </c>
      <c r="C792" s="7" t="s">
        <v>825</v>
      </c>
      <c r="D792" s="8" t="str">
        <f>IFERROR(__xludf.DUMMYFUNCTION("GOOGLETRANSLATE(C792, ""en"", ""pt"")"),"calota polar")</f>
        <v>calota polar</v>
      </c>
      <c r="E792" s="8" t="str">
        <f>IFERROR(__xludf.DUMMYFUNCTION("GOOGLETRANSLATE(C792, ""en"", ""es"")"),"casquete polar")</f>
        <v>casquete polar</v>
      </c>
      <c r="F792" s="8" t="str">
        <f>IFERROR(__xludf.DUMMYFUNCTION("GOOGLETRANSLATE(C792, ""en"", ""fr"")"),"calotte glaciaire")</f>
        <v>calotte glaciaire</v>
      </c>
      <c r="G792" s="8" t="str">
        <f>IFERROR(__xludf.DUMMYFUNCTION("GOOGLETRANSLATE(C792, ""en"", ""de"")"),"Eiskappe")</f>
        <v>Eiskappe</v>
      </c>
      <c r="H792" s="8" t="str">
        <f>IFERROR(__xludf.DUMMYFUNCTION("GOOGLETRANSLATE(C792, ""en"", ""ru"")"),"ледяная шапка")</f>
        <v>ледяная шапка</v>
      </c>
      <c r="I792" s="8" t="str">
        <f>IFERROR(__xludf.DUMMYFUNCTION("GOOGLETRANSLATE(C792, ""en"", ""ar"")"),"الغطاء الجليدي")</f>
        <v>الغطاء الجليدي</v>
      </c>
      <c r="J792" s="8"/>
      <c r="K792" s="7" t="str">
        <f>IFERROR(__xludf.DUMMYFUNCTION("CONCAT(REGEXREPLACE(C792,""[ ,]+"",""_""),"".mp3"")"),"ice_cap.mp3")</f>
        <v>ice_cap.mp3</v>
      </c>
      <c r="M792" s="4" t="s">
        <v>10</v>
      </c>
    </row>
    <row r="793" ht="15.75" customHeight="1">
      <c r="A793" s="1">
        <v>2161.0</v>
      </c>
      <c r="B793" s="3">
        <v>145.0</v>
      </c>
      <c r="C793" s="7" t="s">
        <v>826</v>
      </c>
      <c r="D793" s="8" t="str">
        <f>IFERROR(__xludf.DUMMYFUNCTION("GOOGLETRANSLATE(C793, ""en"", ""pt"")"),"tundra")</f>
        <v>tundra</v>
      </c>
      <c r="E793" s="8" t="str">
        <f>IFERROR(__xludf.DUMMYFUNCTION("GOOGLETRANSLATE(C793, ""en"", ""es"")"),"tundra")</f>
        <v>tundra</v>
      </c>
      <c r="F793" s="8" t="str">
        <f>IFERROR(__xludf.DUMMYFUNCTION("GOOGLETRANSLATE(C793, ""en"", ""fr"")"),"toundra")</f>
        <v>toundra</v>
      </c>
      <c r="G793" s="8" t="str">
        <f>IFERROR(__xludf.DUMMYFUNCTION("GOOGLETRANSLATE(C793, ""en"", ""de"")"),"Tundra")</f>
        <v>Tundra</v>
      </c>
      <c r="H793" s="8" t="str">
        <f>IFERROR(__xludf.DUMMYFUNCTION("GOOGLETRANSLATE(C793, ""en"", ""ru"")"),"тундра")</f>
        <v>тундра</v>
      </c>
      <c r="I793" s="8" t="str">
        <f>IFERROR(__xludf.DUMMYFUNCTION("GOOGLETRANSLATE(C793, ""en"", ""ar"")"),"التندرا")</f>
        <v>التندرا</v>
      </c>
      <c r="J793" s="8"/>
      <c r="K793" s="7" t="str">
        <f>IFERROR(__xludf.DUMMYFUNCTION("CONCAT(REGEXREPLACE(C793,""[ ,]+"",""_""),"".mp3"")"),"tundra.mp3")</f>
        <v>tundra.mp3</v>
      </c>
      <c r="M793" s="4" t="s">
        <v>10</v>
      </c>
    </row>
    <row r="794" ht="15.75" customHeight="1">
      <c r="A794" s="1">
        <v>2162.0</v>
      </c>
      <c r="B794" s="3">
        <v>145.0</v>
      </c>
      <c r="C794" s="7" t="s">
        <v>827</v>
      </c>
      <c r="D794" s="8" t="str">
        <f>IFERROR(__xludf.DUMMYFUNCTION("GOOGLETRANSLATE(C794, ""en"", ""pt"")"),"região polar")</f>
        <v>região polar</v>
      </c>
      <c r="E794" s="8" t="str">
        <f>IFERROR(__xludf.DUMMYFUNCTION("GOOGLETRANSLATE(C794, ""en"", ""es"")"),"región polar")</f>
        <v>región polar</v>
      </c>
      <c r="F794" s="8" t="str">
        <f>IFERROR(__xludf.DUMMYFUNCTION("GOOGLETRANSLATE(C794, ""en"", ""fr"")"),"région polaire")</f>
        <v>région polaire</v>
      </c>
      <c r="G794" s="8" t="str">
        <f>IFERROR(__xludf.DUMMYFUNCTION("GOOGLETRANSLATE(C794, ""en"", ""de"")"),"Polarregion")</f>
        <v>Polarregion</v>
      </c>
      <c r="H794" s="8" t="str">
        <f>IFERROR(__xludf.DUMMYFUNCTION("GOOGLETRANSLATE(C794, ""en"", ""ru"")"),"полярный регион")</f>
        <v>полярный регион</v>
      </c>
      <c r="I794" s="8" t="str">
        <f>IFERROR(__xludf.DUMMYFUNCTION("GOOGLETRANSLATE(C794, ""en"", ""ar"")"),"المنطقة القطبية")</f>
        <v>المنطقة القطبية</v>
      </c>
      <c r="J794" s="8"/>
      <c r="K794" s="7" t="str">
        <f>IFERROR(__xludf.DUMMYFUNCTION("CONCAT(REGEXREPLACE(C794,""[ ,]+"",""_""),"".mp3"")"),"polar_region.mp3")</f>
        <v>polar_region.mp3</v>
      </c>
      <c r="M794" s="4" t="s">
        <v>10</v>
      </c>
    </row>
    <row r="795" ht="15.75" customHeight="1">
      <c r="A795" s="1">
        <v>2163.0</v>
      </c>
      <c r="B795" s="3">
        <v>145.0</v>
      </c>
      <c r="C795" s="7" t="s">
        <v>828</v>
      </c>
      <c r="D795" s="8" t="str">
        <f>IFERROR(__xludf.DUMMYFUNCTION("GOOGLETRANSLATE(C795, ""en"", ""pt"")"),"ártico")</f>
        <v>ártico</v>
      </c>
      <c r="E795" s="8" t="str">
        <f>IFERROR(__xludf.DUMMYFUNCTION("GOOGLETRANSLATE(C795, ""en"", ""es"")"),"Ártico")</f>
        <v>Ártico</v>
      </c>
      <c r="F795" s="8" t="str">
        <f>IFERROR(__xludf.DUMMYFUNCTION("GOOGLETRANSLATE(C795, ""en"", ""fr"")"),"Arctique")</f>
        <v>Arctique</v>
      </c>
      <c r="G795" s="8" t="str">
        <f>IFERROR(__xludf.DUMMYFUNCTION("GOOGLETRANSLATE(C795, ""en"", ""de"")"),"Arktis")</f>
        <v>Arktis</v>
      </c>
      <c r="H795" s="8" t="str">
        <f>IFERROR(__xludf.DUMMYFUNCTION("GOOGLETRANSLATE(C795, ""en"", ""ru"")"),"Арктика")</f>
        <v>Арктика</v>
      </c>
      <c r="I795" s="8" t="str">
        <f>IFERROR(__xludf.DUMMYFUNCTION("GOOGLETRANSLATE(C795, ""en"", ""ar"")"),"القطب الشمالي")</f>
        <v>القطب الشمالي</v>
      </c>
      <c r="J795" s="8"/>
      <c r="K795" s="7" t="str">
        <f>IFERROR(__xludf.DUMMYFUNCTION("CONCAT(REGEXREPLACE(C795,""[ ,]+"",""_""),"".mp3"")"),"Arctic.mp3")</f>
        <v>Arctic.mp3</v>
      </c>
      <c r="M795" s="4" t="s">
        <v>10</v>
      </c>
    </row>
    <row r="796" ht="15.75" customHeight="1">
      <c r="A796" s="1">
        <v>2164.0</v>
      </c>
      <c r="B796" s="3">
        <v>145.0</v>
      </c>
      <c r="C796" s="7" t="s">
        <v>829</v>
      </c>
      <c r="D796" s="8" t="str">
        <f>IFERROR(__xludf.DUMMYFUNCTION("GOOGLETRANSLATE(C796, ""en"", ""pt"")"),"Antártica")</f>
        <v>Antártica</v>
      </c>
      <c r="E796" s="8" t="str">
        <f>IFERROR(__xludf.DUMMYFUNCTION("GOOGLETRANSLATE(C796, ""en"", ""es"")"),"antártico")</f>
        <v>antártico</v>
      </c>
      <c r="F796" s="8" t="str">
        <f>IFERROR(__xludf.DUMMYFUNCTION("GOOGLETRANSLATE(C796, ""en"", ""fr"")"),"antarctique")</f>
        <v>antarctique</v>
      </c>
      <c r="G796" s="8" t="str">
        <f>IFERROR(__xludf.DUMMYFUNCTION("GOOGLETRANSLATE(C796, ""en"", ""de"")"),"Antarktis")</f>
        <v>Antarktis</v>
      </c>
      <c r="H796" s="8" t="str">
        <f>IFERROR(__xludf.DUMMYFUNCTION("GOOGLETRANSLATE(C796, ""en"", ""ru"")"),"Антарктида")</f>
        <v>Антарктида</v>
      </c>
      <c r="I796" s="8" t="str">
        <f>IFERROR(__xludf.DUMMYFUNCTION("GOOGLETRANSLATE(C796, ""en"", ""ar"")"),"أنتاركتيكا")</f>
        <v>أنتاركتيكا</v>
      </c>
      <c r="J796" s="8"/>
      <c r="K796" s="7" t="str">
        <f>IFERROR(__xludf.DUMMYFUNCTION("CONCAT(REGEXREPLACE(C796,""[ ,]+"",""_""),"".mp3"")"),"Antarctic.mp3")</f>
        <v>Antarctic.mp3</v>
      </c>
      <c r="M796" s="4" t="s">
        <v>10</v>
      </c>
    </row>
    <row r="797" ht="15.75" customHeight="1">
      <c r="A797" s="1">
        <v>2165.0</v>
      </c>
      <c r="B797" s="3">
        <v>145.0</v>
      </c>
      <c r="C797" s="7" t="s">
        <v>830</v>
      </c>
      <c r="D797" s="8" t="str">
        <f>IFERROR(__xludf.DUMMYFUNCTION("GOOGLETRANSLATE(C797, ""en"", ""pt"")"),"país")</f>
        <v>país</v>
      </c>
      <c r="E797" s="8" t="str">
        <f>IFERROR(__xludf.DUMMYFUNCTION("GOOGLETRANSLATE(C797, ""en"", ""es"")"),"país")</f>
        <v>país</v>
      </c>
      <c r="F797" s="8" t="str">
        <f>IFERROR(__xludf.DUMMYFUNCTION("GOOGLETRANSLATE(C797, ""en"", ""fr"")"),"pays")</f>
        <v>pays</v>
      </c>
      <c r="G797" s="8" t="str">
        <f>IFERROR(__xludf.DUMMYFUNCTION("GOOGLETRANSLATE(C797, ""en"", ""de"")"),"Land")</f>
        <v>Land</v>
      </c>
      <c r="H797" s="8" t="str">
        <f>IFERROR(__xludf.DUMMYFUNCTION("GOOGLETRANSLATE(C797, ""en"", ""ru"")"),"страна")</f>
        <v>страна</v>
      </c>
      <c r="I797" s="8" t="str">
        <f>IFERROR(__xludf.DUMMYFUNCTION("GOOGLETRANSLATE(C797, ""en"", ""ar"")"),"دولة")</f>
        <v>دولة</v>
      </c>
      <c r="J797" s="8"/>
      <c r="K797" s="7" t="str">
        <f>IFERROR(__xludf.DUMMYFUNCTION("CONCAT(REGEXREPLACE(C797,""[ ,]+"",""_""),"".mp3"")"),"country.mp3")</f>
        <v>country.mp3</v>
      </c>
      <c r="M797" s="4" t="s">
        <v>10</v>
      </c>
    </row>
    <row r="798" ht="15.75" customHeight="1">
      <c r="A798" s="1">
        <v>2166.0</v>
      </c>
      <c r="B798" s="3">
        <v>145.0</v>
      </c>
      <c r="C798" s="7" t="s">
        <v>831</v>
      </c>
      <c r="D798" s="8" t="str">
        <f>IFERROR(__xludf.DUMMYFUNCTION("GOOGLETRANSLATE(C798, ""en"", ""pt"")"),"nação")</f>
        <v>nação</v>
      </c>
      <c r="E798" s="8" t="str">
        <f>IFERROR(__xludf.DUMMYFUNCTION("GOOGLETRANSLATE(C798, ""en"", ""es"")"),"nación")</f>
        <v>nación</v>
      </c>
      <c r="F798" s="8" t="str">
        <f>IFERROR(__xludf.DUMMYFUNCTION("GOOGLETRANSLATE(C798, ""en"", ""fr"")"),"nation")</f>
        <v>nation</v>
      </c>
      <c r="G798" s="8" t="str">
        <f>IFERROR(__xludf.DUMMYFUNCTION("GOOGLETRANSLATE(C798, ""en"", ""de"")"),"Nation")</f>
        <v>Nation</v>
      </c>
      <c r="H798" s="8" t="str">
        <f>IFERROR(__xludf.DUMMYFUNCTION("GOOGLETRANSLATE(C798, ""en"", ""ru"")"),"нация")</f>
        <v>нация</v>
      </c>
      <c r="I798" s="8" t="str">
        <f>IFERROR(__xludf.DUMMYFUNCTION("GOOGLETRANSLATE(C798, ""en"", ""ar"")"),"أمة")</f>
        <v>أمة</v>
      </c>
      <c r="J798" s="8"/>
      <c r="K798" s="7" t="str">
        <f>IFERROR(__xludf.DUMMYFUNCTION("CONCAT(REGEXREPLACE(C798,""[ ,]+"",""_""),"".mp3"")"),"nation.mp3")</f>
        <v>nation.mp3</v>
      </c>
      <c r="M798" s="4" t="s">
        <v>10</v>
      </c>
    </row>
    <row r="799" ht="15.75" customHeight="1">
      <c r="A799" s="1">
        <v>2167.0</v>
      </c>
      <c r="B799" s="3">
        <v>145.0</v>
      </c>
      <c r="C799" s="7" t="s">
        <v>832</v>
      </c>
      <c r="D799" s="8" t="str">
        <f>IFERROR(__xludf.DUMMYFUNCTION("GOOGLETRANSLATE(C799, ""en"", ""pt"")"),"estado")</f>
        <v>estado</v>
      </c>
      <c r="E799" s="8" t="str">
        <f>IFERROR(__xludf.DUMMYFUNCTION("GOOGLETRANSLATE(C799, ""en"", ""es"")"),"estado")</f>
        <v>estado</v>
      </c>
      <c r="F799" s="8" t="str">
        <f>IFERROR(__xludf.DUMMYFUNCTION("GOOGLETRANSLATE(C799, ""en"", ""fr"")"),"État")</f>
        <v>État</v>
      </c>
      <c r="G799" s="8" t="str">
        <f>IFERROR(__xludf.DUMMYFUNCTION("GOOGLETRANSLATE(C799, ""en"", ""de"")"),"Zustand")</f>
        <v>Zustand</v>
      </c>
      <c r="H799" s="8" t="str">
        <f>IFERROR(__xludf.DUMMYFUNCTION("GOOGLETRANSLATE(C799, ""en"", ""ru"")"),"состояние")</f>
        <v>состояние</v>
      </c>
      <c r="I799" s="8" t="str">
        <f>IFERROR(__xludf.DUMMYFUNCTION("GOOGLETRANSLATE(C799, ""en"", ""ar"")"),"ولاية")</f>
        <v>ولاية</v>
      </c>
      <c r="J799" s="8"/>
      <c r="K799" s="7" t="str">
        <f>IFERROR(__xludf.DUMMYFUNCTION("CONCAT(REGEXREPLACE(C799,""[ ,]+"",""_""),"".mp3"")"),"state.mp3")</f>
        <v>state.mp3</v>
      </c>
      <c r="M799" s="4" t="s">
        <v>10</v>
      </c>
    </row>
    <row r="800" ht="15.75" customHeight="1">
      <c r="A800" s="1">
        <v>2168.0</v>
      </c>
      <c r="B800" s="3">
        <v>145.0</v>
      </c>
      <c r="C800" s="7" t="s">
        <v>833</v>
      </c>
      <c r="D800" s="8" t="str">
        <f>IFERROR(__xludf.DUMMYFUNCTION("GOOGLETRANSLATE(C800, ""en"", ""pt"")"),"província")</f>
        <v>província</v>
      </c>
      <c r="E800" s="8" t="str">
        <f>IFERROR(__xludf.DUMMYFUNCTION("GOOGLETRANSLATE(C800, ""en"", ""es"")"),"provincia")</f>
        <v>provincia</v>
      </c>
      <c r="F800" s="8" t="str">
        <f>IFERROR(__xludf.DUMMYFUNCTION("GOOGLETRANSLATE(C800, ""en"", ""fr"")"),"province")</f>
        <v>province</v>
      </c>
      <c r="G800" s="8" t="str">
        <f>IFERROR(__xludf.DUMMYFUNCTION("GOOGLETRANSLATE(C800, ""en"", ""de"")"),"Provinz")</f>
        <v>Provinz</v>
      </c>
      <c r="H800" s="8" t="str">
        <f>IFERROR(__xludf.DUMMYFUNCTION("GOOGLETRANSLATE(C800, ""en"", ""ru"")"),"провинция")</f>
        <v>провинция</v>
      </c>
      <c r="I800" s="8" t="str">
        <f>IFERROR(__xludf.DUMMYFUNCTION("GOOGLETRANSLATE(C800, ""en"", ""ar"")"),"مقاطعة")</f>
        <v>مقاطعة</v>
      </c>
      <c r="J800" s="8"/>
      <c r="K800" s="7" t="str">
        <f>IFERROR(__xludf.DUMMYFUNCTION("CONCAT(REGEXREPLACE(C800,""[ ,]+"",""_""),"".mp3"")"),"province.mp3")</f>
        <v>province.mp3</v>
      </c>
      <c r="M800" s="4" t="s">
        <v>10</v>
      </c>
    </row>
    <row r="801" ht="15.75" customHeight="1">
      <c r="A801" s="1">
        <v>2169.0</v>
      </c>
      <c r="B801" s="3">
        <v>145.0</v>
      </c>
      <c r="C801" s="7" t="s">
        <v>834</v>
      </c>
      <c r="D801" s="8" t="str">
        <f>IFERROR(__xludf.DUMMYFUNCTION("GOOGLETRANSLATE(C801, ""en"", ""pt"")"),"região")</f>
        <v>região</v>
      </c>
      <c r="E801" s="8" t="str">
        <f>IFERROR(__xludf.DUMMYFUNCTION("GOOGLETRANSLATE(C801, ""en"", ""es"")"),"región")</f>
        <v>región</v>
      </c>
      <c r="F801" s="8" t="str">
        <f>IFERROR(__xludf.DUMMYFUNCTION("GOOGLETRANSLATE(C801, ""en"", ""fr"")"),"région")</f>
        <v>région</v>
      </c>
      <c r="G801" s="8" t="str">
        <f>IFERROR(__xludf.DUMMYFUNCTION("GOOGLETRANSLATE(C801, ""en"", ""de"")"),"Region")</f>
        <v>Region</v>
      </c>
      <c r="H801" s="8" t="str">
        <f>IFERROR(__xludf.DUMMYFUNCTION("GOOGLETRANSLATE(C801, ""en"", ""ru"")"),"область")</f>
        <v>область</v>
      </c>
      <c r="I801" s="8" t="str">
        <f>IFERROR(__xludf.DUMMYFUNCTION("GOOGLETRANSLATE(C801, ""en"", ""ar"")"),"منطقة")</f>
        <v>منطقة</v>
      </c>
      <c r="J801" s="8"/>
      <c r="K801" s="7" t="str">
        <f>IFERROR(__xludf.DUMMYFUNCTION("CONCAT(REGEXREPLACE(C801,""[ ,]+"",""_""),"".mp3"")"),"region.mp3")</f>
        <v>region.mp3</v>
      </c>
      <c r="M801" s="4" t="s">
        <v>10</v>
      </c>
    </row>
    <row r="802" ht="15.75" customHeight="1">
      <c r="A802" s="1">
        <v>2170.0</v>
      </c>
      <c r="B802" s="3">
        <v>145.0</v>
      </c>
      <c r="C802" s="7" t="s">
        <v>835</v>
      </c>
      <c r="D802" s="8" t="str">
        <f>IFERROR(__xludf.DUMMYFUNCTION("GOOGLETRANSLATE(C802, ""en"", ""pt"")"),"território")</f>
        <v>território</v>
      </c>
      <c r="E802" s="8" t="str">
        <f>IFERROR(__xludf.DUMMYFUNCTION("GOOGLETRANSLATE(C802, ""en"", ""es"")"),"territorio")</f>
        <v>territorio</v>
      </c>
      <c r="F802" s="8" t="str">
        <f>IFERROR(__xludf.DUMMYFUNCTION("GOOGLETRANSLATE(C802, ""en"", ""fr"")"),"territoire")</f>
        <v>territoire</v>
      </c>
      <c r="G802" s="8" t="str">
        <f>IFERROR(__xludf.DUMMYFUNCTION("GOOGLETRANSLATE(C802, ""en"", ""de"")"),"Gebiet")</f>
        <v>Gebiet</v>
      </c>
      <c r="H802" s="8" t="str">
        <f>IFERROR(__xludf.DUMMYFUNCTION("GOOGLETRANSLATE(C802, ""en"", ""ru"")"),"территория")</f>
        <v>территория</v>
      </c>
      <c r="I802" s="8" t="str">
        <f>IFERROR(__xludf.DUMMYFUNCTION("GOOGLETRANSLATE(C802, ""en"", ""ar"")"),"إِقلِيم")</f>
        <v>إِقلِيم</v>
      </c>
      <c r="J802" s="8"/>
      <c r="K802" s="7" t="str">
        <f>IFERROR(__xludf.DUMMYFUNCTION("CONCAT(REGEXREPLACE(C802,""[ ,]+"",""_""),"".mp3"")"),"territory.mp3")</f>
        <v>territory.mp3</v>
      </c>
      <c r="M802" s="4" t="s">
        <v>10</v>
      </c>
    </row>
    <row r="803" ht="15.75" customHeight="1">
      <c r="A803" s="1">
        <v>2171.0</v>
      </c>
      <c r="B803" s="3">
        <v>145.0</v>
      </c>
      <c r="C803" s="7" t="s">
        <v>836</v>
      </c>
      <c r="D803" s="8" t="str">
        <f>IFERROR(__xludf.DUMMYFUNCTION("GOOGLETRANSLATE(C803, ""en"", ""pt"")"),"capital")</f>
        <v>capital</v>
      </c>
      <c r="E803" s="8" t="str">
        <f>IFERROR(__xludf.DUMMYFUNCTION("GOOGLETRANSLATE(C803, ""en"", ""es"")"),"capital")</f>
        <v>capital</v>
      </c>
      <c r="F803" s="8" t="str">
        <f>IFERROR(__xludf.DUMMYFUNCTION("GOOGLETRANSLATE(C803, ""en"", ""fr"")"),"capital")</f>
        <v>capital</v>
      </c>
      <c r="G803" s="8" t="str">
        <f>IFERROR(__xludf.DUMMYFUNCTION("GOOGLETRANSLATE(C803, ""en"", ""de"")"),"Hauptstadt")</f>
        <v>Hauptstadt</v>
      </c>
      <c r="H803" s="8" t="str">
        <f>IFERROR(__xludf.DUMMYFUNCTION("GOOGLETRANSLATE(C803, ""en"", ""ru"")"),"капитал")</f>
        <v>капитал</v>
      </c>
      <c r="I803" s="8" t="str">
        <f>IFERROR(__xludf.DUMMYFUNCTION("GOOGLETRANSLATE(C803, ""en"", ""ar"")"),"عاصمة")</f>
        <v>عاصمة</v>
      </c>
      <c r="J803" s="8"/>
      <c r="K803" s="7" t="str">
        <f>IFERROR(__xludf.DUMMYFUNCTION("CONCAT(REGEXREPLACE(C803,""[ ,]+"",""_""),"".mp3"")"),"capital.mp3")</f>
        <v>capital.mp3</v>
      </c>
      <c r="M803" s="4" t="s">
        <v>10</v>
      </c>
    </row>
    <row r="804" ht="15.75" customHeight="1">
      <c r="A804" s="1">
        <v>2172.0</v>
      </c>
      <c r="B804" s="3">
        <v>145.0</v>
      </c>
      <c r="C804" s="7" t="s">
        <v>837</v>
      </c>
      <c r="D804" s="8" t="str">
        <f>IFERROR(__xludf.DUMMYFUNCTION("GOOGLETRANSLATE(C804, ""en"", ""pt"")"),"fronteira")</f>
        <v>fronteira</v>
      </c>
      <c r="E804" s="8" t="str">
        <f>IFERROR(__xludf.DUMMYFUNCTION("GOOGLETRANSLATE(C804, ""en"", ""es"")"),"borde")</f>
        <v>borde</v>
      </c>
      <c r="F804" s="8" t="str">
        <f>IFERROR(__xludf.DUMMYFUNCTION("GOOGLETRANSLATE(C804, ""en"", ""fr"")"),"frontière")</f>
        <v>frontière</v>
      </c>
      <c r="G804" s="8" t="str">
        <f>IFERROR(__xludf.DUMMYFUNCTION("GOOGLETRANSLATE(C804, ""en"", ""de"")"),"Grenze")</f>
        <v>Grenze</v>
      </c>
      <c r="H804" s="8" t="str">
        <f>IFERROR(__xludf.DUMMYFUNCTION("GOOGLETRANSLATE(C804, ""en"", ""ru"")"),"граница")</f>
        <v>граница</v>
      </c>
      <c r="I804" s="8" t="str">
        <f>IFERROR(__xludf.DUMMYFUNCTION("GOOGLETRANSLATE(C804, ""en"", ""ar"")"),"حدود")</f>
        <v>حدود</v>
      </c>
      <c r="J804" s="8"/>
      <c r="K804" s="7" t="str">
        <f>IFERROR(__xludf.DUMMYFUNCTION("CONCAT(REGEXREPLACE(C804,""[ ,]+"",""_""),"".mp3"")"),"border.mp3")</f>
        <v>border.mp3</v>
      </c>
      <c r="M804" s="4" t="s">
        <v>10</v>
      </c>
    </row>
    <row r="805" ht="15.75" customHeight="1">
      <c r="A805" s="1">
        <v>2173.0</v>
      </c>
      <c r="B805" s="3">
        <v>145.0</v>
      </c>
      <c r="C805" s="7" t="s">
        <v>838</v>
      </c>
      <c r="D805" s="8" t="str">
        <f>IFERROR(__xludf.DUMMYFUNCTION("GOOGLETRANSLATE(C805, ""en"", ""pt"")"),"continente")</f>
        <v>continente</v>
      </c>
      <c r="E805" s="8" t="str">
        <f>IFERROR(__xludf.DUMMYFUNCTION("GOOGLETRANSLATE(C805, ""en"", ""es"")"),"continente")</f>
        <v>continente</v>
      </c>
      <c r="F805" s="8" t="str">
        <f>IFERROR(__xludf.DUMMYFUNCTION("GOOGLETRANSLATE(C805, ""en"", ""fr"")"),"continent")</f>
        <v>continent</v>
      </c>
      <c r="G805" s="8" t="str">
        <f>IFERROR(__xludf.DUMMYFUNCTION("GOOGLETRANSLATE(C805, ""en"", ""de"")"),"Kontinent")</f>
        <v>Kontinent</v>
      </c>
      <c r="H805" s="8" t="str">
        <f>IFERROR(__xludf.DUMMYFUNCTION("GOOGLETRANSLATE(C805, ""en"", ""ru"")"),"континент")</f>
        <v>континент</v>
      </c>
      <c r="I805" s="8" t="str">
        <f>IFERROR(__xludf.DUMMYFUNCTION("GOOGLETRANSLATE(C805, ""en"", ""ar"")"),"قارة")</f>
        <v>قارة</v>
      </c>
      <c r="J805" s="8"/>
      <c r="K805" s="7" t="str">
        <f>IFERROR(__xludf.DUMMYFUNCTION("CONCAT(REGEXREPLACE(C805,""[ ,]+"",""_""),"".mp3"")"),"continent.mp3")</f>
        <v>continent.mp3</v>
      </c>
      <c r="M805" s="4" t="s">
        <v>10</v>
      </c>
    </row>
    <row r="806" ht="15.75" customHeight="1">
      <c r="A806" s="1">
        <v>2174.0</v>
      </c>
      <c r="B806" s="3">
        <v>145.0</v>
      </c>
      <c r="C806" s="7" t="s">
        <v>839</v>
      </c>
      <c r="D806" s="8" t="str">
        <f>IFERROR(__xludf.DUMMYFUNCTION("GOOGLETRANSLATE(C806, ""en"", ""pt"")"),"fazenda")</f>
        <v>fazenda</v>
      </c>
      <c r="E806" s="8" t="str">
        <f>IFERROR(__xludf.DUMMYFUNCTION("GOOGLETRANSLATE(C806, ""en"", ""es"")"),"granja")</f>
        <v>granja</v>
      </c>
      <c r="F806" s="8" t="str">
        <f>IFERROR(__xludf.DUMMYFUNCTION("GOOGLETRANSLATE(C806, ""en"", ""fr"")"),"ferme")</f>
        <v>ferme</v>
      </c>
      <c r="G806" s="8" t="str">
        <f>IFERROR(__xludf.DUMMYFUNCTION("GOOGLETRANSLATE(C806, ""en"", ""de"")"),"Bauernhof")</f>
        <v>Bauernhof</v>
      </c>
      <c r="H806" s="8" t="str">
        <f>IFERROR(__xludf.DUMMYFUNCTION("GOOGLETRANSLATE(C806, ""en"", ""ru"")"),"ферма")</f>
        <v>ферма</v>
      </c>
      <c r="I806" s="8" t="str">
        <f>IFERROR(__xludf.DUMMYFUNCTION("GOOGLETRANSLATE(C806, ""en"", ""ar"")"),"مزرعة")</f>
        <v>مزرعة</v>
      </c>
      <c r="J806" s="8"/>
      <c r="K806" s="7" t="str">
        <f>IFERROR(__xludf.DUMMYFUNCTION("CONCAT(REGEXREPLACE(C806,""[ ,]+"",""_""),"".mp3"")"),"farm.mp3")</f>
        <v>farm.mp3</v>
      </c>
      <c r="M806" s="4" t="s">
        <v>10</v>
      </c>
    </row>
    <row r="807" ht="15.75" customHeight="1">
      <c r="A807" s="1">
        <v>2175.0</v>
      </c>
      <c r="B807" s="3">
        <v>145.0</v>
      </c>
      <c r="C807" s="7" t="s">
        <v>840</v>
      </c>
      <c r="D807" s="8" t="str">
        <f>IFERROR(__xludf.DUMMYFUNCTION("GOOGLETRANSLATE(C807, ""en"", ""pt"")"),"rancho")</f>
        <v>rancho</v>
      </c>
      <c r="E807" s="8" t="str">
        <f>IFERROR(__xludf.DUMMYFUNCTION("GOOGLETRANSLATE(C807, ""en"", ""es"")"),"rancho")</f>
        <v>rancho</v>
      </c>
      <c r="F807" s="8" t="str">
        <f>IFERROR(__xludf.DUMMYFUNCTION("GOOGLETRANSLATE(C807, ""en"", ""fr"")"),"ranch")</f>
        <v>ranch</v>
      </c>
      <c r="G807" s="8" t="str">
        <f>IFERROR(__xludf.DUMMYFUNCTION("GOOGLETRANSLATE(C807, ""en"", ""de"")"),"Ranch")</f>
        <v>Ranch</v>
      </c>
      <c r="H807" s="8" t="str">
        <f>IFERROR(__xludf.DUMMYFUNCTION("GOOGLETRANSLATE(C807, ""en"", ""ru"")"),"ранчо")</f>
        <v>ранчо</v>
      </c>
      <c r="I807" s="8" t="str">
        <f>IFERROR(__xludf.DUMMYFUNCTION("GOOGLETRANSLATE(C807, ""en"", ""ar"")"),"مزرعة")</f>
        <v>مزرعة</v>
      </c>
      <c r="J807" s="8"/>
      <c r="K807" s="7" t="str">
        <f>IFERROR(__xludf.DUMMYFUNCTION("CONCAT(REGEXREPLACE(C807,""[ ,]+"",""_""),"".mp3"")"),"ranch.mp3")</f>
        <v>ranch.mp3</v>
      </c>
      <c r="M807" s="4" t="s">
        <v>10</v>
      </c>
    </row>
    <row r="808" ht="15.75" customHeight="1">
      <c r="A808" s="1">
        <v>2176.0</v>
      </c>
      <c r="B808" s="3">
        <v>145.0</v>
      </c>
      <c r="C808" s="7" t="s">
        <v>841</v>
      </c>
      <c r="D808" s="8" t="str">
        <f>IFERROR(__xludf.DUMMYFUNCTION("GOOGLETRANSLATE(C808, ""en"", ""pt"")"),"campo")</f>
        <v>campo</v>
      </c>
      <c r="E808" s="8" t="str">
        <f>IFERROR(__xludf.DUMMYFUNCTION("GOOGLETRANSLATE(C808, ""en"", ""es"")"),"campo")</f>
        <v>campo</v>
      </c>
      <c r="F808" s="8" t="str">
        <f>IFERROR(__xludf.DUMMYFUNCTION("GOOGLETRANSLATE(C808, ""en"", ""fr"")"),"champ")</f>
        <v>champ</v>
      </c>
      <c r="G808" s="8" t="str">
        <f>IFERROR(__xludf.DUMMYFUNCTION("GOOGLETRANSLATE(C808, ""en"", ""de"")"),"Feld")</f>
        <v>Feld</v>
      </c>
      <c r="H808" s="8" t="str">
        <f>IFERROR(__xludf.DUMMYFUNCTION("GOOGLETRANSLATE(C808, ""en"", ""ru"")"),"поле")</f>
        <v>поле</v>
      </c>
      <c r="I808" s="8" t="str">
        <f>IFERROR(__xludf.DUMMYFUNCTION("GOOGLETRANSLATE(C808, ""en"", ""ar"")"),"مجال")</f>
        <v>مجال</v>
      </c>
      <c r="J808" s="8"/>
      <c r="K808" s="7" t="str">
        <f>IFERROR(__xludf.DUMMYFUNCTION("CONCAT(REGEXREPLACE(C808,""[ ,]+"",""_""),"".mp3"")"),"field.mp3")</f>
        <v>field.mp3</v>
      </c>
      <c r="M808" s="4" t="s">
        <v>10</v>
      </c>
    </row>
    <row r="809" ht="15.75" customHeight="1">
      <c r="A809" s="1">
        <v>2177.0</v>
      </c>
      <c r="B809" s="3">
        <v>145.0</v>
      </c>
      <c r="C809" s="7" t="s">
        <v>842</v>
      </c>
      <c r="D809" s="8" t="str">
        <f>IFERROR(__xludf.DUMMYFUNCTION("GOOGLETRANSLATE(C809, ""en"", ""pt"")"),"pasto")</f>
        <v>pasto</v>
      </c>
      <c r="E809" s="8" t="str">
        <f>IFERROR(__xludf.DUMMYFUNCTION("GOOGLETRANSLATE(C809, ""en"", ""es"")"),"pastar")</f>
        <v>pastar</v>
      </c>
      <c r="F809" s="8" t="str">
        <f>IFERROR(__xludf.DUMMYFUNCTION("GOOGLETRANSLATE(C809, ""en"", ""fr"")"),"pâturage")</f>
        <v>pâturage</v>
      </c>
      <c r="G809" s="8" t="str">
        <f>IFERROR(__xludf.DUMMYFUNCTION("GOOGLETRANSLATE(C809, ""en"", ""de"")"),"Weide")</f>
        <v>Weide</v>
      </c>
      <c r="H809" s="8" t="str">
        <f>IFERROR(__xludf.DUMMYFUNCTION("GOOGLETRANSLATE(C809, ""en"", ""ru"")"),"пастбище")</f>
        <v>пастбище</v>
      </c>
      <c r="I809" s="8" t="str">
        <f>IFERROR(__xludf.DUMMYFUNCTION("GOOGLETRANSLATE(C809, ""en"", ""ar"")"),"مرعى")</f>
        <v>مرعى</v>
      </c>
      <c r="J809" s="8"/>
      <c r="K809" s="7" t="str">
        <f>IFERROR(__xludf.DUMMYFUNCTION("CONCAT(REGEXREPLACE(C809,""[ ,]+"",""_""),"".mp3"")"),"pasture.mp3")</f>
        <v>pasture.mp3</v>
      </c>
      <c r="M809" s="4" t="s">
        <v>10</v>
      </c>
    </row>
    <row r="810" ht="15.75" customHeight="1">
      <c r="A810" s="1">
        <v>2178.0</v>
      </c>
      <c r="B810" s="3">
        <v>145.0</v>
      </c>
      <c r="C810" s="7" t="s">
        <v>843</v>
      </c>
      <c r="D810" s="8" t="str">
        <f>IFERROR(__xludf.DUMMYFUNCTION("GOOGLETRANSLATE(C810, ""en"", ""pt"")"),"pomar")</f>
        <v>pomar</v>
      </c>
      <c r="E810" s="8" t="str">
        <f>IFERROR(__xludf.DUMMYFUNCTION("GOOGLETRANSLATE(C810, ""en"", ""es"")"),"huerta")</f>
        <v>huerta</v>
      </c>
      <c r="F810" s="8" t="str">
        <f>IFERROR(__xludf.DUMMYFUNCTION("GOOGLETRANSLATE(C810, ""en"", ""fr"")"),"verger")</f>
        <v>verger</v>
      </c>
      <c r="G810" s="8" t="str">
        <f>IFERROR(__xludf.DUMMYFUNCTION("GOOGLETRANSLATE(C810, ""en"", ""de"")"),"Obstgarten")</f>
        <v>Obstgarten</v>
      </c>
      <c r="H810" s="8" t="str">
        <f>IFERROR(__xludf.DUMMYFUNCTION("GOOGLETRANSLATE(C810, ""en"", ""ru"")"),"фруктовый сад")</f>
        <v>фруктовый сад</v>
      </c>
      <c r="I810" s="8" t="str">
        <f>IFERROR(__xludf.DUMMYFUNCTION("GOOGLETRANSLATE(C810, ""en"", ""ar"")"),"بستان")</f>
        <v>بستان</v>
      </c>
      <c r="J810" s="8"/>
      <c r="K810" s="7" t="str">
        <f>IFERROR(__xludf.DUMMYFUNCTION("CONCAT(REGEXREPLACE(C810,""[ ,]+"",""_""),"".mp3"")"),"orchard.mp3")</f>
        <v>orchard.mp3</v>
      </c>
      <c r="M810" s="4" t="s">
        <v>10</v>
      </c>
    </row>
    <row r="811" ht="15.75" customHeight="1">
      <c r="A811" s="1">
        <v>2179.0</v>
      </c>
      <c r="B811" s="3">
        <v>145.0</v>
      </c>
      <c r="C811" s="7" t="s">
        <v>844</v>
      </c>
      <c r="D811" s="8" t="str">
        <f>IFERROR(__xludf.DUMMYFUNCTION("GOOGLETRANSLATE(C811, ""en"", ""pt"")"),"vinhedo")</f>
        <v>vinhedo</v>
      </c>
      <c r="E811" s="8" t="str">
        <f>IFERROR(__xludf.DUMMYFUNCTION("GOOGLETRANSLATE(C811, ""en"", ""es"")"),"viñedo")</f>
        <v>viñedo</v>
      </c>
      <c r="F811" s="8" t="str">
        <f>IFERROR(__xludf.DUMMYFUNCTION("GOOGLETRANSLATE(C811, ""en"", ""fr"")"),"vignoble")</f>
        <v>vignoble</v>
      </c>
      <c r="G811" s="8" t="str">
        <f>IFERROR(__xludf.DUMMYFUNCTION("GOOGLETRANSLATE(C811, ""en"", ""de"")"),"Weinberg")</f>
        <v>Weinberg</v>
      </c>
      <c r="H811" s="8" t="str">
        <f>IFERROR(__xludf.DUMMYFUNCTION("GOOGLETRANSLATE(C811, ""en"", ""ru"")"),"виноградник")</f>
        <v>виноградник</v>
      </c>
      <c r="I811" s="8" t="str">
        <f>IFERROR(__xludf.DUMMYFUNCTION("GOOGLETRANSLATE(C811, ""en"", ""ar"")"),"كرم العنب")</f>
        <v>كرم العنب</v>
      </c>
      <c r="J811" s="8"/>
      <c r="K811" s="7" t="str">
        <f>IFERROR(__xludf.DUMMYFUNCTION("CONCAT(REGEXREPLACE(C811,""[ ,]+"",""_""),"".mp3"")"),"vineyard.mp3")</f>
        <v>vineyard.mp3</v>
      </c>
      <c r="M811" s="4" t="s">
        <v>10</v>
      </c>
    </row>
    <row r="812" ht="15.75" customHeight="1">
      <c r="A812" s="1">
        <v>2180.0</v>
      </c>
      <c r="B812" s="3">
        <v>145.0</v>
      </c>
      <c r="C812" s="7" t="s">
        <v>845</v>
      </c>
      <c r="D812" s="8" t="str">
        <f>IFERROR(__xludf.DUMMYFUNCTION("GOOGLETRANSLATE(C812, ""en"", ""pt"")"),"celeiro")</f>
        <v>celeiro</v>
      </c>
      <c r="E812" s="8" t="str">
        <f>IFERROR(__xludf.DUMMYFUNCTION("GOOGLETRANSLATE(C812, ""en"", ""es"")"),"granero")</f>
        <v>granero</v>
      </c>
      <c r="F812" s="8" t="str">
        <f>IFERROR(__xludf.DUMMYFUNCTION("GOOGLETRANSLATE(C812, ""en"", ""fr"")"),"grange")</f>
        <v>grange</v>
      </c>
      <c r="G812" s="8" t="str">
        <f>IFERROR(__xludf.DUMMYFUNCTION("GOOGLETRANSLATE(C812, ""en"", ""de"")"),"Scheune")</f>
        <v>Scheune</v>
      </c>
      <c r="H812" s="8" t="str">
        <f>IFERROR(__xludf.DUMMYFUNCTION("GOOGLETRANSLATE(C812, ""en"", ""ru"")"),"сарай")</f>
        <v>сарай</v>
      </c>
      <c r="I812" s="8" t="str">
        <f>IFERROR(__xludf.DUMMYFUNCTION("GOOGLETRANSLATE(C812, ""en"", ""ar"")"),"حظيرة")</f>
        <v>حظيرة</v>
      </c>
      <c r="J812" s="8"/>
      <c r="K812" s="7" t="str">
        <f>IFERROR(__xludf.DUMMYFUNCTION("CONCAT(REGEXREPLACE(C812,""[ ,]+"",""_""),"".mp3"")"),"barn.mp3")</f>
        <v>barn.mp3</v>
      </c>
      <c r="M812" s="4" t="s">
        <v>10</v>
      </c>
    </row>
    <row r="813" ht="15.75" customHeight="1">
      <c r="A813" s="1">
        <v>2181.0</v>
      </c>
      <c r="B813" s="3">
        <v>145.0</v>
      </c>
      <c r="C813" s="7" t="s">
        <v>846</v>
      </c>
      <c r="D813" s="8" t="str">
        <f>IFERROR(__xludf.DUMMYFUNCTION("GOOGLETRANSLATE(C813, ""en"", ""pt"")"),"estável")</f>
        <v>estável</v>
      </c>
      <c r="E813" s="8" t="str">
        <f>IFERROR(__xludf.DUMMYFUNCTION("GOOGLETRANSLATE(C813, ""en"", ""es"")"),"estable")</f>
        <v>estable</v>
      </c>
      <c r="F813" s="8" t="str">
        <f>IFERROR(__xludf.DUMMYFUNCTION("GOOGLETRANSLATE(C813, ""en"", ""fr"")"),"écurie")</f>
        <v>écurie</v>
      </c>
      <c r="G813" s="8" t="str">
        <f>IFERROR(__xludf.DUMMYFUNCTION("GOOGLETRANSLATE(C813, ""en"", ""de"")"),"stabil")</f>
        <v>stabil</v>
      </c>
      <c r="H813" s="8" t="str">
        <f>IFERROR(__xludf.DUMMYFUNCTION("GOOGLETRANSLATE(C813, ""en"", ""ru"")"),"стабильный")</f>
        <v>стабильный</v>
      </c>
      <c r="I813" s="8" t="str">
        <f>IFERROR(__xludf.DUMMYFUNCTION("GOOGLETRANSLATE(C813, ""en"", ""ar"")"),"مستقر")</f>
        <v>مستقر</v>
      </c>
      <c r="J813" s="8"/>
      <c r="K813" s="7" t="str">
        <f>IFERROR(__xludf.DUMMYFUNCTION("CONCAT(REGEXREPLACE(C813,""[ ,]+"",""_""),"".mp3"")"),"stable.mp3")</f>
        <v>stable.mp3</v>
      </c>
      <c r="M813" s="4" t="s">
        <v>10</v>
      </c>
    </row>
    <row r="814" ht="15.75" customHeight="1">
      <c r="A814" s="1">
        <v>2182.0</v>
      </c>
      <c r="B814" s="3">
        <v>145.0</v>
      </c>
      <c r="C814" s="7" t="s">
        <v>847</v>
      </c>
      <c r="D814" s="8" t="str">
        <f>IFERROR(__xludf.DUMMYFUNCTION("GOOGLETRANSLATE(C814, ""en"", ""pt"")"),"site")</f>
        <v>site</v>
      </c>
      <c r="E814" s="8" t="str">
        <f>IFERROR(__xludf.DUMMYFUNCTION("GOOGLETRANSLATE(C814, ""en"", ""es"")"),"sitio")</f>
        <v>sitio</v>
      </c>
      <c r="F814" s="8" t="str">
        <f>IFERROR(__xludf.DUMMYFUNCTION("GOOGLETRANSLATE(C814, ""en"", ""fr"")"),"site")</f>
        <v>site</v>
      </c>
      <c r="G814" s="8" t="str">
        <f>IFERROR(__xludf.DUMMYFUNCTION("GOOGLETRANSLATE(C814, ""en"", ""de"")"),"Website")</f>
        <v>Website</v>
      </c>
      <c r="H814" s="8" t="str">
        <f>IFERROR(__xludf.DUMMYFUNCTION("GOOGLETRANSLATE(C814, ""en"", ""ru"")"),"сайт")</f>
        <v>сайт</v>
      </c>
      <c r="I814" s="8" t="str">
        <f>IFERROR(__xludf.DUMMYFUNCTION("GOOGLETRANSLATE(C814, ""en"", ""ar"")"),"موقع")</f>
        <v>موقع</v>
      </c>
      <c r="J814" s="8"/>
      <c r="K814" s="7" t="str">
        <f>IFERROR(__xludf.DUMMYFUNCTION("CONCAT(REGEXREPLACE(C814,""[ ,]+"",""_""),"".mp3"")"),"site.mp3")</f>
        <v>site.mp3</v>
      </c>
      <c r="M814" s="4" t="s">
        <v>10</v>
      </c>
    </row>
    <row r="815" ht="15.75" customHeight="1">
      <c r="A815" s="1">
        <v>2183.0</v>
      </c>
      <c r="B815" s="3">
        <v>145.0</v>
      </c>
      <c r="C815" s="7" t="s">
        <v>848</v>
      </c>
      <c r="D815" s="8" t="str">
        <f>IFERROR(__xludf.DUMMYFUNCTION("GOOGLETRANSLATE(C815, ""en"", ""pt"")"),"localização")</f>
        <v>localização</v>
      </c>
      <c r="E815" s="8" t="str">
        <f>IFERROR(__xludf.DUMMYFUNCTION("GOOGLETRANSLATE(C815, ""en"", ""es"")"),"ubicación")</f>
        <v>ubicación</v>
      </c>
      <c r="F815" s="8" t="str">
        <f>IFERROR(__xludf.DUMMYFUNCTION("GOOGLETRANSLATE(C815, ""en"", ""fr"")"),"emplacement")</f>
        <v>emplacement</v>
      </c>
      <c r="G815" s="8" t="str">
        <f>IFERROR(__xludf.DUMMYFUNCTION("GOOGLETRANSLATE(C815, ""en"", ""de"")"),"Standort")</f>
        <v>Standort</v>
      </c>
      <c r="H815" s="8" t="str">
        <f>IFERROR(__xludf.DUMMYFUNCTION("GOOGLETRANSLATE(C815, ""en"", ""ru"")"),"расположение")</f>
        <v>расположение</v>
      </c>
      <c r="I815" s="8" t="str">
        <f>IFERROR(__xludf.DUMMYFUNCTION("GOOGLETRANSLATE(C815, ""en"", ""ar"")"),"موقع")</f>
        <v>موقع</v>
      </c>
      <c r="J815" s="8"/>
      <c r="K815" s="7" t="str">
        <f>IFERROR(__xludf.DUMMYFUNCTION("CONCAT(REGEXREPLACE(C815,""[ ,]+"",""_""),"".mp3"")"),"location.mp3")</f>
        <v>location.mp3</v>
      </c>
      <c r="M815" s="4" t="s">
        <v>10</v>
      </c>
    </row>
    <row r="816" ht="15.75" customHeight="1">
      <c r="A816" s="1">
        <v>2184.0</v>
      </c>
      <c r="B816" s="3">
        <v>145.0</v>
      </c>
      <c r="C816" s="7" t="s">
        <v>849</v>
      </c>
      <c r="D816" s="8" t="str">
        <f>IFERROR(__xludf.DUMMYFUNCTION("GOOGLETRANSLATE(C816, ""en"", ""pt"")"),"área")</f>
        <v>área</v>
      </c>
      <c r="E816" s="8" t="str">
        <f>IFERROR(__xludf.DUMMYFUNCTION("GOOGLETRANSLATE(C816, ""en"", ""es"")"),"área")</f>
        <v>área</v>
      </c>
      <c r="F816" s="8" t="str">
        <f>IFERROR(__xludf.DUMMYFUNCTION("GOOGLETRANSLATE(C816, ""en"", ""fr"")"),"zone")</f>
        <v>zone</v>
      </c>
      <c r="G816" s="8" t="str">
        <f>IFERROR(__xludf.DUMMYFUNCTION("GOOGLETRANSLATE(C816, ""en"", ""de"")"),"Bereich")</f>
        <v>Bereich</v>
      </c>
      <c r="H816" s="8" t="str">
        <f>IFERROR(__xludf.DUMMYFUNCTION("GOOGLETRANSLATE(C816, ""en"", ""ru"")"),"область")</f>
        <v>область</v>
      </c>
      <c r="I816" s="8" t="str">
        <f>IFERROR(__xludf.DUMMYFUNCTION("GOOGLETRANSLATE(C816, ""en"", ""ar"")"),"منطقة")</f>
        <v>منطقة</v>
      </c>
      <c r="J816" s="8"/>
      <c r="K816" s="7" t="str">
        <f>IFERROR(__xludf.DUMMYFUNCTION("CONCAT(REGEXREPLACE(C816,""[ ,]+"",""_""),"".mp3"")"),"area.mp3")</f>
        <v>area.mp3</v>
      </c>
      <c r="M816" s="4" t="s">
        <v>10</v>
      </c>
    </row>
    <row r="817" ht="15.75" customHeight="1">
      <c r="A817" s="1">
        <v>2185.0</v>
      </c>
      <c r="B817" s="3">
        <v>145.0</v>
      </c>
      <c r="C817" s="7" t="s">
        <v>850</v>
      </c>
      <c r="D817" s="8" t="str">
        <f>IFERROR(__xludf.DUMMYFUNCTION("GOOGLETRANSLATE(C817, ""en"", ""pt"")"),"zona")</f>
        <v>zona</v>
      </c>
      <c r="E817" s="8" t="str">
        <f>IFERROR(__xludf.DUMMYFUNCTION("GOOGLETRANSLATE(C817, ""en"", ""es"")"),"zona")</f>
        <v>zona</v>
      </c>
      <c r="F817" s="8" t="str">
        <f>IFERROR(__xludf.DUMMYFUNCTION("GOOGLETRANSLATE(C817, ""en"", ""fr"")"),"zone")</f>
        <v>zone</v>
      </c>
      <c r="G817" s="8" t="str">
        <f>IFERROR(__xludf.DUMMYFUNCTION("GOOGLETRANSLATE(C817, ""en"", ""de"")"),"Zone")</f>
        <v>Zone</v>
      </c>
      <c r="H817" s="8" t="str">
        <f>IFERROR(__xludf.DUMMYFUNCTION("GOOGLETRANSLATE(C817, ""en"", ""ru"")"),"зона")</f>
        <v>зона</v>
      </c>
      <c r="I817" s="8" t="str">
        <f>IFERROR(__xludf.DUMMYFUNCTION("GOOGLETRANSLATE(C817, ""en"", ""ar"")"),"منطقة")</f>
        <v>منطقة</v>
      </c>
      <c r="J817" s="8"/>
      <c r="K817" s="7" t="str">
        <f>IFERROR(__xludf.DUMMYFUNCTION("CONCAT(REGEXREPLACE(C817,""[ ,]+"",""_""),"".mp3"")"),"zone.mp3")</f>
        <v>zone.mp3</v>
      </c>
      <c r="M817" s="4" t="s">
        <v>10</v>
      </c>
    </row>
    <row r="818" ht="15.75" customHeight="1">
      <c r="A818" s="1">
        <v>2186.0</v>
      </c>
      <c r="B818" s="3">
        <v>145.0</v>
      </c>
      <c r="C818" s="7" t="s">
        <v>834</v>
      </c>
      <c r="D818" s="8" t="str">
        <f>IFERROR(__xludf.DUMMYFUNCTION("GOOGLETRANSLATE(C818, ""en"", ""pt"")"),"região")</f>
        <v>região</v>
      </c>
      <c r="E818" s="8" t="str">
        <f>IFERROR(__xludf.DUMMYFUNCTION("GOOGLETRANSLATE(C818, ""en"", ""es"")"),"región")</f>
        <v>región</v>
      </c>
      <c r="F818" s="8" t="str">
        <f>IFERROR(__xludf.DUMMYFUNCTION("GOOGLETRANSLATE(C818, ""en"", ""fr"")"),"région")</f>
        <v>région</v>
      </c>
      <c r="G818" s="8" t="str">
        <f>IFERROR(__xludf.DUMMYFUNCTION("GOOGLETRANSLATE(C818, ""en"", ""de"")"),"Region")</f>
        <v>Region</v>
      </c>
      <c r="H818" s="8" t="str">
        <f>IFERROR(__xludf.DUMMYFUNCTION("GOOGLETRANSLATE(C818, ""en"", ""ru"")"),"область")</f>
        <v>область</v>
      </c>
      <c r="I818" s="8" t="str">
        <f>IFERROR(__xludf.DUMMYFUNCTION("GOOGLETRANSLATE(C818, ""en"", ""ar"")"),"منطقة")</f>
        <v>منطقة</v>
      </c>
      <c r="J818" s="8"/>
      <c r="K818" s="7" t="str">
        <f>IFERROR(__xludf.DUMMYFUNCTION("CONCAT(REGEXREPLACE(C818,""[ ,]+"",""_""),"".mp3"")"),"region.mp3")</f>
        <v>region.mp3</v>
      </c>
      <c r="M818" s="4" t="s">
        <v>10</v>
      </c>
    </row>
    <row r="819" ht="15.75" customHeight="1">
      <c r="A819" s="1">
        <v>2187.0</v>
      </c>
      <c r="B819" s="3">
        <v>145.0</v>
      </c>
      <c r="C819" s="7" t="s">
        <v>851</v>
      </c>
      <c r="D819" s="8" t="str">
        <f>IFERROR(__xludf.DUMMYFUNCTION("GOOGLETRANSLATE(C819, ""en"", ""pt"")"),"destino")</f>
        <v>destino</v>
      </c>
      <c r="E819" s="8" t="str">
        <f>IFERROR(__xludf.DUMMYFUNCTION("GOOGLETRANSLATE(C819, ""en"", ""es"")"),"destino")</f>
        <v>destino</v>
      </c>
      <c r="F819" s="8" t="str">
        <f>IFERROR(__xludf.DUMMYFUNCTION("GOOGLETRANSLATE(C819, ""en"", ""fr"")"),"destination")</f>
        <v>destination</v>
      </c>
      <c r="G819" s="8" t="str">
        <f>IFERROR(__xludf.DUMMYFUNCTION("GOOGLETRANSLATE(C819, ""en"", ""de"")"),"Ziel")</f>
        <v>Ziel</v>
      </c>
      <c r="H819" s="8" t="str">
        <f>IFERROR(__xludf.DUMMYFUNCTION("GOOGLETRANSLATE(C819, ""en"", ""ru"")"),"место назначения")</f>
        <v>место назначения</v>
      </c>
      <c r="I819" s="8" t="str">
        <f>IFERROR(__xludf.DUMMYFUNCTION("GOOGLETRANSLATE(C819, ""en"", ""ar"")"),"وجهة")</f>
        <v>وجهة</v>
      </c>
      <c r="J819" s="8"/>
      <c r="K819" s="7" t="str">
        <f>IFERROR(__xludf.DUMMYFUNCTION("CONCAT(REGEXREPLACE(C819,""[ ,]+"",""_""),"".mp3"")"),"destination.mp3")</f>
        <v>destination.mp3</v>
      </c>
      <c r="M819" s="4" t="s">
        <v>10</v>
      </c>
    </row>
    <row r="820" ht="15.75" customHeight="1">
      <c r="A820" s="1">
        <v>2188.0</v>
      </c>
      <c r="B820" s="3">
        <v>145.0</v>
      </c>
      <c r="C820" s="7" t="s">
        <v>852</v>
      </c>
      <c r="D820" s="8" t="str">
        <f>IFERROR(__xludf.DUMMYFUNCTION("GOOGLETRANSLATE(C820, ""en"", ""pt"")"),"local")</f>
        <v>local</v>
      </c>
      <c r="E820" s="8" t="str">
        <f>IFERROR(__xludf.DUMMYFUNCTION("GOOGLETRANSLATE(C820, ""en"", ""es"")"),"evento")</f>
        <v>evento</v>
      </c>
      <c r="F820" s="8" t="str">
        <f>IFERROR(__xludf.DUMMYFUNCTION("GOOGLETRANSLATE(C820, ""en"", ""fr"")"),"lieu")</f>
        <v>lieu</v>
      </c>
      <c r="G820" s="8" t="str">
        <f>IFERROR(__xludf.DUMMYFUNCTION("GOOGLETRANSLATE(C820, ""en"", ""de"")"),"Veranstaltungsort")</f>
        <v>Veranstaltungsort</v>
      </c>
      <c r="H820" s="8" t="str">
        <f>IFERROR(__xludf.DUMMYFUNCTION("GOOGLETRANSLATE(C820, ""en"", ""ru"")"),"место проведения")</f>
        <v>место проведения</v>
      </c>
      <c r="I820" s="8" t="str">
        <f>IFERROR(__xludf.DUMMYFUNCTION("GOOGLETRANSLATE(C820, ""en"", ""ar"")"),"مكان")</f>
        <v>مكان</v>
      </c>
      <c r="J820" s="8"/>
      <c r="K820" s="7" t="str">
        <f>IFERROR(__xludf.DUMMYFUNCTION("CONCAT(REGEXREPLACE(C820,""[ ,]+"",""_""),"".mp3"")"),"venue.mp3")</f>
        <v>venue.mp3</v>
      </c>
      <c r="M820" s="4" t="s">
        <v>10</v>
      </c>
    </row>
    <row r="821" ht="15.75" customHeight="1">
      <c r="A821" s="1">
        <v>2189.0</v>
      </c>
      <c r="B821" s="3">
        <v>146.0</v>
      </c>
      <c r="C821" s="7" t="s">
        <v>853</v>
      </c>
      <c r="D821" s="8" t="str">
        <f>IFERROR(__xludf.DUMMYFUNCTION("GOOGLETRANSLATE(C821, ""en"", ""pt"")"),"pai")</f>
        <v>pai</v>
      </c>
      <c r="E821" s="8" t="str">
        <f>IFERROR(__xludf.DUMMYFUNCTION("GOOGLETRANSLATE(C821, ""en"", ""es"")"),"padre")</f>
        <v>padre</v>
      </c>
      <c r="F821" s="8" t="str">
        <f>IFERROR(__xludf.DUMMYFUNCTION("GOOGLETRANSLATE(C821, ""en"", ""fr"")"),"père")</f>
        <v>père</v>
      </c>
      <c r="G821" s="8" t="str">
        <f>IFERROR(__xludf.DUMMYFUNCTION("GOOGLETRANSLATE(C821, ""en"", ""de"")"),"Vater")</f>
        <v>Vater</v>
      </c>
      <c r="H821" s="8" t="str">
        <f>IFERROR(__xludf.DUMMYFUNCTION("GOOGLETRANSLATE(C821, ""en"", ""ru"")"),"отец")</f>
        <v>отец</v>
      </c>
      <c r="I821" s="8" t="str">
        <f>IFERROR(__xludf.DUMMYFUNCTION("GOOGLETRANSLATE(C821, ""en"", ""ar"")"),"أب")</f>
        <v>أب</v>
      </c>
      <c r="J821" s="8"/>
      <c r="K821" s="7" t="str">
        <f>IFERROR(__xludf.DUMMYFUNCTION("CONCAT(REGEXREPLACE(C821,""[ ,]+"",""_""),"".mp3"")"),"father.mp3")</f>
        <v>father.mp3</v>
      </c>
      <c r="M821" s="4" t="s">
        <v>10</v>
      </c>
    </row>
    <row r="822" ht="15.75" customHeight="1">
      <c r="A822" s="1">
        <v>2190.0</v>
      </c>
      <c r="B822" s="3">
        <v>146.0</v>
      </c>
      <c r="C822" s="7" t="s">
        <v>854</v>
      </c>
      <c r="D822" s="8" t="str">
        <f>IFERROR(__xludf.DUMMYFUNCTION("GOOGLETRANSLATE(C822, ""en"", ""pt"")"),"mãe")</f>
        <v>mãe</v>
      </c>
      <c r="E822" s="8" t="str">
        <f>IFERROR(__xludf.DUMMYFUNCTION("GOOGLETRANSLATE(C822, ""en"", ""es"")"),"madre")</f>
        <v>madre</v>
      </c>
      <c r="F822" s="8" t="str">
        <f>IFERROR(__xludf.DUMMYFUNCTION("GOOGLETRANSLATE(C822, ""en"", ""fr"")"),"mère")</f>
        <v>mère</v>
      </c>
      <c r="G822" s="8" t="str">
        <f>IFERROR(__xludf.DUMMYFUNCTION("GOOGLETRANSLATE(C822, ""en"", ""de"")"),"Mutter")</f>
        <v>Mutter</v>
      </c>
      <c r="H822" s="8" t="str">
        <f>IFERROR(__xludf.DUMMYFUNCTION("GOOGLETRANSLATE(C822, ""en"", ""ru"")"),"мать")</f>
        <v>мать</v>
      </c>
      <c r="I822" s="8" t="str">
        <f>IFERROR(__xludf.DUMMYFUNCTION("GOOGLETRANSLATE(C822, ""en"", ""ar"")"),"الأم")</f>
        <v>الأم</v>
      </c>
      <c r="J822" s="8"/>
      <c r="K822" s="7" t="str">
        <f>IFERROR(__xludf.DUMMYFUNCTION("CONCAT(REGEXREPLACE(C822,""[ ,]+"",""_""),"".mp3"")"),"mother.mp3")</f>
        <v>mother.mp3</v>
      </c>
      <c r="M822" s="4" t="s">
        <v>10</v>
      </c>
    </row>
    <row r="823" ht="15.75" customHeight="1">
      <c r="A823" s="1">
        <v>2191.0</v>
      </c>
      <c r="B823" s="3">
        <v>146.0</v>
      </c>
      <c r="C823" s="7" t="s">
        <v>855</v>
      </c>
      <c r="D823" s="8" t="str">
        <f>IFERROR(__xludf.DUMMYFUNCTION("GOOGLETRANSLATE(C823, ""en"", ""pt"")"),"pai")</f>
        <v>pai</v>
      </c>
      <c r="E823" s="8" t="str">
        <f>IFERROR(__xludf.DUMMYFUNCTION("GOOGLETRANSLATE(C823, ""en"", ""es"")"),"papá")</f>
        <v>papá</v>
      </c>
      <c r="F823" s="8" t="str">
        <f>IFERROR(__xludf.DUMMYFUNCTION("GOOGLETRANSLATE(C823, ""en"", ""fr"")"),"papa")</f>
        <v>papa</v>
      </c>
      <c r="G823" s="8" t="str">
        <f>IFERROR(__xludf.DUMMYFUNCTION("GOOGLETRANSLATE(C823, ""en"", ""de"")"),"Papa")</f>
        <v>Papa</v>
      </c>
      <c r="H823" s="8" t="str">
        <f>IFERROR(__xludf.DUMMYFUNCTION("GOOGLETRANSLATE(C823, ""en"", ""ru"")"),"папа")</f>
        <v>папа</v>
      </c>
      <c r="I823" s="8" t="str">
        <f>IFERROR(__xludf.DUMMYFUNCTION("GOOGLETRANSLATE(C823, ""en"", ""ar"")"),"أب")</f>
        <v>أب</v>
      </c>
      <c r="J823" s="8"/>
      <c r="K823" s="7" t="str">
        <f>IFERROR(__xludf.DUMMYFUNCTION("CONCAT(REGEXREPLACE(C823,""[ ,]+"",""_""),"".mp3"")"),"dad.mp3")</f>
        <v>dad.mp3</v>
      </c>
      <c r="M823" s="4" t="s">
        <v>10</v>
      </c>
    </row>
    <row r="824" ht="15.75" customHeight="1">
      <c r="A824" s="1">
        <v>2192.0</v>
      </c>
      <c r="B824" s="3">
        <v>146.0</v>
      </c>
      <c r="C824" s="7" t="s">
        <v>856</v>
      </c>
      <c r="D824" s="8" t="str">
        <f>IFERROR(__xludf.DUMMYFUNCTION("GOOGLETRANSLATE(C824, ""en"", ""pt"")"),"mãe")</f>
        <v>mãe</v>
      </c>
      <c r="E824" s="8" t="str">
        <f>IFERROR(__xludf.DUMMYFUNCTION("GOOGLETRANSLATE(C824, ""en"", ""es"")"),"mamá")</f>
        <v>mamá</v>
      </c>
      <c r="F824" s="8" t="str">
        <f>IFERROR(__xludf.DUMMYFUNCTION("GOOGLETRANSLATE(C824, ""en"", ""fr"")"),"maman")</f>
        <v>maman</v>
      </c>
      <c r="G824" s="8" t="str">
        <f>IFERROR(__xludf.DUMMYFUNCTION("GOOGLETRANSLATE(C824, ""en"", ""de"")"),"Mama")</f>
        <v>Mama</v>
      </c>
      <c r="H824" s="8" t="str">
        <f>IFERROR(__xludf.DUMMYFUNCTION("GOOGLETRANSLATE(C824, ""en"", ""ru"")"),"мама")</f>
        <v>мама</v>
      </c>
      <c r="I824" s="8" t="str">
        <f>IFERROR(__xludf.DUMMYFUNCTION("GOOGLETRANSLATE(C824, ""en"", ""ar"")"),"أم")</f>
        <v>أم</v>
      </c>
      <c r="J824" s="8"/>
      <c r="K824" s="7" t="str">
        <f>IFERROR(__xludf.DUMMYFUNCTION("CONCAT(REGEXREPLACE(C824,""[ ,]+"",""_""),"".mp3"")"),"mom.mp3")</f>
        <v>mom.mp3</v>
      </c>
      <c r="M824" s="4" t="s">
        <v>10</v>
      </c>
    </row>
    <row r="825" ht="15.75" customHeight="1">
      <c r="A825" s="1">
        <v>2193.0</v>
      </c>
      <c r="B825" s="3">
        <v>146.0</v>
      </c>
      <c r="C825" s="7" t="s">
        <v>857</v>
      </c>
      <c r="D825" s="8" t="str">
        <f>IFERROR(__xludf.DUMMYFUNCTION("GOOGLETRANSLATE(C825, ""en"", ""pt"")"),"pais")</f>
        <v>pais</v>
      </c>
      <c r="E825" s="8" t="str">
        <f>IFERROR(__xludf.DUMMYFUNCTION("GOOGLETRANSLATE(C825, ""en"", ""es"")"),"padres")</f>
        <v>padres</v>
      </c>
      <c r="F825" s="8" t="str">
        <f>IFERROR(__xludf.DUMMYFUNCTION("GOOGLETRANSLATE(C825, ""en"", ""fr"")"),"parents")</f>
        <v>parents</v>
      </c>
      <c r="G825" s="8" t="str">
        <f>IFERROR(__xludf.DUMMYFUNCTION("GOOGLETRANSLATE(C825, ""en"", ""de"")"),"Eltern")</f>
        <v>Eltern</v>
      </c>
      <c r="H825" s="8" t="str">
        <f>IFERROR(__xludf.DUMMYFUNCTION("GOOGLETRANSLATE(C825, ""en"", ""ru"")"),"родители")</f>
        <v>родители</v>
      </c>
      <c r="I825" s="8" t="str">
        <f>IFERROR(__xludf.DUMMYFUNCTION("GOOGLETRANSLATE(C825, ""en"", ""ar"")"),"آباء")</f>
        <v>آباء</v>
      </c>
      <c r="J825" s="8"/>
      <c r="K825" s="7" t="str">
        <f>IFERROR(__xludf.DUMMYFUNCTION("CONCAT(REGEXREPLACE(C825,""[ ,]+"",""_""),"".mp3"")"),"parents.mp3")</f>
        <v>parents.mp3</v>
      </c>
      <c r="M825" s="4" t="s">
        <v>10</v>
      </c>
    </row>
    <row r="826" ht="15.75" customHeight="1">
      <c r="A826" s="1">
        <v>2194.0</v>
      </c>
      <c r="B826" s="3">
        <v>146.0</v>
      </c>
      <c r="C826" s="7" t="s">
        <v>858</v>
      </c>
      <c r="D826" s="8" t="str">
        <f>IFERROR(__xludf.DUMMYFUNCTION("GOOGLETRANSLATE(C826, ""en"", ""pt"")"),"marido")</f>
        <v>marido</v>
      </c>
      <c r="E826" s="8" t="str">
        <f>IFERROR(__xludf.DUMMYFUNCTION("GOOGLETRANSLATE(C826, ""en"", ""es"")"),"marido")</f>
        <v>marido</v>
      </c>
      <c r="F826" s="8" t="str">
        <f>IFERROR(__xludf.DUMMYFUNCTION("GOOGLETRANSLATE(C826, ""en"", ""fr"")"),"mari")</f>
        <v>mari</v>
      </c>
      <c r="G826" s="8" t="str">
        <f>IFERROR(__xludf.DUMMYFUNCTION("GOOGLETRANSLATE(C826, ""en"", ""de"")"),"Ehemann")</f>
        <v>Ehemann</v>
      </c>
      <c r="H826" s="8" t="str">
        <f>IFERROR(__xludf.DUMMYFUNCTION("GOOGLETRANSLATE(C826, ""en"", ""ru"")"),"муж")</f>
        <v>муж</v>
      </c>
      <c r="I826" s="8" t="str">
        <f>IFERROR(__xludf.DUMMYFUNCTION("GOOGLETRANSLATE(C826, ""en"", ""ar"")"),"زوج")</f>
        <v>زوج</v>
      </c>
      <c r="J826" s="8"/>
      <c r="K826" s="7" t="str">
        <f>IFERROR(__xludf.DUMMYFUNCTION("CONCAT(REGEXREPLACE(C826,""[ ,]+"",""_""),"".mp3"")"),"husband.mp3")</f>
        <v>husband.mp3</v>
      </c>
      <c r="M826" s="4" t="s">
        <v>10</v>
      </c>
    </row>
    <row r="827" ht="15.75" customHeight="1">
      <c r="A827" s="1">
        <v>2195.0</v>
      </c>
      <c r="B827" s="3">
        <v>146.0</v>
      </c>
      <c r="C827" s="7" t="s">
        <v>859</v>
      </c>
      <c r="D827" s="8" t="str">
        <f>IFERROR(__xludf.DUMMYFUNCTION("GOOGLETRANSLATE(C827, ""en"", ""pt"")"),"esposa")</f>
        <v>esposa</v>
      </c>
      <c r="E827" s="8" t="str">
        <f>IFERROR(__xludf.DUMMYFUNCTION("GOOGLETRANSLATE(C827, ""en"", ""es"")"),"esposa")</f>
        <v>esposa</v>
      </c>
      <c r="F827" s="8" t="str">
        <f>IFERROR(__xludf.DUMMYFUNCTION("GOOGLETRANSLATE(C827, ""en"", ""fr"")"),"épouse")</f>
        <v>épouse</v>
      </c>
      <c r="G827" s="8" t="str">
        <f>IFERROR(__xludf.DUMMYFUNCTION("GOOGLETRANSLATE(C827, ""en"", ""de"")"),"Gattin")</f>
        <v>Gattin</v>
      </c>
      <c r="H827" s="8" t="str">
        <f>IFERROR(__xludf.DUMMYFUNCTION("GOOGLETRANSLATE(C827, ""en"", ""ru"")"),"жена")</f>
        <v>жена</v>
      </c>
      <c r="I827" s="8" t="str">
        <f>IFERROR(__xludf.DUMMYFUNCTION("GOOGLETRANSLATE(C827, ""en"", ""ar"")"),"زوجة")</f>
        <v>زوجة</v>
      </c>
      <c r="J827" s="8"/>
      <c r="K827" s="7" t="str">
        <f>IFERROR(__xludf.DUMMYFUNCTION("CONCAT(REGEXREPLACE(C827,""[ ,]+"",""_""),"".mp3"")"),"wife.mp3")</f>
        <v>wife.mp3</v>
      </c>
      <c r="M827" s="4" t="s">
        <v>10</v>
      </c>
    </row>
    <row r="828" ht="15.75" customHeight="1">
      <c r="A828" s="1">
        <v>2196.0</v>
      </c>
      <c r="B828" s="3">
        <v>146.0</v>
      </c>
      <c r="C828" s="7" t="s">
        <v>860</v>
      </c>
      <c r="D828" s="8" t="str">
        <f>IFERROR(__xludf.DUMMYFUNCTION("GOOGLETRANSLATE(C828, ""en"", ""pt"")"),"parceiro")</f>
        <v>parceiro</v>
      </c>
      <c r="E828" s="8" t="str">
        <f>IFERROR(__xludf.DUMMYFUNCTION("GOOGLETRANSLATE(C828, ""en"", ""es"")"),"pareja")</f>
        <v>pareja</v>
      </c>
      <c r="F828" s="8" t="str">
        <f>IFERROR(__xludf.DUMMYFUNCTION("GOOGLETRANSLATE(C828, ""en"", ""fr"")"),"partenaire")</f>
        <v>partenaire</v>
      </c>
      <c r="G828" s="8" t="str">
        <f>IFERROR(__xludf.DUMMYFUNCTION("GOOGLETRANSLATE(C828, ""en"", ""de"")"),"Partner")</f>
        <v>Partner</v>
      </c>
      <c r="H828" s="8" t="str">
        <f>IFERROR(__xludf.DUMMYFUNCTION("GOOGLETRANSLATE(C828, ""en"", ""ru"")"),"партнер")</f>
        <v>партнер</v>
      </c>
      <c r="I828" s="8" t="str">
        <f>IFERROR(__xludf.DUMMYFUNCTION("GOOGLETRANSLATE(C828, ""en"", ""ar"")"),"شريك")</f>
        <v>شريك</v>
      </c>
      <c r="J828" s="8"/>
      <c r="K828" s="7" t="str">
        <f>IFERROR(__xludf.DUMMYFUNCTION("CONCAT(REGEXREPLACE(C828,""[ ,]+"",""_""),"".mp3"")"),"partner.mp3")</f>
        <v>partner.mp3</v>
      </c>
      <c r="M828" s="4" t="s">
        <v>10</v>
      </c>
    </row>
    <row r="829" ht="15.75" customHeight="1">
      <c r="A829" s="1">
        <v>2197.0</v>
      </c>
      <c r="B829" s="3">
        <v>146.0</v>
      </c>
      <c r="C829" s="7" t="s">
        <v>861</v>
      </c>
      <c r="D829" s="8" t="str">
        <f>IFERROR(__xludf.DUMMYFUNCTION("GOOGLETRANSLATE(C829, ""en"", ""pt"")"),"cônjuge")</f>
        <v>cônjuge</v>
      </c>
      <c r="E829" s="8" t="str">
        <f>IFERROR(__xludf.DUMMYFUNCTION("GOOGLETRANSLATE(C829, ""en"", ""es"")"),"cónyuge")</f>
        <v>cónyuge</v>
      </c>
      <c r="F829" s="8" t="str">
        <f>IFERROR(__xludf.DUMMYFUNCTION("GOOGLETRANSLATE(C829, ""en"", ""fr"")"),"conjoint")</f>
        <v>conjoint</v>
      </c>
      <c r="G829" s="8" t="str">
        <f>IFERROR(__xludf.DUMMYFUNCTION("GOOGLETRANSLATE(C829, ""en"", ""de"")"),"Ehepartner")</f>
        <v>Ehepartner</v>
      </c>
      <c r="H829" s="8" t="str">
        <f>IFERROR(__xludf.DUMMYFUNCTION("GOOGLETRANSLATE(C829, ""en"", ""ru"")"),"супруг")</f>
        <v>супруг</v>
      </c>
      <c r="I829" s="8" t="str">
        <f>IFERROR(__xludf.DUMMYFUNCTION("GOOGLETRANSLATE(C829, ""en"", ""ar"")"),"زوج")</f>
        <v>زوج</v>
      </c>
      <c r="J829" s="8"/>
      <c r="K829" s="7" t="str">
        <f>IFERROR(__xludf.DUMMYFUNCTION("CONCAT(REGEXREPLACE(C829,""[ ,]+"",""_""),"".mp3"")"),"spouse.mp3")</f>
        <v>spouse.mp3</v>
      </c>
      <c r="M829" s="4" t="s">
        <v>10</v>
      </c>
    </row>
    <row r="830" ht="15.75" customHeight="1">
      <c r="A830" s="1">
        <v>2198.0</v>
      </c>
      <c r="B830" s="3">
        <v>146.0</v>
      </c>
      <c r="C830" s="7" t="s">
        <v>862</v>
      </c>
      <c r="D830" s="8" t="str">
        <f>IFERROR(__xludf.DUMMYFUNCTION("GOOGLETRANSLATE(C830, ""en"", ""pt"")"),"filho")</f>
        <v>filho</v>
      </c>
      <c r="E830" s="8" t="str">
        <f>IFERROR(__xludf.DUMMYFUNCTION("GOOGLETRANSLATE(C830, ""en"", ""es"")"),"hijo")</f>
        <v>hijo</v>
      </c>
      <c r="F830" s="8" t="str">
        <f>IFERROR(__xludf.DUMMYFUNCTION("GOOGLETRANSLATE(C830, ""en"", ""fr"")"),"fils")</f>
        <v>fils</v>
      </c>
      <c r="G830" s="8" t="str">
        <f>IFERROR(__xludf.DUMMYFUNCTION("GOOGLETRANSLATE(C830, ""en"", ""de"")"),"Sohn")</f>
        <v>Sohn</v>
      </c>
      <c r="H830" s="8" t="str">
        <f>IFERROR(__xludf.DUMMYFUNCTION("GOOGLETRANSLATE(C830, ""en"", ""ru"")"),"сын")</f>
        <v>сын</v>
      </c>
      <c r="I830" s="8" t="str">
        <f>IFERROR(__xludf.DUMMYFUNCTION("GOOGLETRANSLATE(C830, ""en"", ""ar"")"),"ابن")</f>
        <v>ابن</v>
      </c>
      <c r="J830" s="8"/>
      <c r="K830" s="7" t="str">
        <f>IFERROR(__xludf.DUMMYFUNCTION("CONCAT(REGEXREPLACE(C830,""[ ,]+"",""_""),"".mp3"")"),"son.mp3")</f>
        <v>son.mp3</v>
      </c>
      <c r="M830" s="4" t="s">
        <v>10</v>
      </c>
    </row>
    <row r="831" ht="15.75" customHeight="1">
      <c r="A831" s="1">
        <v>2199.0</v>
      </c>
      <c r="B831" s="3">
        <v>146.0</v>
      </c>
      <c r="C831" s="7" t="s">
        <v>863</v>
      </c>
      <c r="D831" s="8" t="str">
        <f>IFERROR(__xludf.DUMMYFUNCTION("GOOGLETRANSLATE(C831, ""en"", ""pt"")"),"filha")</f>
        <v>filha</v>
      </c>
      <c r="E831" s="8" t="str">
        <f>IFERROR(__xludf.DUMMYFUNCTION("GOOGLETRANSLATE(C831, ""en"", ""es"")"),"hija")</f>
        <v>hija</v>
      </c>
      <c r="F831" s="8" t="str">
        <f>IFERROR(__xludf.DUMMYFUNCTION("GOOGLETRANSLATE(C831, ""en"", ""fr"")"),"fille")</f>
        <v>fille</v>
      </c>
      <c r="G831" s="8" t="str">
        <f>IFERROR(__xludf.DUMMYFUNCTION("GOOGLETRANSLATE(C831, ""en"", ""de"")"),"Tochter")</f>
        <v>Tochter</v>
      </c>
      <c r="H831" s="8" t="str">
        <f>IFERROR(__xludf.DUMMYFUNCTION("GOOGLETRANSLATE(C831, ""en"", ""ru"")"),"дочь")</f>
        <v>дочь</v>
      </c>
      <c r="I831" s="8" t="str">
        <f>IFERROR(__xludf.DUMMYFUNCTION("GOOGLETRANSLATE(C831, ""en"", ""ar"")"),"بنت")</f>
        <v>بنت</v>
      </c>
      <c r="J831" s="8"/>
      <c r="K831" s="7" t="str">
        <f>IFERROR(__xludf.DUMMYFUNCTION("CONCAT(REGEXREPLACE(C831,""[ ,]+"",""_""),"".mp3"")"),"daughter.mp3")</f>
        <v>daughter.mp3</v>
      </c>
      <c r="M831" s="4" t="s">
        <v>10</v>
      </c>
    </row>
    <row r="832" ht="15.75" customHeight="1">
      <c r="A832" s="1">
        <v>2200.0</v>
      </c>
      <c r="B832" s="3">
        <v>146.0</v>
      </c>
      <c r="C832" s="7" t="s">
        <v>864</v>
      </c>
      <c r="D832" s="8" t="str">
        <f>IFERROR(__xludf.DUMMYFUNCTION("GOOGLETRANSLATE(C832, ""en"", ""pt"")"),"criança")</f>
        <v>criança</v>
      </c>
      <c r="E832" s="8" t="str">
        <f>IFERROR(__xludf.DUMMYFUNCTION("GOOGLETRANSLATE(C832, ""en"", ""es"")"),"niño")</f>
        <v>niño</v>
      </c>
      <c r="F832" s="8" t="str">
        <f>IFERROR(__xludf.DUMMYFUNCTION("GOOGLETRANSLATE(C832, ""en"", ""fr"")"),"enfant")</f>
        <v>enfant</v>
      </c>
      <c r="G832" s="8" t="str">
        <f>IFERROR(__xludf.DUMMYFUNCTION("GOOGLETRANSLATE(C832, ""en"", ""de"")"),"Kind")</f>
        <v>Kind</v>
      </c>
      <c r="H832" s="8" t="str">
        <f>IFERROR(__xludf.DUMMYFUNCTION("GOOGLETRANSLATE(C832, ""en"", ""ru"")"),"ребенок")</f>
        <v>ребенок</v>
      </c>
      <c r="I832" s="8" t="str">
        <f>IFERROR(__xludf.DUMMYFUNCTION("GOOGLETRANSLATE(C832, ""en"", ""ar"")"),"طفل")</f>
        <v>طفل</v>
      </c>
      <c r="J832" s="8"/>
      <c r="K832" s="7" t="str">
        <f>IFERROR(__xludf.DUMMYFUNCTION("CONCAT(REGEXREPLACE(C832,""[ ,]+"",""_""),"".mp3"")"),"child.mp3")</f>
        <v>child.mp3</v>
      </c>
      <c r="M832" s="4" t="s">
        <v>10</v>
      </c>
    </row>
    <row r="833" ht="15.75" customHeight="1">
      <c r="A833" s="1">
        <v>2201.0</v>
      </c>
      <c r="B833" s="3">
        <v>146.0</v>
      </c>
      <c r="C833" s="7" t="s">
        <v>865</v>
      </c>
      <c r="D833" s="8" t="str">
        <f>IFERROR(__xludf.DUMMYFUNCTION("GOOGLETRANSLATE(C833, ""en"", ""pt"")"),"crianças")</f>
        <v>crianças</v>
      </c>
      <c r="E833" s="8" t="str">
        <f>IFERROR(__xludf.DUMMYFUNCTION("GOOGLETRANSLATE(C833, ""en"", ""es"")"),"niños")</f>
        <v>niños</v>
      </c>
      <c r="F833" s="8" t="str">
        <f>IFERROR(__xludf.DUMMYFUNCTION("GOOGLETRANSLATE(C833, ""en"", ""fr"")"),"enfants")</f>
        <v>enfants</v>
      </c>
      <c r="G833" s="8" t="str">
        <f>IFERROR(__xludf.DUMMYFUNCTION("GOOGLETRANSLATE(C833, ""en"", ""de"")"),"Kinder")</f>
        <v>Kinder</v>
      </c>
      <c r="H833" s="8" t="str">
        <f>IFERROR(__xludf.DUMMYFUNCTION("GOOGLETRANSLATE(C833, ""en"", ""ru"")"),"дети")</f>
        <v>дети</v>
      </c>
      <c r="I833" s="8" t="str">
        <f>IFERROR(__xludf.DUMMYFUNCTION("GOOGLETRANSLATE(C833, ""en"", ""ar"")"),"أطفال")</f>
        <v>أطفال</v>
      </c>
      <c r="J833" s="8"/>
      <c r="K833" s="7" t="str">
        <f>IFERROR(__xludf.DUMMYFUNCTION("CONCAT(REGEXREPLACE(C833,""[ ,]+"",""_""),"".mp3"")"),"children.mp3")</f>
        <v>children.mp3</v>
      </c>
      <c r="M833" s="4" t="s">
        <v>10</v>
      </c>
    </row>
    <row r="834" ht="15.75" customHeight="1">
      <c r="A834" s="1">
        <v>2202.0</v>
      </c>
      <c r="B834" s="3">
        <v>146.0</v>
      </c>
      <c r="C834" s="7" t="s">
        <v>866</v>
      </c>
      <c r="D834" s="8" t="str">
        <f>IFERROR(__xludf.DUMMYFUNCTION("GOOGLETRANSLATE(C834, ""en"", ""pt"")"),"irmão")</f>
        <v>irmão</v>
      </c>
      <c r="E834" s="8" t="str">
        <f>IFERROR(__xludf.DUMMYFUNCTION("GOOGLETRANSLATE(C834, ""en"", ""es"")"),"hermano")</f>
        <v>hermano</v>
      </c>
      <c r="F834" s="8" t="str">
        <f>IFERROR(__xludf.DUMMYFUNCTION("GOOGLETRANSLATE(C834, ""en"", ""fr"")"),"frère")</f>
        <v>frère</v>
      </c>
      <c r="G834" s="8" t="str">
        <f>IFERROR(__xludf.DUMMYFUNCTION("GOOGLETRANSLATE(C834, ""en"", ""de"")"),"Bruder")</f>
        <v>Bruder</v>
      </c>
      <c r="H834" s="8" t="str">
        <f>IFERROR(__xludf.DUMMYFUNCTION("GOOGLETRANSLATE(C834, ""en"", ""ru"")"),"брат")</f>
        <v>брат</v>
      </c>
      <c r="I834" s="8" t="str">
        <f>IFERROR(__xludf.DUMMYFUNCTION("GOOGLETRANSLATE(C834, ""en"", ""ar"")"),"أخ")</f>
        <v>أخ</v>
      </c>
      <c r="J834" s="8"/>
      <c r="K834" s="7" t="str">
        <f>IFERROR(__xludf.DUMMYFUNCTION("CONCAT(REGEXREPLACE(C834,""[ ,]+"",""_""),"".mp3"")"),"brother.mp3")</f>
        <v>brother.mp3</v>
      </c>
      <c r="M834" s="4" t="s">
        <v>10</v>
      </c>
    </row>
    <row r="835" ht="15.75" customHeight="1">
      <c r="A835" s="1">
        <v>2203.0</v>
      </c>
      <c r="B835" s="3">
        <v>146.0</v>
      </c>
      <c r="C835" s="7" t="s">
        <v>867</v>
      </c>
      <c r="D835" s="8" t="str">
        <f>IFERROR(__xludf.DUMMYFUNCTION("GOOGLETRANSLATE(C835, ""en"", ""pt"")"),"irmã")</f>
        <v>irmã</v>
      </c>
      <c r="E835" s="8" t="str">
        <f>IFERROR(__xludf.DUMMYFUNCTION("GOOGLETRANSLATE(C835, ""en"", ""es"")"),"hermana")</f>
        <v>hermana</v>
      </c>
      <c r="F835" s="8" t="str">
        <f>IFERROR(__xludf.DUMMYFUNCTION("GOOGLETRANSLATE(C835, ""en"", ""fr"")"),"sœur")</f>
        <v>sœur</v>
      </c>
      <c r="G835" s="8" t="str">
        <f>IFERROR(__xludf.DUMMYFUNCTION("GOOGLETRANSLATE(C835, ""en"", ""de"")"),"Schwester")</f>
        <v>Schwester</v>
      </c>
      <c r="H835" s="8" t="str">
        <f>IFERROR(__xludf.DUMMYFUNCTION("GOOGLETRANSLATE(C835, ""en"", ""ru"")"),"сестра")</f>
        <v>сестра</v>
      </c>
      <c r="I835" s="8" t="str">
        <f>IFERROR(__xludf.DUMMYFUNCTION("GOOGLETRANSLATE(C835, ""en"", ""ar"")"),"أخت")</f>
        <v>أخت</v>
      </c>
      <c r="J835" s="8"/>
      <c r="K835" s="7" t="str">
        <f>IFERROR(__xludf.DUMMYFUNCTION("CONCAT(REGEXREPLACE(C835,""[ ,]+"",""_""),"".mp3"")"),"sister.mp3")</f>
        <v>sister.mp3</v>
      </c>
      <c r="M835" s="4" t="s">
        <v>10</v>
      </c>
    </row>
    <row r="836" ht="15.75" customHeight="1">
      <c r="A836" s="1">
        <v>2204.0</v>
      </c>
      <c r="B836" s="3">
        <v>146.0</v>
      </c>
      <c r="C836" s="7" t="s">
        <v>868</v>
      </c>
      <c r="D836" s="8" t="str">
        <f>IFERROR(__xludf.DUMMYFUNCTION("GOOGLETRANSLATE(C836, ""en"", ""pt"")"),"irmão")</f>
        <v>irmão</v>
      </c>
      <c r="E836" s="8" t="str">
        <f>IFERROR(__xludf.DUMMYFUNCTION("GOOGLETRANSLATE(C836, ""en"", ""es"")"),"hermano")</f>
        <v>hermano</v>
      </c>
      <c r="F836" s="8" t="str">
        <f>IFERROR(__xludf.DUMMYFUNCTION("GOOGLETRANSLATE(C836, ""en"", ""fr"")"),"frère et sœur")</f>
        <v>frère et sœur</v>
      </c>
      <c r="G836" s="8" t="str">
        <f>IFERROR(__xludf.DUMMYFUNCTION("GOOGLETRANSLATE(C836, ""en"", ""de"")"),"Geschwister")</f>
        <v>Geschwister</v>
      </c>
      <c r="H836" s="8" t="str">
        <f>IFERROR(__xludf.DUMMYFUNCTION("GOOGLETRANSLATE(C836, ""en"", ""ru"")"),"брат или сестра")</f>
        <v>брат или сестра</v>
      </c>
      <c r="I836" s="8" t="str">
        <f>IFERROR(__xludf.DUMMYFUNCTION("GOOGLETRANSLATE(C836, ""en"", ""ar"")"),"أخ أو أخت")</f>
        <v>أخ أو أخت</v>
      </c>
      <c r="J836" s="8"/>
      <c r="K836" s="7" t="str">
        <f>IFERROR(__xludf.DUMMYFUNCTION("CONCAT(REGEXREPLACE(C836,""[ ,]+"",""_""),"".mp3"")"),"sibling.mp3")</f>
        <v>sibling.mp3</v>
      </c>
      <c r="M836" s="4" t="s">
        <v>10</v>
      </c>
    </row>
    <row r="837" ht="15.75" customHeight="1">
      <c r="A837" s="1">
        <v>2205.0</v>
      </c>
      <c r="B837" s="3">
        <v>146.0</v>
      </c>
      <c r="C837" s="7" t="s">
        <v>869</v>
      </c>
      <c r="D837" s="8" t="str">
        <f>IFERROR(__xludf.DUMMYFUNCTION("GOOGLETRANSLATE(C837, ""en"", ""pt"")"),"bebê")</f>
        <v>bebê</v>
      </c>
      <c r="E837" s="8" t="str">
        <f>IFERROR(__xludf.DUMMYFUNCTION("GOOGLETRANSLATE(C837, ""en"", ""es"")"),"bebé")</f>
        <v>bebé</v>
      </c>
      <c r="F837" s="8" t="str">
        <f>IFERROR(__xludf.DUMMYFUNCTION("GOOGLETRANSLATE(C837, ""en"", ""fr"")"),"bébé")</f>
        <v>bébé</v>
      </c>
      <c r="G837" s="8" t="str">
        <f>IFERROR(__xludf.DUMMYFUNCTION("GOOGLETRANSLATE(C837, ""en"", ""de"")"),"Baby")</f>
        <v>Baby</v>
      </c>
      <c r="H837" s="8" t="str">
        <f>IFERROR(__xludf.DUMMYFUNCTION("GOOGLETRANSLATE(C837, ""en"", ""ru"")"),"малыш")</f>
        <v>малыш</v>
      </c>
      <c r="I837" s="8" t="str">
        <f>IFERROR(__xludf.DUMMYFUNCTION("GOOGLETRANSLATE(C837, ""en"", ""ar"")"),"طفل")</f>
        <v>طفل</v>
      </c>
      <c r="J837" s="8"/>
      <c r="K837" s="7" t="str">
        <f>IFERROR(__xludf.DUMMYFUNCTION("CONCAT(REGEXREPLACE(C837,""[ ,]+"",""_""),"".mp3"")"),"baby.mp3")</f>
        <v>baby.mp3</v>
      </c>
      <c r="M837" s="4" t="s">
        <v>10</v>
      </c>
    </row>
    <row r="838" ht="15.75" customHeight="1">
      <c r="A838" s="1">
        <v>2206.0</v>
      </c>
      <c r="B838" s="3">
        <v>146.0</v>
      </c>
      <c r="C838" s="7" t="s">
        <v>870</v>
      </c>
      <c r="D838" s="8" t="str">
        <f>IFERROR(__xludf.DUMMYFUNCTION("GOOGLETRANSLATE(C838, ""en"", ""pt"")"),"infantil")</f>
        <v>infantil</v>
      </c>
      <c r="E838" s="8" t="str">
        <f>IFERROR(__xludf.DUMMYFUNCTION("GOOGLETRANSLATE(C838, ""en"", ""es"")"),"niño")</f>
        <v>niño</v>
      </c>
      <c r="F838" s="8" t="str">
        <f>IFERROR(__xludf.DUMMYFUNCTION("GOOGLETRANSLATE(C838, ""en"", ""fr"")"),"nourrisson")</f>
        <v>nourrisson</v>
      </c>
      <c r="G838" s="8" t="str">
        <f>IFERROR(__xludf.DUMMYFUNCTION("GOOGLETRANSLATE(C838, ""en"", ""de"")"),"Säugling")</f>
        <v>Säugling</v>
      </c>
      <c r="H838" s="8" t="str">
        <f>IFERROR(__xludf.DUMMYFUNCTION("GOOGLETRANSLATE(C838, ""en"", ""ru"")"),"младенец")</f>
        <v>младенец</v>
      </c>
      <c r="I838" s="8" t="str">
        <f>IFERROR(__xludf.DUMMYFUNCTION("GOOGLETRANSLATE(C838, ""en"", ""ar"")"),"رضيع")</f>
        <v>رضيع</v>
      </c>
      <c r="J838" s="8"/>
      <c r="K838" s="7" t="str">
        <f>IFERROR(__xludf.DUMMYFUNCTION("CONCAT(REGEXREPLACE(C838,""[ ,]+"",""_""),"".mp3"")"),"infant.mp3")</f>
        <v>infant.mp3</v>
      </c>
      <c r="M838" s="4" t="s">
        <v>10</v>
      </c>
    </row>
    <row r="839" ht="15.75" customHeight="1">
      <c r="A839" s="1">
        <v>2207.0</v>
      </c>
      <c r="B839" s="3">
        <v>146.0</v>
      </c>
      <c r="C839" s="7" t="s">
        <v>871</v>
      </c>
      <c r="D839" s="8" t="str">
        <f>IFERROR(__xludf.DUMMYFUNCTION("GOOGLETRANSLATE(C839, ""en"", ""pt"")"),"criança pequena")</f>
        <v>criança pequena</v>
      </c>
      <c r="E839" s="8" t="str">
        <f>IFERROR(__xludf.DUMMYFUNCTION("GOOGLETRANSLATE(C839, ""en"", ""es"")"),"niño pequeño")</f>
        <v>niño pequeño</v>
      </c>
      <c r="F839" s="8" t="str">
        <f>IFERROR(__xludf.DUMMYFUNCTION("GOOGLETRANSLATE(C839, ""en"", ""fr"")"),"enfant en bas âge")</f>
        <v>enfant en bas âge</v>
      </c>
      <c r="G839" s="8" t="str">
        <f>IFERROR(__xludf.DUMMYFUNCTION("GOOGLETRANSLATE(C839, ""en"", ""de"")"),"Kleinkind")</f>
        <v>Kleinkind</v>
      </c>
      <c r="H839" s="8" t="str">
        <f>IFERROR(__xludf.DUMMYFUNCTION("GOOGLETRANSLATE(C839, ""en"", ""ru"")"),"ребенок, начинающий ходить")</f>
        <v>ребенок, начинающий ходить</v>
      </c>
      <c r="I839" s="8" t="str">
        <f>IFERROR(__xludf.DUMMYFUNCTION("GOOGLETRANSLATE(C839, ""en"", ""ar"")"),"طفل صغير")</f>
        <v>طفل صغير</v>
      </c>
      <c r="J839" s="8"/>
      <c r="K839" s="7" t="str">
        <f>IFERROR(__xludf.DUMMYFUNCTION("CONCAT(REGEXREPLACE(C839,""[ ,]+"",""_""),"".mp3"")"),"toddler.mp3")</f>
        <v>toddler.mp3</v>
      </c>
      <c r="M839" s="4" t="s">
        <v>10</v>
      </c>
    </row>
    <row r="840" ht="15.75" customHeight="1">
      <c r="A840" s="1">
        <v>2208.0</v>
      </c>
      <c r="B840" s="3">
        <v>146.0</v>
      </c>
      <c r="C840" s="7" t="s">
        <v>864</v>
      </c>
      <c r="D840" s="8" t="str">
        <f>IFERROR(__xludf.DUMMYFUNCTION("GOOGLETRANSLATE(C840, ""en"", ""pt"")"),"criança")</f>
        <v>criança</v>
      </c>
      <c r="E840" s="8" t="str">
        <f>IFERROR(__xludf.DUMMYFUNCTION("GOOGLETRANSLATE(C840, ""en"", ""es"")"),"niño")</f>
        <v>niño</v>
      </c>
      <c r="F840" s="8" t="str">
        <f>IFERROR(__xludf.DUMMYFUNCTION("GOOGLETRANSLATE(C840, ""en"", ""fr"")"),"enfant")</f>
        <v>enfant</v>
      </c>
      <c r="G840" s="8" t="str">
        <f>IFERROR(__xludf.DUMMYFUNCTION("GOOGLETRANSLATE(C840, ""en"", ""de"")"),"Kind")</f>
        <v>Kind</v>
      </c>
      <c r="H840" s="8" t="str">
        <f>IFERROR(__xludf.DUMMYFUNCTION("GOOGLETRANSLATE(C840, ""en"", ""ru"")"),"ребенок")</f>
        <v>ребенок</v>
      </c>
      <c r="I840" s="8" t="str">
        <f>IFERROR(__xludf.DUMMYFUNCTION("GOOGLETRANSLATE(C840, ""en"", ""ar"")"),"طفل")</f>
        <v>طفل</v>
      </c>
      <c r="J840" s="8"/>
      <c r="K840" s="7" t="str">
        <f>IFERROR(__xludf.DUMMYFUNCTION("CONCAT(REGEXREPLACE(C840,""[ ,]+"",""_""),"".mp3"")"),"child.mp3")</f>
        <v>child.mp3</v>
      </c>
      <c r="M840" s="4" t="s">
        <v>10</v>
      </c>
    </row>
    <row r="841" ht="15.75" customHeight="1">
      <c r="A841" s="1">
        <v>2209.0</v>
      </c>
      <c r="B841" s="3">
        <v>146.0</v>
      </c>
      <c r="C841" s="7" t="s">
        <v>872</v>
      </c>
      <c r="D841" s="8" t="str">
        <f>IFERROR(__xludf.DUMMYFUNCTION("GOOGLETRANSLATE(C841, ""en"", ""pt"")"),"adolescente")</f>
        <v>adolescente</v>
      </c>
      <c r="E841" s="8" t="str">
        <f>IFERROR(__xludf.DUMMYFUNCTION("GOOGLETRANSLATE(C841, ""en"", ""es"")"),"adolescente")</f>
        <v>adolescente</v>
      </c>
      <c r="F841" s="8" t="str">
        <f>IFERROR(__xludf.DUMMYFUNCTION("GOOGLETRANSLATE(C841, ""en"", ""fr"")"),"adolescent")</f>
        <v>adolescent</v>
      </c>
      <c r="G841" s="8" t="str">
        <f>IFERROR(__xludf.DUMMYFUNCTION("GOOGLETRANSLATE(C841, ""en"", ""de"")"),"Teenager")</f>
        <v>Teenager</v>
      </c>
      <c r="H841" s="8" t="str">
        <f>IFERROR(__xludf.DUMMYFUNCTION("GOOGLETRANSLATE(C841, ""en"", ""ru"")"),"подросток")</f>
        <v>подросток</v>
      </c>
      <c r="I841" s="8" t="str">
        <f>IFERROR(__xludf.DUMMYFUNCTION("GOOGLETRANSLATE(C841, ""en"", ""ar"")"),"مراهق")</f>
        <v>مراهق</v>
      </c>
      <c r="J841" s="8"/>
      <c r="K841" s="7" t="str">
        <f>IFERROR(__xludf.DUMMYFUNCTION("CONCAT(REGEXREPLACE(C841,""[ ,]+"",""_""),"".mp3"")"),"teenager.mp3")</f>
        <v>teenager.mp3</v>
      </c>
      <c r="M841" s="4" t="s">
        <v>10</v>
      </c>
    </row>
    <row r="842" ht="15.75" customHeight="1">
      <c r="A842" s="1">
        <v>2210.0</v>
      </c>
      <c r="B842" s="3">
        <v>146.0</v>
      </c>
      <c r="C842" s="7" t="s">
        <v>873</v>
      </c>
      <c r="D842" s="8" t="str">
        <f>IFERROR(__xludf.DUMMYFUNCTION("GOOGLETRANSLATE(C842, ""en"", ""pt"")"),"adulto")</f>
        <v>adulto</v>
      </c>
      <c r="E842" s="8" t="str">
        <f>IFERROR(__xludf.DUMMYFUNCTION("GOOGLETRANSLATE(C842, ""en"", ""es"")"),"adulto")</f>
        <v>adulto</v>
      </c>
      <c r="F842" s="8" t="str">
        <f>IFERROR(__xludf.DUMMYFUNCTION("GOOGLETRANSLATE(C842, ""en"", ""fr"")"),"adulte")</f>
        <v>adulte</v>
      </c>
      <c r="G842" s="8" t="str">
        <f>IFERROR(__xludf.DUMMYFUNCTION("GOOGLETRANSLATE(C842, ""en"", ""de"")"),"Erwachsene")</f>
        <v>Erwachsene</v>
      </c>
      <c r="H842" s="8" t="str">
        <f>IFERROR(__xludf.DUMMYFUNCTION("GOOGLETRANSLATE(C842, ""en"", ""ru"")"),"взрослый")</f>
        <v>взрослый</v>
      </c>
      <c r="I842" s="8" t="str">
        <f>IFERROR(__xludf.DUMMYFUNCTION("GOOGLETRANSLATE(C842, ""en"", ""ar"")"),"بالغ")</f>
        <v>بالغ</v>
      </c>
      <c r="J842" s="8"/>
      <c r="K842" s="7" t="str">
        <f>IFERROR(__xludf.DUMMYFUNCTION("CONCAT(REGEXREPLACE(C842,""[ ,]+"",""_""),"".mp3"")"),"adult.mp3")</f>
        <v>adult.mp3</v>
      </c>
      <c r="M842" s="4" t="s">
        <v>10</v>
      </c>
    </row>
    <row r="843" ht="15.75" customHeight="1">
      <c r="A843" s="1">
        <v>2211.0</v>
      </c>
      <c r="B843" s="3">
        <v>146.0</v>
      </c>
      <c r="C843" s="7" t="s">
        <v>874</v>
      </c>
      <c r="D843" s="8" t="str">
        <f>IFERROR(__xludf.DUMMYFUNCTION("GOOGLETRANSLATE(C843, ""en"", ""pt"")"),"avô")</f>
        <v>avô</v>
      </c>
      <c r="E843" s="8" t="str">
        <f>IFERROR(__xludf.DUMMYFUNCTION("GOOGLETRANSLATE(C843, ""en"", ""es"")"),"abuelo")</f>
        <v>abuelo</v>
      </c>
      <c r="F843" s="8" t="str">
        <f>IFERROR(__xludf.DUMMYFUNCTION("GOOGLETRANSLATE(C843, ""en"", ""fr"")"),"grand-père")</f>
        <v>grand-père</v>
      </c>
      <c r="G843" s="8" t="str">
        <f>IFERROR(__xludf.DUMMYFUNCTION("GOOGLETRANSLATE(C843, ""en"", ""de"")"),"Großvater")</f>
        <v>Großvater</v>
      </c>
      <c r="H843" s="8" t="str">
        <f>IFERROR(__xludf.DUMMYFUNCTION("GOOGLETRANSLATE(C843, ""en"", ""ru"")"),"дедушка")</f>
        <v>дедушка</v>
      </c>
      <c r="I843" s="8" t="str">
        <f>IFERROR(__xludf.DUMMYFUNCTION("GOOGLETRANSLATE(C843, ""en"", ""ar"")"),"الجد")</f>
        <v>الجد</v>
      </c>
      <c r="J843" s="8"/>
      <c r="K843" s="7" t="str">
        <f>IFERROR(__xludf.DUMMYFUNCTION("CONCAT(REGEXREPLACE(C843,""[ ,]+"",""_""),"".mp3"")"),"grandfather.mp3")</f>
        <v>grandfather.mp3</v>
      </c>
      <c r="M843" s="4" t="s">
        <v>10</v>
      </c>
    </row>
    <row r="844" ht="15.75" customHeight="1">
      <c r="A844" s="1">
        <v>2212.0</v>
      </c>
      <c r="B844" s="3">
        <v>146.0</v>
      </c>
      <c r="C844" s="7" t="s">
        <v>875</v>
      </c>
      <c r="D844" s="8" t="str">
        <f>IFERROR(__xludf.DUMMYFUNCTION("GOOGLETRANSLATE(C844, ""en"", ""pt"")"),"avó")</f>
        <v>avó</v>
      </c>
      <c r="E844" s="8" t="str">
        <f>IFERROR(__xludf.DUMMYFUNCTION("GOOGLETRANSLATE(C844, ""en"", ""es"")"),"abuela")</f>
        <v>abuela</v>
      </c>
      <c r="F844" s="8" t="str">
        <f>IFERROR(__xludf.DUMMYFUNCTION("GOOGLETRANSLATE(C844, ""en"", ""fr"")"),"grand-mère")</f>
        <v>grand-mère</v>
      </c>
      <c r="G844" s="8" t="str">
        <f>IFERROR(__xludf.DUMMYFUNCTION("GOOGLETRANSLATE(C844, ""en"", ""de"")"),"Großmutter")</f>
        <v>Großmutter</v>
      </c>
      <c r="H844" s="8" t="str">
        <f>IFERROR(__xludf.DUMMYFUNCTION("GOOGLETRANSLATE(C844, ""en"", ""ru"")"),"бабушка")</f>
        <v>бабушка</v>
      </c>
      <c r="I844" s="8" t="str">
        <f>IFERROR(__xludf.DUMMYFUNCTION("GOOGLETRANSLATE(C844, ""en"", ""ar"")"),"جدة")</f>
        <v>جدة</v>
      </c>
      <c r="J844" s="8"/>
      <c r="K844" s="7" t="str">
        <f>IFERROR(__xludf.DUMMYFUNCTION("CONCAT(REGEXREPLACE(C844,""[ ,]+"",""_""),"".mp3"")"),"grandmother.mp3")</f>
        <v>grandmother.mp3</v>
      </c>
      <c r="M844" s="4" t="s">
        <v>10</v>
      </c>
    </row>
    <row r="845" ht="15.75" customHeight="1">
      <c r="A845" s="1">
        <v>2213.0</v>
      </c>
      <c r="B845" s="3">
        <v>146.0</v>
      </c>
      <c r="C845" s="7" t="s">
        <v>876</v>
      </c>
      <c r="D845" s="8" t="str">
        <f>IFERROR(__xludf.DUMMYFUNCTION("GOOGLETRANSLATE(C845, ""en"", ""pt"")"),"avós")</f>
        <v>avós</v>
      </c>
      <c r="E845" s="8" t="str">
        <f>IFERROR(__xludf.DUMMYFUNCTION("GOOGLETRANSLATE(C845, ""en"", ""es"")"),"abuelos")</f>
        <v>abuelos</v>
      </c>
      <c r="F845" s="8" t="str">
        <f>IFERROR(__xludf.DUMMYFUNCTION("GOOGLETRANSLATE(C845, ""en"", ""fr"")"),"grands-parents")</f>
        <v>grands-parents</v>
      </c>
      <c r="G845" s="8" t="str">
        <f>IFERROR(__xludf.DUMMYFUNCTION("GOOGLETRANSLATE(C845, ""en"", ""de"")"),"Großeltern")</f>
        <v>Großeltern</v>
      </c>
      <c r="H845" s="8" t="str">
        <f>IFERROR(__xludf.DUMMYFUNCTION("GOOGLETRANSLATE(C845, ""en"", ""ru"")"),"бабушки и дедушки")</f>
        <v>бабушки и дедушки</v>
      </c>
      <c r="I845" s="8" t="str">
        <f>IFERROR(__xludf.DUMMYFUNCTION("GOOGLETRANSLATE(C845, ""en"", ""ar"")"),"الأجداد")</f>
        <v>الأجداد</v>
      </c>
      <c r="J845" s="8"/>
      <c r="K845" s="7" t="str">
        <f>IFERROR(__xludf.DUMMYFUNCTION("CONCAT(REGEXREPLACE(C845,""[ ,]+"",""_""),"".mp3"")"),"grandparents.mp3")</f>
        <v>grandparents.mp3</v>
      </c>
      <c r="M845" s="4" t="s">
        <v>10</v>
      </c>
    </row>
    <row r="846" ht="15.75" customHeight="1">
      <c r="A846" s="1">
        <v>2214.0</v>
      </c>
      <c r="B846" s="3">
        <v>146.0</v>
      </c>
      <c r="C846" s="7" t="s">
        <v>877</v>
      </c>
      <c r="D846" s="8" t="str">
        <f>IFERROR(__xludf.DUMMYFUNCTION("GOOGLETRANSLATE(C846, ""en"", ""pt"")"),"neto")</f>
        <v>neto</v>
      </c>
      <c r="E846" s="8" t="str">
        <f>IFERROR(__xludf.DUMMYFUNCTION("GOOGLETRANSLATE(C846, ""en"", ""es"")"),"nieto")</f>
        <v>nieto</v>
      </c>
      <c r="F846" s="8" t="str">
        <f>IFERROR(__xludf.DUMMYFUNCTION("GOOGLETRANSLATE(C846, ""en"", ""fr"")"),"petit fils")</f>
        <v>petit fils</v>
      </c>
      <c r="G846" s="8" t="str">
        <f>IFERROR(__xludf.DUMMYFUNCTION("GOOGLETRANSLATE(C846, ""en"", ""de"")"),"Enkel")</f>
        <v>Enkel</v>
      </c>
      <c r="H846" s="8" t="str">
        <f>IFERROR(__xludf.DUMMYFUNCTION("GOOGLETRANSLATE(C846, ""en"", ""ru"")"),"внук")</f>
        <v>внук</v>
      </c>
      <c r="I846" s="8" t="str">
        <f>IFERROR(__xludf.DUMMYFUNCTION("GOOGLETRANSLATE(C846, ""en"", ""ar"")"),"حفيد")</f>
        <v>حفيد</v>
      </c>
      <c r="J846" s="8"/>
      <c r="K846" s="7" t="str">
        <f>IFERROR(__xludf.DUMMYFUNCTION("CONCAT(REGEXREPLACE(C846,""[ ,]+"",""_""),"".mp3"")"),"grandson.mp3")</f>
        <v>grandson.mp3</v>
      </c>
      <c r="M846" s="4" t="s">
        <v>10</v>
      </c>
    </row>
    <row r="847" ht="15.75" customHeight="1">
      <c r="A847" s="1">
        <v>2215.0</v>
      </c>
      <c r="B847" s="3">
        <v>146.0</v>
      </c>
      <c r="C847" s="7" t="s">
        <v>878</v>
      </c>
      <c r="D847" s="8" t="str">
        <f>IFERROR(__xludf.DUMMYFUNCTION("GOOGLETRANSLATE(C847, ""en"", ""pt"")"),"neta")</f>
        <v>neta</v>
      </c>
      <c r="E847" s="8" t="str">
        <f>IFERROR(__xludf.DUMMYFUNCTION("GOOGLETRANSLATE(C847, ""en"", ""es"")"),"nieta")</f>
        <v>nieta</v>
      </c>
      <c r="F847" s="8" t="str">
        <f>IFERROR(__xludf.DUMMYFUNCTION("GOOGLETRANSLATE(C847, ""en"", ""fr"")"),"petite fille")</f>
        <v>petite fille</v>
      </c>
      <c r="G847" s="8" t="str">
        <f>IFERROR(__xludf.DUMMYFUNCTION("GOOGLETRANSLATE(C847, ""en"", ""de"")"),"Enkelin")</f>
        <v>Enkelin</v>
      </c>
      <c r="H847" s="8" t="str">
        <f>IFERROR(__xludf.DUMMYFUNCTION("GOOGLETRANSLATE(C847, ""en"", ""ru"")"),"внучка")</f>
        <v>внучка</v>
      </c>
      <c r="I847" s="8" t="str">
        <f>IFERROR(__xludf.DUMMYFUNCTION("GOOGLETRANSLATE(C847, ""en"", ""ar"")"),"حفيدة")</f>
        <v>حفيدة</v>
      </c>
      <c r="J847" s="8"/>
      <c r="K847" s="7" t="str">
        <f>IFERROR(__xludf.DUMMYFUNCTION("CONCAT(REGEXREPLACE(C847,""[ ,]+"",""_""),"".mp3"")"),"granddaughter.mp3")</f>
        <v>granddaughter.mp3</v>
      </c>
      <c r="M847" s="4" t="s">
        <v>10</v>
      </c>
    </row>
    <row r="848" ht="15.75" customHeight="1">
      <c r="A848" s="1">
        <v>2216.0</v>
      </c>
      <c r="B848" s="3">
        <v>146.0</v>
      </c>
      <c r="C848" s="7" t="s">
        <v>879</v>
      </c>
      <c r="D848" s="8" t="str">
        <f>IFERROR(__xludf.DUMMYFUNCTION("GOOGLETRANSLATE(C848, ""en"", ""pt"")"),"netos")</f>
        <v>netos</v>
      </c>
      <c r="E848" s="8" t="str">
        <f>IFERROR(__xludf.DUMMYFUNCTION("GOOGLETRANSLATE(C848, ""en"", ""es"")"),"nietos")</f>
        <v>nietos</v>
      </c>
      <c r="F848" s="8" t="str">
        <f>IFERROR(__xludf.DUMMYFUNCTION("GOOGLETRANSLATE(C848, ""en"", ""fr"")"),"petits enfants")</f>
        <v>petits enfants</v>
      </c>
      <c r="G848" s="8" t="str">
        <f>IFERROR(__xludf.DUMMYFUNCTION("GOOGLETRANSLATE(C848, ""en"", ""de"")"),"Enkelkinder")</f>
        <v>Enkelkinder</v>
      </c>
      <c r="H848" s="8" t="str">
        <f>IFERROR(__xludf.DUMMYFUNCTION("GOOGLETRANSLATE(C848, ""en"", ""ru"")"),"внуки")</f>
        <v>внуки</v>
      </c>
      <c r="I848" s="8" t="str">
        <f>IFERROR(__xludf.DUMMYFUNCTION("GOOGLETRANSLATE(C848, ""en"", ""ar"")"),"أحفاد")</f>
        <v>أحفاد</v>
      </c>
      <c r="J848" s="8"/>
      <c r="K848" s="7" t="str">
        <f>IFERROR(__xludf.DUMMYFUNCTION("CONCAT(REGEXREPLACE(C848,""[ ,]+"",""_""),"".mp3"")"),"grandchildren.mp3")</f>
        <v>grandchildren.mp3</v>
      </c>
      <c r="M848" s="4" t="s">
        <v>10</v>
      </c>
    </row>
    <row r="849" ht="15.75" customHeight="1">
      <c r="A849" s="1">
        <v>2217.0</v>
      </c>
      <c r="B849" s="3">
        <v>146.0</v>
      </c>
      <c r="C849" s="7" t="s">
        <v>880</v>
      </c>
      <c r="D849" s="8" t="str">
        <f>IFERROR(__xludf.DUMMYFUNCTION("GOOGLETRANSLATE(C849, ""en"", ""pt"")"),"bisavô")</f>
        <v>bisavô</v>
      </c>
      <c r="E849" s="8" t="str">
        <f>IFERROR(__xludf.DUMMYFUNCTION("GOOGLETRANSLATE(C849, ""en"", ""es"")"),"tatarabuelo")</f>
        <v>tatarabuelo</v>
      </c>
      <c r="F849" s="8" t="str">
        <f>IFERROR(__xludf.DUMMYFUNCTION("GOOGLETRANSLATE(C849, ""en"", ""fr"")"),"arrière-grand-père")</f>
        <v>arrière-grand-père</v>
      </c>
      <c r="G849" s="8" t="str">
        <f>IFERROR(__xludf.DUMMYFUNCTION("GOOGLETRANSLATE(C849, ""en"", ""de"")"),"Urgroßvater")</f>
        <v>Urgroßvater</v>
      </c>
      <c r="H849" s="8" t="str">
        <f>IFERROR(__xludf.DUMMYFUNCTION("GOOGLETRANSLATE(C849, ""en"", ""ru"")"),"прадед")</f>
        <v>прадед</v>
      </c>
      <c r="I849" s="8" t="str">
        <f>IFERROR(__xludf.DUMMYFUNCTION("GOOGLETRANSLATE(C849, ""en"", ""ar"")"),"الجد الأكبر")</f>
        <v>الجد الأكبر</v>
      </c>
      <c r="J849" s="8"/>
      <c r="K849" s="7" t="str">
        <f>IFERROR(__xludf.DUMMYFUNCTION("CONCAT(REGEXREPLACE(C849,""[ ,]+"",""_""),"".mp3"")"),"great‑grandfather.mp3")</f>
        <v>great‑grandfather.mp3</v>
      </c>
      <c r="M849" s="4" t="s">
        <v>10</v>
      </c>
    </row>
    <row r="850" ht="15.75" customHeight="1">
      <c r="A850" s="1">
        <v>2218.0</v>
      </c>
      <c r="B850" s="3">
        <v>146.0</v>
      </c>
      <c r="C850" s="7" t="s">
        <v>881</v>
      </c>
      <c r="D850" s="8" t="str">
        <f>IFERROR(__xludf.DUMMYFUNCTION("GOOGLETRANSLATE(C850, ""en"", ""pt"")"),"bisavó")</f>
        <v>bisavó</v>
      </c>
      <c r="E850" s="8" t="str">
        <f>IFERROR(__xludf.DUMMYFUNCTION("GOOGLETRANSLATE(C850, ""en"", ""es"")"),"bisabuela")</f>
        <v>bisabuela</v>
      </c>
      <c r="F850" s="8" t="str">
        <f>IFERROR(__xludf.DUMMYFUNCTION("GOOGLETRANSLATE(C850, ""en"", ""fr"")"),"arrière grand-mère")</f>
        <v>arrière grand-mère</v>
      </c>
      <c r="G850" s="8" t="str">
        <f>IFERROR(__xludf.DUMMYFUNCTION("GOOGLETRANSLATE(C850, ""en"", ""de"")"),"Urgroßmutter")</f>
        <v>Urgroßmutter</v>
      </c>
      <c r="H850" s="8" t="str">
        <f>IFERROR(__xludf.DUMMYFUNCTION("GOOGLETRANSLATE(C850, ""en"", ""ru"")"),"прабабушка")</f>
        <v>прабабушка</v>
      </c>
      <c r="I850" s="8" t="str">
        <f>IFERROR(__xludf.DUMMYFUNCTION("GOOGLETRANSLATE(C850, ""en"", ""ar"")"),"جدة عظيمة")</f>
        <v>جدة عظيمة</v>
      </c>
      <c r="J850" s="8"/>
      <c r="K850" s="7" t="str">
        <f>IFERROR(__xludf.DUMMYFUNCTION("CONCAT(REGEXREPLACE(C850,""[ ,]+"",""_""),"".mp3"")"),"great‑grandmother.mp3")</f>
        <v>great‑grandmother.mp3</v>
      </c>
      <c r="M850" s="4" t="s">
        <v>10</v>
      </c>
    </row>
    <row r="851" ht="15.75" customHeight="1">
      <c r="A851" s="1">
        <v>2219.0</v>
      </c>
      <c r="B851" s="3">
        <v>146.0</v>
      </c>
      <c r="C851" s="7" t="s">
        <v>882</v>
      </c>
      <c r="D851" s="8" t="str">
        <f>IFERROR(__xludf.DUMMYFUNCTION("GOOGLETRANSLATE(C851, ""en"", ""pt"")"),"bisneto")</f>
        <v>bisneto</v>
      </c>
      <c r="E851" s="8" t="str">
        <f>IFERROR(__xludf.DUMMYFUNCTION("GOOGLETRANSLATE(C851, ""en"", ""es"")"),"bisnieto")</f>
        <v>bisnieto</v>
      </c>
      <c r="F851" s="8" t="str">
        <f>IFERROR(__xludf.DUMMYFUNCTION("GOOGLETRANSLATE(C851, ""en"", ""fr"")"),"arrière-petit-fils")</f>
        <v>arrière-petit-fils</v>
      </c>
      <c r="G851" s="8" t="str">
        <f>IFERROR(__xludf.DUMMYFUNCTION("GOOGLETRANSLATE(C851, ""en"", ""de"")"),"Urenkel")</f>
        <v>Urenkel</v>
      </c>
      <c r="H851" s="8" t="str">
        <f>IFERROR(__xludf.DUMMYFUNCTION("GOOGLETRANSLATE(C851, ""en"", ""ru"")"),"правнук")</f>
        <v>правнук</v>
      </c>
      <c r="I851" s="8" t="str">
        <f>IFERROR(__xludf.DUMMYFUNCTION("GOOGLETRANSLATE(C851, ""en"", ""ar"")"),"حفيد حفيد")</f>
        <v>حفيد حفيد</v>
      </c>
      <c r="J851" s="8"/>
      <c r="K851" s="7" t="str">
        <f>IFERROR(__xludf.DUMMYFUNCTION("CONCAT(REGEXREPLACE(C851,""[ ,]+"",""_""),"".mp3"")"),"great‑grandson.mp3")</f>
        <v>great‑grandson.mp3</v>
      </c>
      <c r="M851" s="4" t="s">
        <v>10</v>
      </c>
    </row>
    <row r="852" ht="15.75" customHeight="1">
      <c r="A852" s="1">
        <v>2220.0</v>
      </c>
      <c r="B852" s="3">
        <v>146.0</v>
      </c>
      <c r="C852" s="7" t="s">
        <v>883</v>
      </c>
      <c r="D852" s="8" t="str">
        <f>IFERROR(__xludf.DUMMYFUNCTION("GOOGLETRANSLATE(C852, ""en"", ""pt"")"),"bisneta")</f>
        <v>bisneta</v>
      </c>
      <c r="E852" s="8" t="str">
        <f>IFERROR(__xludf.DUMMYFUNCTION("GOOGLETRANSLATE(C852, ""en"", ""es"")"),"bisnieta")</f>
        <v>bisnieta</v>
      </c>
      <c r="F852" s="8" t="str">
        <f>IFERROR(__xludf.DUMMYFUNCTION("GOOGLETRANSLATE(C852, ""en"", ""fr"")"),"arrière-petite-fille")</f>
        <v>arrière-petite-fille</v>
      </c>
      <c r="G852" s="8" t="str">
        <f>IFERROR(__xludf.DUMMYFUNCTION("GOOGLETRANSLATE(C852, ""en"", ""de"")"),"Urenkelin")</f>
        <v>Urenkelin</v>
      </c>
      <c r="H852" s="8" t="str">
        <f>IFERROR(__xludf.DUMMYFUNCTION("GOOGLETRANSLATE(C852, ""en"", ""ru"")"),"правнучка")</f>
        <v>правнучка</v>
      </c>
      <c r="I852" s="8" t="str">
        <f>IFERROR(__xludf.DUMMYFUNCTION("GOOGLETRANSLATE(C852, ""en"", ""ar"")"),"حفيدة حفيدتها")</f>
        <v>حفيدة حفيدتها</v>
      </c>
      <c r="J852" s="8"/>
      <c r="K852" s="7" t="str">
        <f>IFERROR(__xludf.DUMMYFUNCTION("CONCAT(REGEXREPLACE(C852,""[ ,]+"",""_""),"".mp3"")"),"great‑granddaughter.mp3")</f>
        <v>great‑granddaughter.mp3</v>
      </c>
      <c r="M852" s="4" t="s">
        <v>10</v>
      </c>
    </row>
    <row r="853" ht="15.75" customHeight="1">
      <c r="A853" s="1">
        <v>2221.0</v>
      </c>
      <c r="B853" s="3">
        <v>146.0</v>
      </c>
      <c r="C853" s="7" t="s">
        <v>884</v>
      </c>
      <c r="D853" s="8" t="str">
        <f>IFERROR(__xludf.DUMMYFUNCTION("GOOGLETRANSLATE(C853, ""en"", ""pt"")"),"tio")</f>
        <v>tio</v>
      </c>
      <c r="E853" s="8" t="str">
        <f>IFERROR(__xludf.DUMMYFUNCTION("GOOGLETRANSLATE(C853, ""en"", ""es"")"),"tío")</f>
        <v>tío</v>
      </c>
      <c r="F853" s="8" t="str">
        <f>IFERROR(__xludf.DUMMYFUNCTION("GOOGLETRANSLATE(C853, ""en"", ""fr"")"),"oncle")</f>
        <v>oncle</v>
      </c>
      <c r="G853" s="8" t="str">
        <f>IFERROR(__xludf.DUMMYFUNCTION("GOOGLETRANSLATE(C853, ""en"", ""de"")"),"Onkel")</f>
        <v>Onkel</v>
      </c>
      <c r="H853" s="8" t="str">
        <f>IFERROR(__xludf.DUMMYFUNCTION("GOOGLETRANSLATE(C853, ""en"", ""ru"")"),"дядя")</f>
        <v>дядя</v>
      </c>
      <c r="I853" s="8" t="str">
        <f>IFERROR(__xludf.DUMMYFUNCTION("GOOGLETRANSLATE(C853, ""en"", ""ar"")"),"عم")</f>
        <v>عم</v>
      </c>
      <c r="J853" s="8"/>
      <c r="K853" s="7" t="str">
        <f>IFERROR(__xludf.DUMMYFUNCTION("CONCAT(REGEXREPLACE(C853,""[ ,]+"",""_""),"".mp3"")"),"uncle.mp3")</f>
        <v>uncle.mp3</v>
      </c>
      <c r="M853" s="4" t="s">
        <v>10</v>
      </c>
    </row>
    <row r="854" ht="15.75" customHeight="1">
      <c r="A854" s="1">
        <v>2222.0</v>
      </c>
      <c r="B854" s="3">
        <v>146.0</v>
      </c>
      <c r="C854" s="7" t="s">
        <v>885</v>
      </c>
      <c r="D854" s="8" t="str">
        <f>IFERROR(__xludf.DUMMYFUNCTION("GOOGLETRANSLATE(C854, ""en"", ""pt"")"),"tia")</f>
        <v>tia</v>
      </c>
      <c r="E854" s="8" t="str">
        <f>IFERROR(__xludf.DUMMYFUNCTION("GOOGLETRANSLATE(C854, ""en"", ""es"")"),"tía")</f>
        <v>tía</v>
      </c>
      <c r="F854" s="8" t="str">
        <f>IFERROR(__xludf.DUMMYFUNCTION("GOOGLETRANSLATE(C854, ""en"", ""fr"")"),"tante")</f>
        <v>tante</v>
      </c>
      <c r="G854" s="8" t="str">
        <f>IFERROR(__xludf.DUMMYFUNCTION("GOOGLETRANSLATE(C854, ""en"", ""de"")"),"Tante")</f>
        <v>Tante</v>
      </c>
      <c r="H854" s="8" t="str">
        <f>IFERROR(__xludf.DUMMYFUNCTION("GOOGLETRANSLATE(C854, ""en"", ""ru"")"),"тетя")</f>
        <v>тетя</v>
      </c>
      <c r="I854" s="8" t="str">
        <f>IFERROR(__xludf.DUMMYFUNCTION("GOOGLETRANSLATE(C854, ""en"", ""ar"")"),"عمة")</f>
        <v>عمة</v>
      </c>
      <c r="J854" s="8"/>
      <c r="K854" s="7" t="str">
        <f>IFERROR(__xludf.DUMMYFUNCTION("CONCAT(REGEXREPLACE(C854,""[ ,]+"",""_""),"".mp3"")"),"aunt.mp3")</f>
        <v>aunt.mp3</v>
      </c>
      <c r="M854" s="4" t="s">
        <v>10</v>
      </c>
    </row>
    <row r="855" ht="15.75" customHeight="1">
      <c r="A855" s="1">
        <v>2223.0</v>
      </c>
      <c r="B855" s="3">
        <v>146.0</v>
      </c>
      <c r="C855" s="7" t="s">
        <v>886</v>
      </c>
      <c r="D855" s="8" t="str">
        <f>IFERROR(__xludf.DUMMYFUNCTION("GOOGLETRANSLATE(C855, ""en"", ""pt"")"),"primo")</f>
        <v>primo</v>
      </c>
      <c r="E855" s="8" t="str">
        <f>IFERROR(__xludf.DUMMYFUNCTION("GOOGLETRANSLATE(C855, ""en"", ""es"")"),"primo")</f>
        <v>primo</v>
      </c>
      <c r="F855" s="8" t="str">
        <f>IFERROR(__xludf.DUMMYFUNCTION("GOOGLETRANSLATE(C855, ""en"", ""fr"")"),"cousin")</f>
        <v>cousin</v>
      </c>
      <c r="G855" s="8" t="str">
        <f>IFERROR(__xludf.DUMMYFUNCTION("GOOGLETRANSLATE(C855, ""en"", ""de"")"),"Cousin")</f>
        <v>Cousin</v>
      </c>
      <c r="H855" s="8" t="str">
        <f>IFERROR(__xludf.DUMMYFUNCTION("GOOGLETRANSLATE(C855, ""en"", ""ru"")"),"двоюродный брат")</f>
        <v>двоюродный брат</v>
      </c>
      <c r="I855" s="8" t="str">
        <f>IFERROR(__xludf.DUMMYFUNCTION("GOOGLETRANSLATE(C855, ""en"", ""ar"")"),"ابن عم")</f>
        <v>ابن عم</v>
      </c>
      <c r="J855" s="8"/>
      <c r="K855" s="7" t="str">
        <f>IFERROR(__xludf.DUMMYFUNCTION("CONCAT(REGEXREPLACE(C855,""[ ,]+"",""_""),"".mp3"")"),"cousin.mp3")</f>
        <v>cousin.mp3</v>
      </c>
      <c r="M855" s="4" t="s">
        <v>10</v>
      </c>
    </row>
    <row r="856" ht="15.75" customHeight="1">
      <c r="A856" s="1">
        <v>2224.0</v>
      </c>
      <c r="B856" s="3">
        <v>146.0</v>
      </c>
      <c r="C856" s="7" t="s">
        <v>887</v>
      </c>
      <c r="D856" s="8" t="str">
        <f>IFERROR(__xludf.DUMMYFUNCTION("GOOGLETRANSLATE(C856, ""en"", ""pt"")"),"sobrinho")</f>
        <v>sobrinho</v>
      </c>
      <c r="E856" s="8" t="str">
        <f>IFERROR(__xludf.DUMMYFUNCTION("GOOGLETRANSLATE(C856, ""en"", ""es"")"),"sobrino")</f>
        <v>sobrino</v>
      </c>
      <c r="F856" s="8" t="str">
        <f>IFERROR(__xludf.DUMMYFUNCTION("GOOGLETRANSLATE(C856, ""en"", ""fr"")"),"neveu")</f>
        <v>neveu</v>
      </c>
      <c r="G856" s="8" t="str">
        <f>IFERROR(__xludf.DUMMYFUNCTION("GOOGLETRANSLATE(C856, ""en"", ""de"")"),"Neffe")</f>
        <v>Neffe</v>
      </c>
      <c r="H856" s="8" t="str">
        <f>IFERROR(__xludf.DUMMYFUNCTION("GOOGLETRANSLATE(C856, ""en"", ""ru"")"),"племянник")</f>
        <v>племянник</v>
      </c>
      <c r="I856" s="8" t="str">
        <f>IFERROR(__xludf.DUMMYFUNCTION("GOOGLETRANSLATE(C856, ""en"", ""ar"")"),"ابن الأخ")</f>
        <v>ابن الأخ</v>
      </c>
      <c r="J856" s="8"/>
      <c r="K856" s="7" t="str">
        <f>IFERROR(__xludf.DUMMYFUNCTION("CONCAT(REGEXREPLACE(C856,""[ ,]+"",""_""),"".mp3"")"),"nephew.mp3")</f>
        <v>nephew.mp3</v>
      </c>
      <c r="M856" s="4" t="s">
        <v>10</v>
      </c>
    </row>
    <row r="857" ht="15.75" customHeight="1">
      <c r="A857" s="1">
        <v>2225.0</v>
      </c>
      <c r="B857" s="3">
        <v>146.0</v>
      </c>
      <c r="C857" s="7" t="s">
        <v>888</v>
      </c>
      <c r="D857" s="8" t="str">
        <f>IFERROR(__xludf.DUMMYFUNCTION("GOOGLETRANSLATE(C857, ""en"", ""pt"")"),"sobrinha")</f>
        <v>sobrinha</v>
      </c>
      <c r="E857" s="8" t="str">
        <f>IFERROR(__xludf.DUMMYFUNCTION("GOOGLETRANSLATE(C857, ""en"", ""es"")"),"sobrina")</f>
        <v>sobrina</v>
      </c>
      <c r="F857" s="8" t="str">
        <f>IFERROR(__xludf.DUMMYFUNCTION("GOOGLETRANSLATE(C857, ""en"", ""fr"")"),"nièce")</f>
        <v>nièce</v>
      </c>
      <c r="G857" s="8" t="str">
        <f>IFERROR(__xludf.DUMMYFUNCTION("GOOGLETRANSLATE(C857, ""en"", ""de"")"),"Nichte")</f>
        <v>Nichte</v>
      </c>
      <c r="H857" s="8" t="str">
        <f>IFERROR(__xludf.DUMMYFUNCTION("GOOGLETRANSLATE(C857, ""en"", ""ru"")"),"племянница")</f>
        <v>племянница</v>
      </c>
      <c r="I857" s="8" t="str">
        <f>IFERROR(__xludf.DUMMYFUNCTION("GOOGLETRANSLATE(C857, ""en"", ""ar"")"),"ابنة الأخت")</f>
        <v>ابنة الأخت</v>
      </c>
      <c r="J857" s="8"/>
      <c r="K857" s="7" t="str">
        <f>IFERROR(__xludf.DUMMYFUNCTION("CONCAT(REGEXREPLACE(C857,""[ ,]+"",""_""),"".mp3"")"),"niece.mp3")</f>
        <v>niece.mp3</v>
      </c>
      <c r="M857" s="4" t="s">
        <v>10</v>
      </c>
    </row>
    <row r="858" ht="15.75" customHeight="1">
      <c r="A858" s="1">
        <v>2226.0</v>
      </c>
      <c r="B858" s="3">
        <v>146.0</v>
      </c>
      <c r="C858" s="7" t="s">
        <v>889</v>
      </c>
      <c r="D858" s="8" t="str">
        <f>IFERROR(__xludf.DUMMYFUNCTION("GOOGLETRANSLATE(C858, ""en"", ""pt"")"),"tio-avô")</f>
        <v>tio-avô</v>
      </c>
      <c r="E858" s="8" t="str">
        <f>IFERROR(__xludf.DUMMYFUNCTION("GOOGLETRANSLATE(C858, ""en"", ""es"")"),"tío abuelo")</f>
        <v>tío abuelo</v>
      </c>
      <c r="F858" s="8" t="str">
        <f>IFERROR(__xludf.DUMMYFUNCTION("GOOGLETRANSLATE(C858, ""en"", ""fr"")"),"grand-oncle")</f>
        <v>grand-oncle</v>
      </c>
      <c r="G858" s="8" t="str">
        <f>IFERROR(__xludf.DUMMYFUNCTION("GOOGLETRANSLATE(C858, ""en"", ""de"")"),"Großonkel")</f>
        <v>Großonkel</v>
      </c>
      <c r="H858" s="8" t="str">
        <f>IFERROR(__xludf.DUMMYFUNCTION("GOOGLETRANSLATE(C858, ""en"", ""ru"")"),"двоюродный дядя")</f>
        <v>двоюродный дядя</v>
      </c>
      <c r="I858" s="8" t="str">
        <f>IFERROR(__xludf.DUMMYFUNCTION("GOOGLETRANSLATE(C858, ""en"", ""ar"")"),"العم الأكبر")</f>
        <v>العم الأكبر</v>
      </c>
      <c r="J858" s="8"/>
      <c r="K858" s="7" t="str">
        <f>IFERROR(__xludf.DUMMYFUNCTION("CONCAT(REGEXREPLACE(C858,""[ ,]+"",""_""),"".mp3"")"),"great‑uncle.mp3")</f>
        <v>great‑uncle.mp3</v>
      </c>
      <c r="M858" s="4" t="s">
        <v>10</v>
      </c>
    </row>
    <row r="859" ht="15.75" customHeight="1">
      <c r="A859" s="1">
        <v>2227.0</v>
      </c>
      <c r="B859" s="3">
        <v>146.0</v>
      </c>
      <c r="C859" s="7" t="s">
        <v>890</v>
      </c>
      <c r="D859" s="8" t="str">
        <f>IFERROR(__xludf.DUMMYFUNCTION("GOOGLETRANSLATE(C859, ""en"", ""pt"")"),"tia-avó")</f>
        <v>tia-avó</v>
      </c>
      <c r="E859" s="8" t="str">
        <f>IFERROR(__xludf.DUMMYFUNCTION("GOOGLETRANSLATE(C859, ""en"", ""es"")"),"tía abuela")</f>
        <v>tía abuela</v>
      </c>
      <c r="F859" s="8" t="str">
        <f>IFERROR(__xludf.DUMMYFUNCTION("GOOGLETRANSLATE(C859, ""en"", ""fr"")"),"grand-tante")</f>
        <v>grand-tante</v>
      </c>
      <c r="G859" s="8" t="str">
        <f>IFERROR(__xludf.DUMMYFUNCTION("GOOGLETRANSLATE(C859, ""en"", ""de"")"),"Großtante")</f>
        <v>Großtante</v>
      </c>
      <c r="H859" s="8" t="str">
        <f>IFERROR(__xludf.DUMMYFUNCTION("GOOGLETRANSLATE(C859, ""en"", ""ru"")"),"двоюродная бабушка")</f>
        <v>двоюродная бабушка</v>
      </c>
      <c r="I859" s="8" t="str">
        <f>IFERROR(__xludf.DUMMYFUNCTION("GOOGLETRANSLATE(C859, ""en"", ""ar"")"),"العمة الكبرى")</f>
        <v>العمة الكبرى</v>
      </c>
      <c r="J859" s="8"/>
      <c r="K859" s="7" t="str">
        <f>IFERROR(__xludf.DUMMYFUNCTION("CONCAT(REGEXREPLACE(C859,""[ ,]+"",""_""),"".mp3"")"),"great‑aunt.mp3")</f>
        <v>great‑aunt.mp3</v>
      </c>
      <c r="M859" s="4" t="s">
        <v>10</v>
      </c>
    </row>
    <row r="860" ht="15.75" customHeight="1">
      <c r="A860" s="1">
        <v>2228.0</v>
      </c>
      <c r="B860" s="3">
        <v>146.0</v>
      </c>
      <c r="C860" s="7" t="s">
        <v>891</v>
      </c>
      <c r="D860" s="8" t="str">
        <f>IFERROR(__xludf.DUMMYFUNCTION("GOOGLETRANSLATE(C860, ""en"", ""pt"")"),"primo em primeiro grau uma vez removido")</f>
        <v>primo em primeiro grau uma vez removido</v>
      </c>
      <c r="E860" s="8" t="str">
        <f>IFERROR(__xludf.DUMMYFUNCTION("GOOGLETRANSLATE(C860, ""en"", ""es"")"),"primo hermano una vez removido")</f>
        <v>primo hermano una vez removido</v>
      </c>
      <c r="F860" s="8" t="str">
        <f>IFERROR(__xludf.DUMMYFUNCTION("GOOGLETRANSLATE(C860, ""en"", ""fr"")"),"cousin germain une fois éloigné")</f>
        <v>cousin germain une fois éloigné</v>
      </c>
      <c r="G860" s="8" t="str">
        <f>IFERROR(__xludf.DUMMYFUNCTION("GOOGLETRANSLATE(C860, ""en"", ""de"")"),"Cousin ersten Grades zweiten Grades")</f>
        <v>Cousin ersten Grades zweiten Grades</v>
      </c>
      <c r="H860" s="8" t="str">
        <f>IFERROR(__xludf.DUMMYFUNCTION("GOOGLETRANSLATE(C860, ""en"", ""ru"")"),"двоюродный брат в третьем поколении")</f>
        <v>двоюродный брат в третьем поколении</v>
      </c>
      <c r="I860" s="8" t="str">
        <f>IFERROR(__xludf.DUMMYFUNCTION("GOOGLETRANSLATE(C860, ""en"", ""ar"")"),"ابن عم من الدرجة الثانية")</f>
        <v>ابن عم من الدرجة الثانية</v>
      </c>
      <c r="J860" s="8"/>
      <c r="K860" s="7" t="str">
        <f>IFERROR(__xludf.DUMMYFUNCTION("CONCAT(REGEXREPLACE(C860,""[ ,]+"",""_""),"".mp3"")"),"first_cousin_once_removed.mp3")</f>
        <v>first_cousin_once_removed.mp3</v>
      </c>
      <c r="M860" s="4" t="s">
        <v>10</v>
      </c>
    </row>
    <row r="861" ht="15.75" customHeight="1">
      <c r="A861" s="1">
        <v>2229.0</v>
      </c>
      <c r="B861" s="3">
        <v>146.0</v>
      </c>
      <c r="C861" s="7" t="s">
        <v>892</v>
      </c>
      <c r="D861" s="8" t="str">
        <f>IFERROR(__xludf.DUMMYFUNCTION("GOOGLETRANSLATE(C861, ""en"", ""pt"")"),"primo de segundo grau")</f>
        <v>primo de segundo grau</v>
      </c>
      <c r="E861" s="8" t="str">
        <f>IFERROR(__xludf.DUMMYFUNCTION("GOOGLETRANSLATE(C861, ""en"", ""es"")"),"primo segundo")</f>
        <v>primo segundo</v>
      </c>
      <c r="F861" s="8" t="str">
        <f>IFERROR(__xludf.DUMMYFUNCTION("GOOGLETRANSLATE(C861, ""en"", ""fr"")"),"cousin au second degré")</f>
        <v>cousin au second degré</v>
      </c>
      <c r="G861" s="8" t="str">
        <f>IFERROR(__xludf.DUMMYFUNCTION("GOOGLETRANSLATE(C861, ""en"", ""de"")"),"Cousin zweiten Grades")</f>
        <v>Cousin zweiten Grades</v>
      </c>
      <c r="H861" s="8" t="str">
        <f>IFERROR(__xludf.DUMMYFUNCTION("GOOGLETRANSLATE(C861, ""en"", ""ru"")"),"двоюродный брат")</f>
        <v>двоюродный брат</v>
      </c>
      <c r="I861" s="8" t="str">
        <f>IFERROR(__xludf.DUMMYFUNCTION("GOOGLETRANSLATE(C861, ""en"", ""ar"")"),"ابن عم ثانٍ")</f>
        <v>ابن عم ثانٍ</v>
      </c>
      <c r="J861" s="8"/>
      <c r="K861" s="7" t="str">
        <f>IFERROR(__xludf.DUMMYFUNCTION("CONCAT(REGEXREPLACE(C861,""[ ,]+"",""_""),"".mp3"")"),"second_cousin.mp3")</f>
        <v>second_cousin.mp3</v>
      </c>
      <c r="M861" s="4" t="s">
        <v>10</v>
      </c>
    </row>
    <row r="862" ht="15.75" customHeight="1">
      <c r="A862" s="1">
        <v>2230.0</v>
      </c>
      <c r="B862" s="3">
        <v>146.0</v>
      </c>
      <c r="C862" s="7" t="s">
        <v>893</v>
      </c>
      <c r="D862" s="8" t="str">
        <f>IFERROR(__xludf.DUMMYFUNCTION("GOOGLETRANSLATE(C862, ""en"", ""pt"")"),"sogro")</f>
        <v>sogro</v>
      </c>
      <c r="E862" s="8" t="str">
        <f>IFERROR(__xludf.DUMMYFUNCTION("GOOGLETRANSLATE(C862, ""en"", ""es"")"),"suegro")</f>
        <v>suegro</v>
      </c>
      <c r="F862" s="8" t="str">
        <f>IFERROR(__xludf.DUMMYFUNCTION("GOOGLETRANSLATE(C862, ""en"", ""fr"")"),"beau-père")</f>
        <v>beau-père</v>
      </c>
      <c r="G862" s="8" t="str">
        <f>IFERROR(__xludf.DUMMYFUNCTION("GOOGLETRANSLATE(C862, ""en"", ""de"")"),"Schwiegervater")</f>
        <v>Schwiegervater</v>
      </c>
      <c r="H862" s="8" t="str">
        <f>IFERROR(__xludf.DUMMYFUNCTION("GOOGLETRANSLATE(C862, ""en"", ""ru"")"),"тесть")</f>
        <v>тесть</v>
      </c>
      <c r="I862" s="8" t="str">
        <f>IFERROR(__xludf.DUMMYFUNCTION("GOOGLETRANSLATE(C862, ""en"", ""ar"")"),"ووالد بالتبنى")</f>
        <v>ووالد بالتبنى</v>
      </c>
      <c r="J862" s="8"/>
      <c r="K862" s="7" t="str">
        <f>IFERROR(__xludf.DUMMYFUNCTION("CONCAT(REGEXREPLACE(C862,""[ ,]+"",""_""),"".mp3"")"),"father‑in‑law.mp3")</f>
        <v>father‑in‑law.mp3</v>
      </c>
      <c r="M862" s="4" t="s">
        <v>10</v>
      </c>
    </row>
    <row r="863" ht="15.75" customHeight="1">
      <c r="A863" s="1">
        <v>2231.0</v>
      </c>
      <c r="B863" s="3">
        <v>146.0</v>
      </c>
      <c r="C863" s="7" t="s">
        <v>894</v>
      </c>
      <c r="D863" s="8" t="str">
        <f>IFERROR(__xludf.DUMMYFUNCTION("GOOGLETRANSLATE(C863, ""en"", ""pt"")"),"sogra")</f>
        <v>sogra</v>
      </c>
      <c r="E863" s="8" t="str">
        <f>IFERROR(__xludf.DUMMYFUNCTION("GOOGLETRANSLATE(C863, ""en"", ""es"")"),"suegra")</f>
        <v>suegra</v>
      </c>
      <c r="F863" s="8" t="str">
        <f>IFERROR(__xludf.DUMMYFUNCTION("GOOGLETRANSLATE(C863, ""en"", ""fr"")"),"belle-mère")</f>
        <v>belle-mère</v>
      </c>
      <c r="G863" s="8" t="str">
        <f>IFERROR(__xludf.DUMMYFUNCTION("GOOGLETRANSLATE(C863, ""en"", ""de"")"),"Schwiegermutter")</f>
        <v>Schwiegermutter</v>
      </c>
      <c r="H863" s="8" t="str">
        <f>IFERROR(__xludf.DUMMYFUNCTION("GOOGLETRANSLATE(C863, ""en"", ""ru"")"),"свекровь")</f>
        <v>свекровь</v>
      </c>
      <c r="I863" s="8" t="str">
        <f>IFERROR(__xludf.DUMMYFUNCTION("GOOGLETRANSLATE(C863, ""en"", ""ar"")"),"حماة "" أم الزوج أو أم الزوجة")</f>
        <v>حماة " أم الزوج أو أم الزوجة</v>
      </c>
      <c r="J863" s="8"/>
      <c r="K863" s="7" t="str">
        <f>IFERROR(__xludf.DUMMYFUNCTION("CONCAT(REGEXREPLACE(C863,""[ ,]+"",""_""),"".mp3"")"),"mother‑in‑law.mp3")</f>
        <v>mother‑in‑law.mp3</v>
      </c>
      <c r="M863" s="4" t="s">
        <v>10</v>
      </c>
    </row>
    <row r="864" ht="15.75" customHeight="1">
      <c r="A864" s="1">
        <v>2232.0</v>
      </c>
      <c r="B864" s="3">
        <v>146.0</v>
      </c>
      <c r="C864" s="7" t="s">
        <v>895</v>
      </c>
      <c r="D864" s="8" t="str">
        <f>IFERROR(__xludf.DUMMYFUNCTION("GOOGLETRANSLATE(C864, ""en"", ""pt"")"),"sogros")</f>
        <v>sogros</v>
      </c>
      <c r="E864" s="8" t="str">
        <f>IFERROR(__xludf.DUMMYFUNCTION("GOOGLETRANSLATE(C864, ""en"", ""es"")"),"suegros")</f>
        <v>suegros</v>
      </c>
      <c r="F864" s="8" t="str">
        <f>IFERROR(__xludf.DUMMYFUNCTION("GOOGLETRANSLATE(C864, ""en"", ""fr"")"),"beaux-parents")</f>
        <v>beaux-parents</v>
      </c>
      <c r="G864" s="8" t="str">
        <f>IFERROR(__xludf.DUMMYFUNCTION("GOOGLETRANSLATE(C864, ""en"", ""de"")"),"Schwiegereltern")</f>
        <v>Schwiegereltern</v>
      </c>
      <c r="H864" s="8" t="str">
        <f>IFERROR(__xludf.DUMMYFUNCTION("GOOGLETRANSLATE(C864, ""en"", ""ru"")"),"родители свекрови")</f>
        <v>родители свекрови</v>
      </c>
      <c r="I864" s="8" t="str">
        <f>IFERROR(__xludf.DUMMYFUNCTION("GOOGLETRANSLATE(C864, ""en"", ""ar"")"),"أهل الزوج/الزوجة")</f>
        <v>أهل الزوج/الزوجة</v>
      </c>
      <c r="J864" s="8"/>
      <c r="K864" s="7" t="str">
        <f>IFERROR(__xludf.DUMMYFUNCTION("CONCAT(REGEXREPLACE(C864,""[ ,]+"",""_""),"".mp3"")"),"parents‑in‑law.mp3")</f>
        <v>parents‑in‑law.mp3</v>
      </c>
      <c r="M864" s="4" t="s">
        <v>10</v>
      </c>
    </row>
    <row r="865" ht="15.75" customHeight="1">
      <c r="A865" s="1">
        <v>2233.0</v>
      </c>
      <c r="B865" s="3">
        <v>146.0</v>
      </c>
      <c r="C865" s="7" t="s">
        <v>896</v>
      </c>
      <c r="D865" s="8" t="str">
        <f>IFERROR(__xludf.DUMMYFUNCTION("GOOGLETRANSLATE(C865, ""en"", ""pt"")"),"cunhado")</f>
        <v>cunhado</v>
      </c>
      <c r="E865" s="8" t="str">
        <f>IFERROR(__xludf.DUMMYFUNCTION("GOOGLETRANSLATE(C865, ""en"", ""es"")"),"cuñado")</f>
        <v>cuñado</v>
      </c>
      <c r="F865" s="8" t="str">
        <f>IFERROR(__xludf.DUMMYFUNCTION("GOOGLETRANSLATE(C865, ""en"", ""fr"")"),"beau-frère")</f>
        <v>beau-frère</v>
      </c>
      <c r="G865" s="8" t="str">
        <f>IFERROR(__xludf.DUMMYFUNCTION("GOOGLETRANSLATE(C865, ""en"", ""de"")"),"Schwager")</f>
        <v>Schwager</v>
      </c>
      <c r="H865" s="8" t="str">
        <f>IFERROR(__xludf.DUMMYFUNCTION("GOOGLETRANSLATE(C865, ""en"", ""ru"")"),"шурин")</f>
        <v>шурин</v>
      </c>
      <c r="I865" s="8" t="str">
        <f>IFERROR(__xludf.DUMMYFUNCTION("GOOGLETRANSLATE(C865, ""en"", ""ar"")"),"شقيق الزوج")</f>
        <v>شقيق الزوج</v>
      </c>
      <c r="J865" s="8"/>
      <c r="K865" s="7" t="str">
        <f>IFERROR(__xludf.DUMMYFUNCTION("CONCAT(REGEXREPLACE(C865,""[ ,]+"",""_""),"".mp3"")"),"brother‑in‑law.mp3")</f>
        <v>brother‑in‑law.mp3</v>
      </c>
      <c r="M865" s="4" t="s">
        <v>10</v>
      </c>
    </row>
    <row r="866" ht="15.75" customHeight="1">
      <c r="A866" s="1">
        <v>2234.0</v>
      </c>
      <c r="B866" s="3">
        <v>146.0</v>
      </c>
      <c r="C866" s="7" t="s">
        <v>897</v>
      </c>
      <c r="D866" s="8" t="str">
        <f>IFERROR(__xludf.DUMMYFUNCTION("GOOGLETRANSLATE(C866, ""en"", ""pt"")"),"cunhada")</f>
        <v>cunhada</v>
      </c>
      <c r="E866" s="8" t="str">
        <f>IFERROR(__xludf.DUMMYFUNCTION("GOOGLETRANSLATE(C866, ""en"", ""es"")"),"cuñada")</f>
        <v>cuñada</v>
      </c>
      <c r="F866" s="8" t="str">
        <f>IFERROR(__xludf.DUMMYFUNCTION("GOOGLETRANSLATE(C866, ""en"", ""fr"")"),"belle-sœur")</f>
        <v>belle-sœur</v>
      </c>
      <c r="G866" s="8" t="str">
        <f>IFERROR(__xludf.DUMMYFUNCTION("GOOGLETRANSLATE(C866, ""en"", ""de"")"),"Schwägerin")</f>
        <v>Schwägerin</v>
      </c>
      <c r="H866" s="8" t="str">
        <f>IFERROR(__xludf.DUMMYFUNCTION("GOOGLETRANSLATE(C866, ""en"", ""ru"")"),"золовка")</f>
        <v>золовка</v>
      </c>
      <c r="I866" s="8" t="str">
        <f>IFERROR(__xludf.DUMMYFUNCTION("GOOGLETRANSLATE(C866, ""en"", ""ar"")"),"أخت الزوج أو اخت الزوجة")</f>
        <v>أخت الزوج أو اخت الزوجة</v>
      </c>
      <c r="J866" s="8"/>
      <c r="K866" s="7" t="str">
        <f>IFERROR(__xludf.DUMMYFUNCTION("CONCAT(REGEXREPLACE(C866,""[ ,]+"",""_""),"".mp3"")"),"sister‑in‑law.mp3")</f>
        <v>sister‑in‑law.mp3</v>
      </c>
      <c r="M866" s="4" t="s">
        <v>10</v>
      </c>
    </row>
    <row r="867" ht="15.75" customHeight="1">
      <c r="A867" s="1">
        <v>2235.0</v>
      </c>
      <c r="B867" s="3">
        <v>146.0</v>
      </c>
      <c r="C867" s="7" t="s">
        <v>898</v>
      </c>
      <c r="D867" s="8" t="str">
        <f>IFERROR(__xludf.DUMMYFUNCTION("GOOGLETRANSLATE(C867, ""en"", ""pt"")"),"genro")</f>
        <v>genro</v>
      </c>
      <c r="E867" s="8" t="str">
        <f>IFERROR(__xludf.DUMMYFUNCTION("GOOGLETRANSLATE(C867, ""en"", ""es"")"),"yerno")</f>
        <v>yerno</v>
      </c>
      <c r="F867" s="8" t="str">
        <f>IFERROR(__xludf.DUMMYFUNCTION("GOOGLETRANSLATE(C867, ""en"", ""fr"")"),"gendre")</f>
        <v>gendre</v>
      </c>
      <c r="G867" s="8" t="str">
        <f>IFERROR(__xludf.DUMMYFUNCTION("GOOGLETRANSLATE(C867, ""en"", ""de"")"),"Schwiegersohn")</f>
        <v>Schwiegersohn</v>
      </c>
      <c r="H867" s="8" t="str">
        <f>IFERROR(__xludf.DUMMYFUNCTION("GOOGLETRANSLATE(C867, ""en"", ""ru"")"),"зять")</f>
        <v>зять</v>
      </c>
      <c r="I867" s="8" t="str">
        <f>IFERROR(__xludf.DUMMYFUNCTION("GOOGLETRANSLATE(C867, ""en"", ""ar"")"),"ابنه قانونياً")</f>
        <v>ابنه قانونياً</v>
      </c>
      <c r="J867" s="8"/>
      <c r="K867" s="7" t="str">
        <f>IFERROR(__xludf.DUMMYFUNCTION("CONCAT(REGEXREPLACE(C867,""[ ,]+"",""_""),"".mp3"")"),"son‑in‑law.mp3")</f>
        <v>son‑in‑law.mp3</v>
      </c>
      <c r="M867" s="4" t="s">
        <v>10</v>
      </c>
    </row>
    <row r="868" ht="15.75" customHeight="1">
      <c r="A868" s="1">
        <v>2236.0</v>
      </c>
      <c r="B868" s="3">
        <v>146.0</v>
      </c>
      <c r="C868" s="7" t="s">
        <v>899</v>
      </c>
      <c r="D868" s="8" t="str">
        <f>IFERROR(__xludf.DUMMYFUNCTION("GOOGLETRANSLATE(C868, ""en"", ""pt"")"),"nora")</f>
        <v>nora</v>
      </c>
      <c r="E868" s="8" t="str">
        <f>IFERROR(__xludf.DUMMYFUNCTION("GOOGLETRANSLATE(C868, ""en"", ""es"")"),"nuera")</f>
        <v>nuera</v>
      </c>
      <c r="F868" s="8" t="str">
        <f>IFERROR(__xludf.DUMMYFUNCTION("GOOGLETRANSLATE(C868, ""en"", ""fr"")"),"belle-fille")</f>
        <v>belle-fille</v>
      </c>
      <c r="G868" s="8" t="str">
        <f>IFERROR(__xludf.DUMMYFUNCTION("GOOGLETRANSLATE(C868, ""en"", ""de"")"),"Schwiegertochter")</f>
        <v>Schwiegertochter</v>
      </c>
      <c r="H868" s="8" t="str">
        <f>IFERROR(__xludf.DUMMYFUNCTION("GOOGLETRANSLATE(C868, ""en"", ""ru"")"),"Невестка")</f>
        <v>Невестка</v>
      </c>
      <c r="I868" s="8" t="str">
        <f>IFERROR(__xludf.DUMMYFUNCTION("GOOGLETRANSLATE(C868, ""en"", ""ar"")"),"ابنة بالنسب")</f>
        <v>ابنة بالنسب</v>
      </c>
      <c r="J868" s="8"/>
      <c r="K868" s="7" t="str">
        <f>IFERROR(__xludf.DUMMYFUNCTION("CONCAT(REGEXREPLACE(C868,""[ ,]+"",""_""),"".mp3"")"),"daughter‑in‑law.mp3")</f>
        <v>daughter‑in‑law.mp3</v>
      </c>
      <c r="M868" s="4" t="s">
        <v>10</v>
      </c>
    </row>
    <row r="869" ht="15.75" customHeight="1">
      <c r="A869" s="1">
        <v>2237.0</v>
      </c>
      <c r="B869" s="3">
        <v>146.0</v>
      </c>
      <c r="C869" s="7" t="s">
        <v>900</v>
      </c>
      <c r="D869" s="8" t="str">
        <f>IFERROR(__xludf.DUMMYFUNCTION("GOOGLETRANSLATE(C869, ""en"", ""pt"")"),"padrasto")</f>
        <v>padrasto</v>
      </c>
      <c r="E869" s="8" t="str">
        <f>IFERROR(__xludf.DUMMYFUNCTION("GOOGLETRANSLATE(C869, ""en"", ""es"")"),"padrastro")</f>
        <v>padrastro</v>
      </c>
      <c r="F869" s="8" t="str">
        <f>IFERROR(__xludf.DUMMYFUNCTION("GOOGLETRANSLATE(C869, ""en"", ""fr"")"),"beau-père")</f>
        <v>beau-père</v>
      </c>
      <c r="G869" s="8" t="str">
        <f>IFERROR(__xludf.DUMMYFUNCTION("GOOGLETRANSLATE(C869, ""en"", ""de"")"),"Stiefvater")</f>
        <v>Stiefvater</v>
      </c>
      <c r="H869" s="8" t="str">
        <f>IFERROR(__xludf.DUMMYFUNCTION("GOOGLETRANSLATE(C869, ""en"", ""ru"")"),"отчим")</f>
        <v>отчим</v>
      </c>
      <c r="I869" s="8" t="str">
        <f>IFERROR(__xludf.DUMMYFUNCTION("GOOGLETRANSLATE(C869, ""en"", ""ar"")"),"زوج الأم")</f>
        <v>زوج الأم</v>
      </c>
      <c r="J869" s="8"/>
      <c r="K869" s="7" t="str">
        <f>IFERROR(__xludf.DUMMYFUNCTION("CONCAT(REGEXREPLACE(C869,""[ ,]+"",""_""),"".mp3"")"),"stepfather.mp3")</f>
        <v>stepfather.mp3</v>
      </c>
      <c r="M869" s="4" t="s">
        <v>10</v>
      </c>
    </row>
    <row r="870" ht="15.75" customHeight="1">
      <c r="A870" s="1">
        <v>2238.0</v>
      </c>
      <c r="B870" s="3">
        <v>146.0</v>
      </c>
      <c r="C870" s="7" t="s">
        <v>901</v>
      </c>
      <c r="D870" s="8" t="str">
        <f>IFERROR(__xludf.DUMMYFUNCTION("GOOGLETRANSLATE(C870, ""en"", ""pt"")"),"madrasta")</f>
        <v>madrasta</v>
      </c>
      <c r="E870" s="8" t="str">
        <f>IFERROR(__xludf.DUMMYFUNCTION("GOOGLETRANSLATE(C870, ""en"", ""es"")"),"madrastra")</f>
        <v>madrastra</v>
      </c>
      <c r="F870" s="8" t="str">
        <f>IFERROR(__xludf.DUMMYFUNCTION("GOOGLETRANSLATE(C870, ""en"", ""fr"")"),"belle-mère")</f>
        <v>belle-mère</v>
      </c>
      <c r="G870" s="8" t="str">
        <f>IFERROR(__xludf.DUMMYFUNCTION("GOOGLETRANSLATE(C870, ""en"", ""de"")"),"Stiefmutter")</f>
        <v>Stiefmutter</v>
      </c>
      <c r="H870" s="8" t="str">
        <f>IFERROR(__xludf.DUMMYFUNCTION("GOOGLETRANSLATE(C870, ""en"", ""ru"")"),"мачеха")</f>
        <v>мачеха</v>
      </c>
      <c r="I870" s="8" t="str">
        <f>IFERROR(__xludf.DUMMYFUNCTION("GOOGLETRANSLATE(C870, ""en"", ""ar"")"),"زوجة الأب")</f>
        <v>زوجة الأب</v>
      </c>
      <c r="J870" s="8"/>
      <c r="K870" s="7" t="str">
        <f>IFERROR(__xludf.DUMMYFUNCTION("CONCAT(REGEXREPLACE(C870,""[ ,]+"",""_""),"".mp3"")"),"stepmother.mp3")</f>
        <v>stepmother.mp3</v>
      </c>
      <c r="M870" s="4" t="s">
        <v>10</v>
      </c>
    </row>
    <row r="871" ht="15.75" customHeight="1">
      <c r="A871" s="1">
        <v>2239.0</v>
      </c>
      <c r="B871" s="3">
        <v>146.0</v>
      </c>
      <c r="C871" s="7" t="s">
        <v>902</v>
      </c>
      <c r="D871" s="8" t="str">
        <f>IFERROR(__xludf.DUMMYFUNCTION("GOOGLETRANSLATE(C871, ""en"", ""pt"")"),"padrasto/madrasta")</f>
        <v>padrasto/madrasta</v>
      </c>
      <c r="E871" s="8" t="str">
        <f>IFERROR(__xludf.DUMMYFUNCTION("GOOGLETRANSLATE(C871, ""en"", ""es"")"),"padrastro")</f>
        <v>padrastro</v>
      </c>
      <c r="F871" s="8" t="str">
        <f>IFERROR(__xludf.DUMMYFUNCTION("GOOGLETRANSLATE(C871, ""en"", ""fr"")"),"beau-parent")</f>
        <v>beau-parent</v>
      </c>
      <c r="G871" s="8" t="str">
        <f>IFERROR(__xludf.DUMMYFUNCTION("GOOGLETRANSLATE(C871, ""en"", ""de"")"),"Stiefelternteil")</f>
        <v>Stiefelternteil</v>
      </c>
      <c r="H871" s="8" t="str">
        <f>IFERROR(__xludf.DUMMYFUNCTION("GOOGLETRANSLATE(C871, ""en"", ""ru"")"),"отчим/мачеха")</f>
        <v>отчим/мачеха</v>
      </c>
      <c r="I871" s="8" t="str">
        <f>IFERROR(__xludf.DUMMYFUNCTION("GOOGLETRANSLATE(C871, ""en"", ""ar"")"),"زوج الأم أو زوجة الأب")</f>
        <v>زوج الأم أو زوجة الأب</v>
      </c>
      <c r="J871" s="8"/>
      <c r="K871" s="7" t="str">
        <f>IFERROR(__xludf.DUMMYFUNCTION("CONCAT(REGEXREPLACE(C871,""[ ,]+"",""_""),"".mp3"")"),"stepparent.mp3")</f>
        <v>stepparent.mp3</v>
      </c>
      <c r="M871" s="4" t="s">
        <v>10</v>
      </c>
    </row>
    <row r="872" ht="15.75" customHeight="1">
      <c r="A872" s="1">
        <v>2240.0</v>
      </c>
      <c r="B872" s="3">
        <v>146.0</v>
      </c>
      <c r="C872" s="7" t="s">
        <v>903</v>
      </c>
      <c r="D872" s="8" t="str">
        <f>IFERROR(__xludf.DUMMYFUNCTION("GOOGLETRANSLATE(C872, ""en"", ""pt"")"),"enteado")</f>
        <v>enteado</v>
      </c>
      <c r="E872" s="8" t="str">
        <f>IFERROR(__xludf.DUMMYFUNCTION("GOOGLETRANSLATE(C872, ""en"", ""es"")"),"hijastro")</f>
        <v>hijastro</v>
      </c>
      <c r="F872" s="8" t="str">
        <f>IFERROR(__xludf.DUMMYFUNCTION("GOOGLETRANSLATE(C872, ""en"", ""fr"")"),"beau-fils")</f>
        <v>beau-fils</v>
      </c>
      <c r="G872" s="8" t="str">
        <f>IFERROR(__xludf.DUMMYFUNCTION("GOOGLETRANSLATE(C872, ""en"", ""de"")"),"Stiefsohn")</f>
        <v>Stiefsohn</v>
      </c>
      <c r="H872" s="8" t="str">
        <f>IFERROR(__xludf.DUMMYFUNCTION("GOOGLETRANSLATE(C872, ""en"", ""ru"")"),"пасынок")</f>
        <v>пасынок</v>
      </c>
      <c r="I872" s="8" t="str">
        <f>IFERROR(__xludf.DUMMYFUNCTION("GOOGLETRANSLATE(C872, ""en"", ""ar"")"),"ربيب")</f>
        <v>ربيب</v>
      </c>
      <c r="J872" s="8"/>
      <c r="K872" s="7" t="str">
        <f>IFERROR(__xludf.DUMMYFUNCTION("CONCAT(REGEXREPLACE(C872,""[ ,]+"",""_""),"".mp3"")"),"stepson.mp3")</f>
        <v>stepson.mp3</v>
      </c>
      <c r="M872" s="4" t="s">
        <v>10</v>
      </c>
    </row>
    <row r="873" ht="15.75" customHeight="1">
      <c r="A873" s="1">
        <v>2241.0</v>
      </c>
      <c r="B873" s="3">
        <v>146.0</v>
      </c>
      <c r="C873" s="7" t="s">
        <v>904</v>
      </c>
      <c r="D873" s="8" t="str">
        <f>IFERROR(__xludf.DUMMYFUNCTION("GOOGLETRANSLATE(C873, ""en"", ""pt"")"),"enteada")</f>
        <v>enteada</v>
      </c>
      <c r="E873" s="8" t="str">
        <f>IFERROR(__xludf.DUMMYFUNCTION("GOOGLETRANSLATE(C873, ""en"", ""es"")"),"hijastra")</f>
        <v>hijastra</v>
      </c>
      <c r="F873" s="8" t="str">
        <f>IFERROR(__xludf.DUMMYFUNCTION("GOOGLETRANSLATE(C873, ""en"", ""fr"")"),"belle-fille")</f>
        <v>belle-fille</v>
      </c>
      <c r="G873" s="8" t="str">
        <f>IFERROR(__xludf.DUMMYFUNCTION("GOOGLETRANSLATE(C873, ""en"", ""de"")"),"Stieftochter")</f>
        <v>Stieftochter</v>
      </c>
      <c r="H873" s="8" t="str">
        <f>IFERROR(__xludf.DUMMYFUNCTION("GOOGLETRANSLATE(C873, ""en"", ""ru"")"),"падчерица")</f>
        <v>падчерица</v>
      </c>
      <c r="I873" s="8" t="str">
        <f>IFERROR(__xludf.DUMMYFUNCTION("GOOGLETRANSLATE(C873, ""en"", ""ar"")"),"ابنة الزوجة")</f>
        <v>ابنة الزوجة</v>
      </c>
      <c r="J873" s="8"/>
      <c r="K873" s="7" t="str">
        <f>IFERROR(__xludf.DUMMYFUNCTION("CONCAT(REGEXREPLACE(C873,""[ ,]+"",""_""),"".mp3"")"),"stepdaughter.mp3")</f>
        <v>stepdaughter.mp3</v>
      </c>
      <c r="M873" s="4" t="s">
        <v>10</v>
      </c>
    </row>
    <row r="874" ht="15.75" customHeight="1">
      <c r="A874" s="1">
        <v>2242.0</v>
      </c>
      <c r="B874" s="3">
        <v>146.0</v>
      </c>
      <c r="C874" s="7" t="s">
        <v>905</v>
      </c>
      <c r="D874" s="8" t="str">
        <f>IFERROR(__xludf.DUMMYFUNCTION("GOOGLETRANSLATE(C874, ""en"", ""pt"")"),"meio-irmão")</f>
        <v>meio-irmão</v>
      </c>
      <c r="E874" s="8" t="str">
        <f>IFERROR(__xludf.DUMMYFUNCTION("GOOGLETRANSLATE(C874, ""en"", ""es"")"),"hermanastro")</f>
        <v>hermanastro</v>
      </c>
      <c r="F874" s="8" t="str">
        <f>IFERROR(__xludf.DUMMYFUNCTION("GOOGLETRANSLATE(C874, ""en"", ""fr"")"),"demi-frère")</f>
        <v>demi-frère</v>
      </c>
      <c r="G874" s="8" t="str">
        <f>IFERROR(__xludf.DUMMYFUNCTION("GOOGLETRANSLATE(C874, ""en"", ""de"")"),"Stiefbruder")</f>
        <v>Stiefbruder</v>
      </c>
      <c r="H874" s="8" t="str">
        <f>IFERROR(__xludf.DUMMYFUNCTION("GOOGLETRANSLATE(C874, ""en"", ""ru"")"),"сводный брат")</f>
        <v>сводный брат</v>
      </c>
      <c r="I874" s="8" t="str">
        <f>IFERROR(__xludf.DUMMYFUNCTION("GOOGLETRANSLATE(C874, ""en"", ""ar"")"),"أخ غير شقيق")</f>
        <v>أخ غير شقيق</v>
      </c>
      <c r="J874" s="8"/>
      <c r="K874" s="7" t="str">
        <f>IFERROR(__xludf.DUMMYFUNCTION("CONCAT(REGEXREPLACE(C874,""[ ,]+"",""_""),"".mp3"")"),"stepbrother.mp3")</f>
        <v>stepbrother.mp3</v>
      </c>
      <c r="M874" s="4" t="s">
        <v>10</v>
      </c>
    </row>
    <row r="875" ht="15.75" customHeight="1">
      <c r="A875" s="1">
        <v>2243.0</v>
      </c>
      <c r="B875" s="3">
        <v>146.0</v>
      </c>
      <c r="C875" s="7" t="s">
        <v>906</v>
      </c>
      <c r="D875" s="8" t="str">
        <f>IFERROR(__xludf.DUMMYFUNCTION("GOOGLETRANSLATE(C875, ""en"", ""pt"")"),"meia-irmã")</f>
        <v>meia-irmã</v>
      </c>
      <c r="E875" s="8" t="str">
        <f>IFERROR(__xludf.DUMMYFUNCTION("GOOGLETRANSLATE(C875, ""en"", ""es"")"),"hermanastra")</f>
        <v>hermanastra</v>
      </c>
      <c r="F875" s="8" t="str">
        <f>IFERROR(__xludf.DUMMYFUNCTION("GOOGLETRANSLATE(C875, ""en"", ""fr"")"),"demi-sœur")</f>
        <v>demi-sœur</v>
      </c>
      <c r="G875" s="8" t="str">
        <f>IFERROR(__xludf.DUMMYFUNCTION("GOOGLETRANSLATE(C875, ""en"", ""de"")"),"Stiefschwester")</f>
        <v>Stiefschwester</v>
      </c>
      <c r="H875" s="8" t="str">
        <f>IFERROR(__xludf.DUMMYFUNCTION("GOOGLETRANSLATE(C875, ""en"", ""ru"")"),"сводная сестра")</f>
        <v>сводная сестра</v>
      </c>
      <c r="I875" s="8" t="str">
        <f>IFERROR(__xludf.DUMMYFUNCTION("GOOGLETRANSLATE(C875, ""en"", ""ar"")"),"أخت")</f>
        <v>أخت</v>
      </c>
      <c r="J875" s="8"/>
      <c r="K875" s="7" t="str">
        <f>IFERROR(__xludf.DUMMYFUNCTION("CONCAT(REGEXREPLACE(C875,""[ ,]+"",""_""),"".mp3"")"),"stepsister.mp3")</f>
        <v>stepsister.mp3</v>
      </c>
      <c r="M875" s="4" t="s">
        <v>10</v>
      </c>
    </row>
    <row r="876" ht="15.75" customHeight="1">
      <c r="A876" s="1">
        <v>2244.0</v>
      </c>
      <c r="B876" s="3">
        <v>146.0</v>
      </c>
      <c r="C876" s="7" t="s">
        <v>907</v>
      </c>
      <c r="D876" s="8" t="str">
        <f>IFERROR(__xludf.DUMMYFUNCTION("GOOGLETRANSLATE(C876, ""en"", ""pt"")"),"meio-irmão")</f>
        <v>meio-irmão</v>
      </c>
      <c r="E876" s="8" t="str">
        <f>IFERROR(__xludf.DUMMYFUNCTION("GOOGLETRANSLATE(C876, ""en"", ""es"")"),"medio hermano")</f>
        <v>medio hermano</v>
      </c>
      <c r="F876" s="8" t="str">
        <f>IFERROR(__xludf.DUMMYFUNCTION("GOOGLETRANSLATE(C876, ""en"", ""fr"")"),"demi-frère")</f>
        <v>demi-frère</v>
      </c>
      <c r="G876" s="8" t="str">
        <f>IFERROR(__xludf.DUMMYFUNCTION("GOOGLETRANSLATE(C876, ""en"", ""de"")"),"Halbbruder")</f>
        <v>Halbbruder</v>
      </c>
      <c r="H876" s="8" t="str">
        <f>IFERROR(__xludf.DUMMYFUNCTION("GOOGLETRANSLATE(C876, ""en"", ""ru"")"),"сводный брат")</f>
        <v>сводный брат</v>
      </c>
      <c r="I876" s="8" t="str">
        <f>IFERROR(__xludf.DUMMYFUNCTION("GOOGLETRANSLATE(C876, ""en"", ""ar"")"),"نصف أخ")</f>
        <v>نصف أخ</v>
      </c>
      <c r="J876" s="8"/>
      <c r="K876" s="7" t="str">
        <f>IFERROR(__xludf.DUMMYFUNCTION("CONCAT(REGEXREPLACE(C876,""[ ,]+"",""_""),"".mp3"")"),"half‑brother.mp3")</f>
        <v>half‑brother.mp3</v>
      </c>
      <c r="M876" s="4" t="s">
        <v>10</v>
      </c>
    </row>
    <row r="877" ht="15.75" customHeight="1">
      <c r="A877" s="1">
        <v>2245.0</v>
      </c>
      <c r="B877" s="3">
        <v>146.0</v>
      </c>
      <c r="C877" s="7" t="s">
        <v>908</v>
      </c>
      <c r="D877" s="8" t="str">
        <f>IFERROR(__xludf.DUMMYFUNCTION("GOOGLETRANSLATE(C877, ""en"", ""pt"")"),"meia-irmã")</f>
        <v>meia-irmã</v>
      </c>
      <c r="E877" s="8" t="str">
        <f>IFERROR(__xludf.DUMMYFUNCTION("GOOGLETRANSLATE(C877, ""en"", ""es"")"),"media hermana")</f>
        <v>media hermana</v>
      </c>
      <c r="F877" s="8" t="str">
        <f>IFERROR(__xludf.DUMMYFUNCTION("GOOGLETRANSLATE(C877, ""en"", ""fr"")"),"demi-sœur")</f>
        <v>demi-sœur</v>
      </c>
      <c r="G877" s="8" t="str">
        <f>IFERROR(__xludf.DUMMYFUNCTION("GOOGLETRANSLATE(C877, ""en"", ""de"")"),"Halbschwester")</f>
        <v>Halbschwester</v>
      </c>
      <c r="H877" s="8" t="str">
        <f>IFERROR(__xludf.DUMMYFUNCTION("GOOGLETRANSLATE(C877, ""en"", ""ru"")"),"сводная сестра")</f>
        <v>сводная сестра</v>
      </c>
      <c r="I877" s="8" t="str">
        <f>IFERROR(__xludf.DUMMYFUNCTION("GOOGLETRANSLATE(C877, ""en"", ""ar"")"),"أخت غير شقيقة")</f>
        <v>أخت غير شقيقة</v>
      </c>
      <c r="J877" s="8"/>
      <c r="K877" s="7" t="str">
        <f>IFERROR(__xludf.DUMMYFUNCTION("CONCAT(REGEXREPLACE(C877,""[ ,]+"",""_""),"".mp3"")"),"half‑sister.mp3")</f>
        <v>half‑sister.mp3</v>
      </c>
      <c r="M877" s="4" t="s">
        <v>10</v>
      </c>
    </row>
    <row r="878" ht="15.75" customHeight="1">
      <c r="A878" s="1">
        <v>2246.0</v>
      </c>
      <c r="B878" s="3">
        <v>146.0</v>
      </c>
      <c r="C878" s="7" t="s">
        <v>909</v>
      </c>
      <c r="D878" s="8" t="str">
        <f>IFERROR(__xludf.DUMMYFUNCTION("GOOGLETRANSLATE(C878, ""en"", ""pt"")"),"irmão gémeo")</f>
        <v>irmão gémeo</v>
      </c>
      <c r="E878" s="8" t="str">
        <f>IFERROR(__xludf.DUMMYFUNCTION("GOOGLETRANSLATE(C878, ""en"", ""es"")"),"hermano gemelo")</f>
        <v>hermano gemelo</v>
      </c>
      <c r="F878" s="8" t="str">
        <f>IFERROR(__xludf.DUMMYFUNCTION("GOOGLETRANSLATE(C878, ""en"", ""fr"")"),"frère jumeau")</f>
        <v>frère jumeau</v>
      </c>
      <c r="G878" s="8" t="str">
        <f>IFERROR(__xludf.DUMMYFUNCTION("GOOGLETRANSLATE(C878, ""en"", ""de"")"),"Zwillingsbruder")</f>
        <v>Zwillingsbruder</v>
      </c>
      <c r="H878" s="8" t="str">
        <f>IFERROR(__xludf.DUMMYFUNCTION("GOOGLETRANSLATE(C878, ""en"", ""ru"")"),"брат-близнец")</f>
        <v>брат-близнец</v>
      </c>
      <c r="I878" s="8" t="str">
        <f>IFERROR(__xludf.DUMMYFUNCTION("GOOGLETRANSLATE(C878, ""en"", ""ar"")"),"الأخ التوأم")</f>
        <v>الأخ التوأم</v>
      </c>
      <c r="J878" s="8"/>
      <c r="K878" s="7" t="str">
        <f>IFERROR(__xludf.DUMMYFUNCTION("CONCAT(REGEXREPLACE(C878,""[ ,]+"",""_""),"".mp3"")"),"twin_brother.mp3")</f>
        <v>twin_brother.mp3</v>
      </c>
      <c r="M878" s="4" t="s">
        <v>10</v>
      </c>
    </row>
    <row r="879" ht="15.75" customHeight="1">
      <c r="A879" s="1">
        <v>2247.0</v>
      </c>
      <c r="B879" s="3">
        <v>146.0</v>
      </c>
      <c r="C879" s="7" t="s">
        <v>910</v>
      </c>
      <c r="D879" s="8" t="str">
        <f>IFERROR(__xludf.DUMMYFUNCTION("GOOGLETRANSLATE(C879, ""en"", ""pt"")"),"irmã gêmea")</f>
        <v>irmã gêmea</v>
      </c>
      <c r="E879" s="8" t="str">
        <f>IFERROR(__xludf.DUMMYFUNCTION("GOOGLETRANSLATE(C879, ""en"", ""es"")"),"hermana gemela")</f>
        <v>hermana gemela</v>
      </c>
      <c r="F879" s="8" t="str">
        <f>IFERROR(__xludf.DUMMYFUNCTION("GOOGLETRANSLATE(C879, ""en"", ""fr"")"),"sœur jumelle")</f>
        <v>sœur jumelle</v>
      </c>
      <c r="G879" s="8" t="str">
        <f>IFERROR(__xludf.DUMMYFUNCTION("GOOGLETRANSLATE(C879, ""en"", ""de"")"),"Zwillingsschwester")</f>
        <v>Zwillingsschwester</v>
      </c>
      <c r="H879" s="8" t="str">
        <f>IFERROR(__xludf.DUMMYFUNCTION("GOOGLETRANSLATE(C879, ""en"", ""ru"")"),"сестра-близнец")</f>
        <v>сестра-близнец</v>
      </c>
      <c r="I879" s="8" t="str">
        <f>IFERROR(__xludf.DUMMYFUNCTION("GOOGLETRANSLATE(C879, ""en"", ""ar"")"),"شقيقة توأم")</f>
        <v>شقيقة توأم</v>
      </c>
      <c r="J879" s="8"/>
      <c r="K879" s="7" t="str">
        <f>IFERROR(__xludf.DUMMYFUNCTION("CONCAT(REGEXREPLACE(C879,""[ ,]+"",""_""),"".mp3"")"),"twin_sister.mp3")</f>
        <v>twin_sister.mp3</v>
      </c>
      <c r="M879" s="4" t="s">
        <v>10</v>
      </c>
    </row>
    <row r="880" ht="15.75" customHeight="1">
      <c r="A880" s="1">
        <v>2248.0</v>
      </c>
      <c r="B880" s="3">
        <v>146.0</v>
      </c>
      <c r="C880" s="7" t="s">
        <v>911</v>
      </c>
      <c r="D880" s="8" t="str">
        <f>IFERROR(__xludf.DUMMYFUNCTION("GOOGLETRANSLATE(C880, ""en"", ""pt"")"),"pai adotivo")</f>
        <v>pai adotivo</v>
      </c>
      <c r="E880" s="8" t="str">
        <f>IFERROR(__xludf.DUMMYFUNCTION("GOOGLETRANSLATE(C880, ""en"", ""es"")"),"padre adoptivo")</f>
        <v>padre adoptivo</v>
      </c>
      <c r="F880" s="8" t="str">
        <f>IFERROR(__xludf.DUMMYFUNCTION("GOOGLETRANSLATE(C880, ""en"", ""fr"")"),"parent adoptif")</f>
        <v>parent adoptif</v>
      </c>
      <c r="G880" s="8" t="str">
        <f>IFERROR(__xludf.DUMMYFUNCTION("GOOGLETRANSLATE(C880, ""en"", ""de"")"),"Adoptivelternteil")</f>
        <v>Adoptivelternteil</v>
      </c>
      <c r="H880" s="8" t="str">
        <f>IFERROR(__xludf.DUMMYFUNCTION("GOOGLETRANSLATE(C880, ""en"", ""ru"")"),"приемный родитель")</f>
        <v>приемный родитель</v>
      </c>
      <c r="I880" s="8" t="str">
        <f>IFERROR(__xludf.DUMMYFUNCTION("GOOGLETRANSLATE(C880, ""en"", ""ar"")"),"الوالد بالتبني")</f>
        <v>الوالد بالتبني</v>
      </c>
      <c r="J880" s="8"/>
      <c r="K880" s="7" t="str">
        <f>IFERROR(__xludf.DUMMYFUNCTION("CONCAT(REGEXREPLACE(C880,""[ ,]+"",""_""),"".mp3"")"),"adoptive_parent.mp3")</f>
        <v>adoptive_parent.mp3</v>
      </c>
      <c r="M880" s="4" t="s">
        <v>10</v>
      </c>
    </row>
    <row r="881" ht="15.75" customHeight="1">
      <c r="A881" s="1">
        <v>2249.0</v>
      </c>
      <c r="B881" s="3">
        <v>146.0</v>
      </c>
      <c r="C881" s="7" t="s">
        <v>912</v>
      </c>
      <c r="D881" s="8" t="str">
        <f>IFERROR(__xludf.DUMMYFUNCTION("GOOGLETRANSLATE(C881, ""en"", ""pt"")"),"filho adotivo")</f>
        <v>filho adotivo</v>
      </c>
      <c r="E881" s="8" t="str">
        <f>IFERROR(__xludf.DUMMYFUNCTION("GOOGLETRANSLATE(C881, ""en"", ""es"")"),"hijo adoptivo")</f>
        <v>hijo adoptivo</v>
      </c>
      <c r="F881" s="8" t="str">
        <f>IFERROR(__xludf.DUMMYFUNCTION("GOOGLETRANSLATE(C881, ""en"", ""fr"")"),"fils adoptif")</f>
        <v>fils adoptif</v>
      </c>
      <c r="G881" s="8" t="str">
        <f>IFERROR(__xludf.DUMMYFUNCTION("GOOGLETRANSLATE(C881, ""en"", ""de"")"),"Adoptivsohn")</f>
        <v>Adoptivsohn</v>
      </c>
      <c r="H881" s="8" t="str">
        <f>IFERROR(__xludf.DUMMYFUNCTION("GOOGLETRANSLATE(C881, ""en"", ""ru"")"),"приемный сын")</f>
        <v>приемный сын</v>
      </c>
      <c r="I881" s="8" t="str">
        <f>IFERROR(__xludf.DUMMYFUNCTION("GOOGLETRANSLATE(C881, ""en"", ""ar"")"),"ابن بالتبني")</f>
        <v>ابن بالتبني</v>
      </c>
      <c r="J881" s="8"/>
      <c r="K881" s="7" t="str">
        <f>IFERROR(__xludf.DUMMYFUNCTION("CONCAT(REGEXREPLACE(C881,""[ ,]+"",""_""),"".mp3"")"),"adopted_son.mp3")</f>
        <v>adopted_son.mp3</v>
      </c>
      <c r="M881" s="4" t="s">
        <v>10</v>
      </c>
    </row>
    <row r="882" ht="15.75" customHeight="1">
      <c r="A882" s="1">
        <v>2250.0</v>
      </c>
      <c r="B882" s="3">
        <v>146.0</v>
      </c>
      <c r="C882" s="7" t="s">
        <v>913</v>
      </c>
      <c r="D882" s="8" t="str">
        <f>IFERROR(__xludf.DUMMYFUNCTION("GOOGLETRANSLATE(C882, ""en"", ""pt"")"),"filha adotiva")</f>
        <v>filha adotiva</v>
      </c>
      <c r="E882" s="8" t="str">
        <f>IFERROR(__xludf.DUMMYFUNCTION("GOOGLETRANSLATE(C882, ""en"", ""es"")"),"hija adoptiva")</f>
        <v>hija adoptiva</v>
      </c>
      <c r="F882" s="8" t="str">
        <f>IFERROR(__xludf.DUMMYFUNCTION("GOOGLETRANSLATE(C882, ""en"", ""fr"")"),"fille adoptive")</f>
        <v>fille adoptive</v>
      </c>
      <c r="G882" s="8" t="str">
        <f>IFERROR(__xludf.DUMMYFUNCTION("GOOGLETRANSLATE(C882, ""en"", ""de"")"),"Adoptivtochter")</f>
        <v>Adoptivtochter</v>
      </c>
      <c r="H882" s="8" t="str">
        <f>IFERROR(__xludf.DUMMYFUNCTION("GOOGLETRANSLATE(C882, ""en"", ""ru"")"),"приемная дочь")</f>
        <v>приемная дочь</v>
      </c>
      <c r="I882" s="8" t="str">
        <f>IFERROR(__xludf.DUMMYFUNCTION("GOOGLETRANSLATE(C882, ""en"", ""ar"")"),"ابنة بالتبني")</f>
        <v>ابنة بالتبني</v>
      </c>
      <c r="J882" s="8"/>
      <c r="K882" s="7" t="str">
        <f>IFERROR(__xludf.DUMMYFUNCTION("CONCAT(REGEXREPLACE(C882,""[ ,]+"",""_""),"".mp3"")"),"adopted_daughter.mp3")</f>
        <v>adopted_daughter.mp3</v>
      </c>
      <c r="M882" s="4" t="s">
        <v>10</v>
      </c>
    </row>
    <row r="883" ht="15.75" customHeight="1">
      <c r="A883" s="1">
        <v>2251.0</v>
      </c>
      <c r="B883" s="3">
        <v>146.0</v>
      </c>
      <c r="C883" s="7" t="s">
        <v>914</v>
      </c>
      <c r="D883" s="8" t="str">
        <f>IFERROR(__xludf.DUMMYFUNCTION("GOOGLETRANSLATE(C883, ""en"", ""pt"")"),"pai/mãe de acolhimento")</f>
        <v>pai/mãe de acolhimento</v>
      </c>
      <c r="E883" s="8" t="str">
        <f>IFERROR(__xludf.DUMMYFUNCTION("GOOGLETRANSLATE(C883, ""en"", ""es"")"),"padre de acogida")</f>
        <v>padre de acogida</v>
      </c>
      <c r="F883" s="8" t="str">
        <f>IFERROR(__xludf.DUMMYFUNCTION("GOOGLETRANSLATE(C883, ""en"", ""fr"")"),"famille d'accueil")</f>
        <v>famille d'accueil</v>
      </c>
      <c r="G883" s="8" t="str">
        <f>IFERROR(__xludf.DUMMYFUNCTION("GOOGLETRANSLATE(C883, ""en"", ""de"")"),"Pflegeelternteil")</f>
        <v>Pflegeelternteil</v>
      </c>
      <c r="H883" s="8" t="str">
        <f>IFERROR(__xludf.DUMMYFUNCTION("GOOGLETRANSLATE(C883, ""en"", ""ru"")"),"приемный родитель")</f>
        <v>приемный родитель</v>
      </c>
      <c r="I883" s="8" t="str">
        <f>IFERROR(__xludf.DUMMYFUNCTION("GOOGLETRANSLATE(C883, ""en"", ""ar"")"),"أب/أم حاضن/ة")</f>
        <v>أب/أم حاضن/ة</v>
      </c>
      <c r="J883" s="8"/>
      <c r="K883" s="7" t="str">
        <f>IFERROR(__xludf.DUMMYFUNCTION("CONCAT(REGEXREPLACE(C883,""[ ,]+"",""_""),"".mp3"")"),"foster_parent.mp3")</f>
        <v>foster_parent.mp3</v>
      </c>
      <c r="M883" s="4" t="s">
        <v>10</v>
      </c>
    </row>
    <row r="884" ht="15.75" customHeight="1">
      <c r="A884" s="1">
        <v>2252.0</v>
      </c>
      <c r="B884" s="3">
        <v>146.0</v>
      </c>
      <c r="C884" s="7" t="s">
        <v>915</v>
      </c>
      <c r="D884" s="8" t="str">
        <f>IFERROR(__xludf.DUMMYFUNCTION("GOOGLETRANSLATE(C884, ""en"", ""pt"")"),"filho adotivo")</f>
        <v>filho adotivo</v>
      </c>
      <c r="E884" s="8" t="str">
        <f>IFERROR(__xludf.DUMMYFUNCTION("GOOGLETRANSLATE(C884, ""en"", ""es"")"),"niño de acogida")</f>
        <v>niño de acogida</v>
      </c>
      <c r="F884" s="8" t="str">
        <f>IFERROR(__xludf.DUMMYFUNCTION("GOOGLETRANSLATE(C884, ""en"", ""fr"")"),"enfant placé en famille d'accueil")</f>
        <v>enfant placé en famille d'accueil</v>
      </c>
      <c r="G884" s="8" t="str">
        <f>IFERROR(__xludf.DUMMYFUNCTION("GOOGLETRANSLATE(C884, ""en"", ""de"")"),"Pflegekind")</f>
        <v>Pflegekind</v>
      </c>
      <c r="H884" s="8" t="str">
        <f>IFERROR(__xludf.DUMMYFUNCTION("GOOGLETRANSLATE(C884, ""en"", ""ru"")"),"приемный ребенок")</f>
        <v>приемный ребенок</v>
      </c>
      <c r="I884" s="8" t="str">
        <f>IFERROR(__xludf.DUMMYFUNCTION("GOOGLETRANSLATE(C884, ""en"", ""ar"")"),"طفل بالتبني")</f>
        <v>طفل بالتبني</v>
      </c>
      <c r="J884" s="8"/>
      <c r="K884" s="7" t="str">
        <f>IFERROR(__xludf.DUMMYFUNCTION("CONCAT(REGEXREPLACE(C884,""[ ,]+"",""_""),"".mp3"")"),"foster_child.mp3")</f>
        <v>foster_child.mp3</v>
      </c>
      <c r="M884" s="4" t="s">
        <v>10</v>
      </c>
    </row>
    <row r="885" ht="15.75" customHeight="1">
      <c r="A885" s="1">
        <v>2253.0</v>
      </c>
      <c r="B885" s="3">
        <v>146.0</v>
      </c>
      <c r="C885" s="7" t="s">
        <v>916</v>
      </c>
      <c r="D885" s="8" t="str">
        <f>IFERROR(__xludf.DUMMYFUNCTION("GOOGLETRANSLATE(C885, ""en"", ""pt"")"),"padrinho")</f>
        <v>padrinho</v>
      </c>
      <c r="E885" s="8" t="str">
        <f>IFERROR(__xludf.DUMMYFUNCTION("GOOGLETRANSLATE(C885, ""en"", ""es"")"),"padrino")</f>
        <v>padrino</v>
      </c>
      <c r="F885" s="8" t="str">
        <f>IFERROR(__xludf.DUMMYFUNCTION("GOOGLETRANSLATE(C885, ""en"", ""fr"")"),"parrain")</f>
        <v>parrain</v>
      </c>
      <c r="G885" s="8" t="str">
        <f>IFERROR(__xludf.DUMMYFUNCTION("GOOGLETRANSLATE(C885, ""en"", ""de"")"),"Pate")</f>
        <v>Pate</v>
      </c>
      <c r="H885" s="8" t="str">
        <f>IFERROR(__xludf.DUMMYFUNCTION("GOOGLETRANSLATE(C885, ""en"", ""ru"")"),"крестный отец")</f>
        <v>крестный отец</v>
      </c>
      <c r="I885" s="8" t="str">
        <f>IFERROR(__xludf.DUMMYFUNCTION("GOOGLETRANSLATE(C885, ""en"", ""ar"")"),"عراب")</f>
        <v>عراب</v>
      </c>
      <c r="J885" s="8"/>
      <c r="K885" s="7" t="str">
        <f>IFERROR(__xludf.DUMMYFUNCTION("CONCAT(REGEXREPLACE(C885,""[ ,]+"",""_""),"".mp3"")"),"godfather.mp3")</f>
        <v>godfather.mp3</v>
      </c>
      <c r="M885" s="4" t="s">
        <v>10</v>
      </c>
    </row>
    <row r="886" ht="15.75" customHeight="1">
      <c r="A886" s="1">
        <v>2254.0</v>
      </c>
      <c r="B886" s="3">
        <v>146.0</v>
      </c>
      <c r="C886" s="7" t="s">
        <v>917</v>
      </c>
      <c r="D886" s="8" t="str">
        <f>IFERROR(__xludf.DUMMYFUNCTION("GOOGLETRANSLATE(C886, ""en"", ""pt"")"),"madrinha")</f>
        <v>madrinha</v>
      </c>
      <c r="E886" s="8" t="str">
        <f>IFERROR(__xludf.DUMMYFUNCTION("GOOGLETRANSLATE(C886, ""en"", ""es"")"),"madrina")</f>
        <v>madrina</v>
      </c>
      <c r="F886" s="8" t="str">
        <f>IFERROR(__xludf.DUMMYFUNCTION("GOOGLETRANSLATE(C886, ""en"", ""fr"")"),"marraine")</f>
        <v>marraine</v>
      </c>
      <c r="G886" s="8" t="str">
        <f>IFERROR(__xludf.DUMMYFUNCTION("GOOGLETRANSLATE(C886, ""en"", ""de"")"),"Patin")</f>
        <v>Patin</v>
      </c>
      <c r="H886" s="8" t="str">
        <f>IFERROR(__xludf.DUMMYFUNCTION("GOOGLETRANSLATE(C886, ""en"", ""ru"")"),"крестная мать")</f>
        <v>крестная мать</v>
      </c>
      <c r="I886" s="8" t="str">
        <f>IFERROR(__xludf.DUMMYFUNCTION("GOOGLETRANSLATE(C886, ""en"", ""ar"")"),"العرابة")</f>
        <v>العرابة</v>
      </c>
      <c r="J886" s="8"/>
      <c r="K886" s="7" t="str">
        <f>IFERROR(__xludf.DUMMYFUNCTION("CONCAT(REGEXREPLACE(C886,""[ ,]+"",""_""),"".mp3"")"),"godmother.mp3")</f>
        <v>godmother.mp3</v>
      </c>
      <c r="M886" s="4" t="s">
        <v>10</v>
      </c>
    </row>
    <row r="887" ht="15.75" customHeight="1">
      <c r="A887" s="1">
        <v>2255.0</v>
      </c>
      <c r="B887" s="3">
        <v>146.0</v>
      </c>
      <c r="C887" s="7" t="s">
        <v>918</v>
      </c>
      <c r="D887" s="8" t="str">
        <f>IFERROR(__xludf.DUMMYFUNCTION("GOOGLETRANSLATE(C887, ""en"", ""pt"")"),"afilhado")</f>
        <v>afilhado</v>
      </c>
      <c r="E887" s="8" t="str">
        <f>IFERROR(__xludf.DUMMYFUNCTION("GOOGLETRANSLATE(C887, ""en"", ""es"")"),"ahijado")</f>
        <v>ahijado</v>
      </c>
      <c r="F887" s="8" t="str">
        <f>IFERROR(__xludf.DUMMYFUNCTION("GOOGLETRANSLATE(C887, ""en"", ""fr"")"),"filleul")</f>
        <v>filleul</v>
      </c>
      <c r="G887" s="8" t="str">
        <f>IFERROR(__xludf.DUMMYFUNCTION("GOOGLETRANSLATE(C887, ""en"", ""de"")"),"Patensohn")</f>
        <v>Patensohn</v>
      </c>
      <c r="H887" s="8" t="str">
        <f>IFERROR(__xludf.DUMMYFUNCTION("GOOGLETRANSLATE(C887, ""en"", ""ru"")"),"крестник")</f>
        <v>крестник</v>
      </c>
      <c r="I887" s="8" t="str">
        <f>IFERROR(__xludf.DUMMYFUNCTION("GOOGLETRANSLATE(C887, ""en"", ""ar"")"),"ابن الروح")</f>
        <v>ابن الروح</v>
      </c>
      <c r="J887" s="8"/>
      <c r="K887" s="7" t="str">
        <f>IFERROR(__xludf.DUMMYFUNCTION("CONCAT(REGEXREPLACE(C887,""[ ,]+"",""_""),"".mp3"")"),"godson.mp3")</f>
        <v>godson.mp3</v>
      </c>
      <c r="M887" s="4" t="s">
        <v>10</v>
      </c>
    </row>
    <row r="888" ht="15.75" customHeight="1">
      <c r="A888" s="1">
        <v>2256.0</v>
      </c>
      <c r="B888" s="3">
        <v>146.0</v>
      </c>
      <c r="C888" s="7" t="s">
        <v>919</v>
      </c>
      <c r="D888" s="8" t="str">
        <f>IFERROR(__xludf.DUMMYFUNCTION("GOOGLETRANSLATE(C888, ""en"", ""pt"")"),"afilhada")</f>
        <v>afilhada</v>
      </c>
      <c r="E888" s="8" t="str">
        <f>IFERROR(__xludf.DUMMYFUNCTION("GOOGLETRANSLATE(C888, ""en"", ""es"")"),"ahijada")</f>
        <v>ahijada</v>
      </c>
      <c r="F888" s="8" t="str">
        <f>IFERROR(__xludf.DUMMYFUNCTION("GOOGLETRANSLATE(C888, ""en"", ""fr"")"),"filleule")</f>
        <v>filleule</v>
      </c>
      <c r="G888" s="8" t="str">
        <f>IFERROR(__xludf.DUMMYFUNCTION("GOOGLETRANSLATE(C888, ""en"", ""de"")"),"Patentochter")</f>
        <v>Patentochter</v>
      </c>
      <c r="H888" s="8" t="str">
        <f>IFERROR(__xludf.DUMMYFUNCTION("GOOGLETRANSLATE(C888, ""en"", ""ru"")"),"крестница")</f>
        <v>крестница</v>
      </c>
      <c r="I888" s="8" t="str">
        <f>IFERROR(__xludf.DUMMYFUNCTION("GOOGLETRANSLATE(C888, ""en"", ""ar"")"),"إبنة بالمعمودية")</f>
        <v>إبنة بالمعمودية</v>
      </c>
      <c r="J888" s="8"/>
      <c r="K888" s="7" t="str">
        <f>IFERROR(__xludf.DUMMYFUNCTION("CONCAT(REGEXREPLACE(C888,""[ ,]+"",""_""),"".mp3"")"),"goddaughter.mp3")</f>
        <v>goddaughter.mp3</v>
      </c>
      <c r="M888" s="4" t="s">
        <v>10</v>
      </c>
    </row>
    <row r="889" ht="15.75" customHeight="1">
      <c r="A889" s="1">
        <v>2257.0</v>
      </c>
      <c r="B889" s="3">
        <v>146.0</v>
      </c>
      <c r="C889" s="7" t="s">
        <v>920</v>
      </c>
      <c r="D889" s="8" t="str">
        <f>IFERROR(__xludf.DUMMYFUNCTION("GOOGLETRANSLATE(C889, ""en"", ""pt"")"),"mãe solteira")</f>
        <v>mãe solteira</v>
      </c>
      <c r="E889" s="8" t="str">
        <f>IFERROR(__xludf.DUMMYFUNCTION("GOOGLETRANSLATE(C889, ""en"", ""es"")"),"padre/madre soltero/a")</f>
        <v>padre/madre soltero/a</v>
      </c>
      <c r="F889" s="8" t="str">
        <f>IFERROR(__xludf.DUMMYFUNCTION("GOOGLETRANSLATE(C889, ""en"", ""fr"")"),"parent célibataire")</f>
        <v>parent célibataire</v>
      </c>
      <c r="G889" s="8" t="str">
        <f>IFERROR(__xludf.DUMMYFUNCTION("GOOGLETRANSLATE(C889, ""en"", ""de"")"),"alleinerziehend")</f>
        <v>alleinerziehend</v>
      </c>
      <c r="H889" s="8" t="str">
        <f>IFERROR(__xludf.DUMMYFUNCTION("GOOGLETRANSLATE(C889, ""en"", ""ru"")"),"родитель-одиночка")</f>
        <v>родитель-одиночка</v>
      </c>
      <c r="I889" s="8" t="str">
        <f>IFERROR(__xludf.DUMMYFUNCTION("GOOGLETRANSLATE(C889, ""en"", ""ar"")"),"أب/أم عازب/ة")</f>
        <v>أب/أم عازب/ة</v>
      </c>
      <c r="J889" s="8"/>
      <c r="K889" s="7" t="str">
        <f>IFERROR(__xludf.DUMMYFUNCTION("CONCAT(REGEXREPLACE(C889,""[ ,]+"",""_""),"".mp3"")"),"single_parent.mp3")</f>
        <v>single_parent.mp3</v>
      </c>
      <c r="M889" s="4" t="s">
        <v>10</v>
      </c>
    </row>
    <row r="890" ht="15.75" customHeight="1">
      <c r="A890" s="1">
        <v>2258.0</v>
      </c>
      <c r="B890" s="3">
        <v>146.0</v>
      </c>
      <c r="C890" s="7" t="s">
        <v>921</v>
      </c>
      <c r="D890" s="8" t="str">
        <f>IFERROR(__xludf.DUMMYFUNCTION("GOOGLETRANSLATE(C890, ""en"", ""pt"")"),"co-parental")</f>
        <v>co-parental</v>
      </c>
      <c r="E890" s="8" t="str">
        <f>IFERROR(__xludf.DUMMYFUNCTION("GOOGLETRANSLATE(C890, ""en"", ""es"")"),"copadre")</f>
        <v>copadre</v>
      </c>
      <c r="F890" s="8" t="str">
        <f>IFERROR(__xludf.DUMMYFUNCTION("GOOGLETRANSLATE(C890, ""en"", ""fr"")"),"coparent")</f>
        <v>coparent</v>
      </c>
      <c r="G890" s="8" t="str">
        <f>IFERROR(__xludf.DUMMYFUNCTION("GOOGLETRANSLATE(C890, ""en"", ""de"")"),"Co-Elternteil")</f>
        <v>Co-Elternteil</v>
      </c>
      <c r="H890" s="8" t="str">
        <f>IFERROR(__xludf.DUMMYFUNCTION("GOOGLETRANSLATE(C890, ""en"", ""ru"")"),"совместное воспитание")</f>
        <v>совместное воспитание</v>
      </c>
      <c r="I890" s="8" t="str">
        <f>IFERROR(__xludf.DUMMYFUNCTION("GOOGLETRANSLATE(C890, ""en"", ""ar"")"),"الأبوة المشتركة")</f>
        <v>الأبوة المشتركة</v>
      </c>
      <c r="J890" s="8"/>
      <c r="K890" s="7" t="str">
        <f>IFERROR(__xludf.DUMMYFUNCTION("CONCAT(REGEXREPLACE(C890,""[ ,]+"",""_""),"".mp3"")"),"co‑parent.mp3")</f>
        <v>co‑parent.mp3</v>
      </c>
      <c r="M890" s="4" t="s">
        <v>10</v>
      </c>
    </row>
    <row r="891" ht="15.75" customHeight="1">
      <c r="A891" s="1">
        <v>2259.0</v>
      </c>
      <c r="B891" s="3">
        <v>146.0</v>
      </c>
      <c r="C891" s="7" t="s">
        <v>922</v>
      </c>
      <c r="D891" s="8" t="str">
        <f>IFERROR(__xludf.DUMMYFUNCTION("GOOGLETRANSLATE(C891, ""en"", ""pt"")"),"guardião")</f>
        <v>guardião</v>
      </c>
      <c r="E891" s="8" t="str">
        <f>IFERROR(__xludf.DUMMYFUNCTION("GOOGLETRANSLATE(C891, ""en"", ""es"")"),"guardián")</f>
        <v>guardián</v>
      </c>
      <c r="F891" s="8" t="str">
        <f>IFERROR(__xludf.DUMMYFUNCTION("GOOGLETRANSLATE(C891, ""en"", ""fr"")"),"tuteur")</f>
        <v>tuteur</v>
      </c>
      <c r="G891" s="8" t="str">
        <f>IFERROR(__xludf.DUMMYFUNCTION("GOOGLETRANSLATE(C891, ""en"", ""de"")"),"Wächter")</f>
        <v>Wächter</v>
      </c>
      <c r="H891" s="8" t="str">
        <f>IFERROR(__xludf.DUMMYFUNCTION("GOOGLETRANSLATE(C891, ""en"", ""ru"")"),"страж")</f>
        <v>страж</v>
      </c>
      <c r="I891" s="8" t="str">
        <f>IFERROR(__xludf.DUMMYFUNCTION("GOOGLETRANSLATE(C891, ""en"", ""ar"")"),"الوصي")</f>
        <v>الوصي</v>
      </c>
      <c r="J891" s="8"/>
      <c r="K891" s="7" t="str">
        <f>IFERROR(__xludf.DUMMYFUNCTION("CONCAT(REGEXREPLACE(C891,""[ ,]+"",""_""),"".mp3"")"),"guardian.mp3")</f>
        <v>guardian.mp3</v>
      </c>
      <c r="M891" s="4" t="s">
        <v>10</v>
      </c>
    </row>
    <row r="892" ht="15.75" customHeight="1">
      <c r="A892" s="1">
        <v>2260.0</v>
      </c>
      <c r="B892" s="3">
        <v>146.0</v>
      </c>
      <c r="C892" s="7" t="s">
        <v>923</v>
      </c>
      <c r="D892" s="8" t="str">
        <f>IFERROR(__xludf.DUMMYFUNCTION("GOOGLETRANSLATE(C892, ""en"", ""pt"")"),"tutor legal")</f>
        <v>tutor legal</v>
      </c>
      <c r="E892" s="8" t="str">
        <f>IFERROR(__xludf.DUMMYFUNCTION("GOOGLETRANSLATE(C892, ""en"", ""es"")"),"tutor legal")</f>
        <v>tutor legal</v>
      </c>
      <c r="F892" s="8" t="str">
        <f>IFERROR(__xludf.DUMMYFUNCTION("GOOGLETRANSLATE(C892, ""en"", ""fr"")"),"tuteur légal")</f>
        <v>tuteur légal</v>
      </c>
      <c r="G892" s="8" t="str">
        <f>IFERROR(__xludf.DUMMYFUNCTION("GOOGLETRANSLATE(C892, ""en"", ""de"")"),"gesetzlicher Vormund")</f>
        <v>gesetzlicher Vormund</v>
      </c>
      <c r="H892" s="8" t="str">
        <f>IFERROR(__xludf.DUMMYFUNCTION("GOOGLETRANSLATE(C892, ""en"", ""ru"")"),"законный опекун")</f>
        <v>законный опекун</v>
      </c>
      <c r="I892" s="8" t="str">
        <f>IFERROR(__xludf.DUMMYFUNCTION("GOOGLETRANSLATE(C892, ""en"", ""ar"")"),"الوصي القانوني")</f>
        <v>الوصي القانوني</v>
      </c>
      <c r="J892" s="8"/>
      <c r="K892" s="7" t="str">
        <f>IFERROR(__xludf.DUMMYFUNCTION("CONCAT(REGEXREPLACE(C892,""[ ,]+"",""_""),"".mp3"")"),"legal_guardian.mp3")</f>
        <v>legal_guardian.mp3</v>
      </c>
      <c r="M892" s="4" t="s">
        <v>10</v>
      </c>
    </row>
    <row r="893" ht="15.75" customHeight="1">
      <c r="A893" s="1">
        <v>2261.0</v>
      </c>
      <c r="B893" s="3">
        <v>146.0</v>
      </c>
      <c r="C893" s="7" t="s">
        <v>924</v>
      </c>
      <c r="D893" s="8" t="str">
        <f>IFERROR(__xludf.DUMMYFUNCTION("GOOGLETRANSLATE(C893, ""en"", ""pt"")"),"cuidador")</f>
        <v>cuidador</v>
      </c>
      <c r="E893" s="8" t="str">
        <f>IFERROR(__xludf.DUMMYFUNCTION("GOOGLETRANSLATE(C893, ""en"", ""es"")"),"cuidador")</f>
        <v>cuidador</v>
      </c>
      <c r="F893" s="8" t="str">
        <f>IFERROR(__xludf.DUMMYFUNCTION("GOOGLETRANSLATE(C893, ""en"", ""fr"")"),"soignant")</f>
        <v>soignant</v>
      </c>
      <c r="G893" s="8" t="str">
        <f>IFERROR(__xludf.DUMMYFUNCTION("GOOGLETRANSLATE(C893, ""en"", ""de"")"),"Pflegekraft")</f>
        <v>Pflegekraft</v>
      </c>
      <c r="H893" s="8" t="str">
        <f>IFERROR(__xludf.DUMMYFUNCTION("GOOGLETRANSLATE(C893, ""en"", ""ru"")"),"опекун")</f>
        <v>опекун</v>
      </c>
      <c r="I893" s="8" t="str">
        <f>IFERROR(__xludf.DUMMYFUNCTION("GOOGLETRANSLATE(C893, ""en"", ""ar"")"),"مقدم الرعاية")</f>
        <v>مقدم الرعاية</v>
      </c>
      <c r="J893" s="8"/>
      <c r="K893" s="7" t="str">
        <f>IFERROR(__xludf.DUMMYFUNCTION("CONCAT(REGEXREPLACE(C893,""[ ,]+"",""_""),"".mp3"")"),"caregiver.mp3")</f>
        <v>caregiver.mp3</v>
      </c>
      <c r="M893" s="4" t="s">
        <v>10</v>
      </c>
    </row>
    <row r="894" ht="15.75" customHeight="1">
      <c r="A894" s="1">
        <v>2262.0</v>
      </c>
      <c r="B894" s="3">
        <v>146.0</v>
      </c>
      <c r="C894" s="7" t="s">
        <v>925</v>
      </c>
      <c r="D894" s="8" t="str">
        <f>IFERROR(__xludf.DUMMYFUNCTION("GOOGLETRANSLATE(C894, ""en"", ""pt"")"),"parceiro doméstico")</f>
        <v>parceiro doméstico</v>
      </c>
      <c r="E894" s="8" t="str">
        <f>IFERROR(__xludf.DUMMYFUNCTION("GOOGLETRANSLATE(C894, ""en"", ""es"")"),"pareja de hecho")</f>
        <v>pareja de hecho</v>
      </c>
      <c r="F894" s="8" t="str">
        <f>IFERROR(__xludf.DUMMYFUNCTION("GOOGLETRANSLATE(C894, ""en"", ""fr"")"),"partenaire domestique")</f>
        <v>partenaire domestique</v>
      </c>
      <c r="G894" s="8" t="str">
        <f>IFERROR(__xludf.DUMMYFUNCTION("GOOGLETRANSLATE(C894, ""en"", ""de"")"),"Lebenspartner")</f>
        <v>Lebenspartner</v>
      </c>
      <c r="H894" s="8" t="str">
        <f>IFERROR(__xludf.DUMMYFUNCTION("GOOGLETRANSLATE(C894, ""en"", ""ru"")"),"домашний партнер")</f>
        <v>домашний партнер</v>
      </c>
      <c r="I894" s="8" t="str">
        <f>IFERROR(__xludf.DUMMYFUNCTION("GOOGLETRANSLATE(C894, ""en"", ""ar"")"),"شريك محلي")</f>
        <v>شريك محلي</v>
      </c>
      <c r="J894" s="8"/>
      <c r="K894" s="7" t="str">
        <f>IFERROR(__xludf.DUMMYFUNCTION("CONCAT(REGEXREPLACE(C894,""[ ,]+"",""_""),"".mp3"")"),"domestic_partner.mp3")</f>
        <v>domestic_partner.mp3</v>
      </c>
      <c r="M894" s="4" t="s">
        <v>10</v>
      </c>
    </row>
    <row r="895" ht="15.75" customHeight="1">
      <c r="A895" s="1">
        <v>2263.0</v>
      </c>
      <c r="B895" s="3">
        <v>146.0</v>
      </c>
      <c r="C895" s="7" t="s">
        <v>926</v>
      </c>
      <c r="D895" s="8" t="str">
        <f>IFERROR(__xludf.DUMMYFUNCTION("GOOGLETRANSLATE(C895, ""en"", ""pt"")"),"família escolhida")</f>
        <v>família escolhida</v>
      </c>
      <c r="E895" s="8" t="str">
        <f>IFERROR(__xludf.DUMMYFUNCTION("GOOGLETRANSLATE(C895, ""en"", ""es"")"),"familia elegida")</f>
        <v>familia elegida</v>
      </c>
      <c r="F895" s="8" t="str">
        <f>IFERROR(__xludf.DUMMYFUNCTION("GOOGLETRANSLATE(C895, ""en"", ""fr"")"),"famille choisie")</f>
        <v>famille choisie</v>
      </c>
      <c r="G895" s="8" t="str">
        <f>IFERROR(__xludf.DUMMYFUNCTION("GOOGLETRANSLATE(C895, ""en"", ""de"")"),"Wahlfamilie")</f>
        <v>Wahlfamilie</v>
      </c>
      <c r="H895" s="8" t="str">
        <f>IFERROR(__xludf.DUMMYFUNCTION("GOOGLETRANSLATE(C895, ""en"", ""ru"")"),"выбранная семья")</f>
        <v>выбранная семья</v>
      </c>
      <c r="I895" s="8" t="str">
        <f>IFERROR(__xludf.DUMMYFUNCTION("GOOGLETRANSLATE(C895, ""en"", ""ar"")"),"العائلة المختارة")</f>
        <v>العائلة المختارة</v>
      </c>
      <c r="J895" s="8"/>
      <c r="K895" s="7" t="str">
        <f>IFERROR(__xludf.DUMMYFUNCTION("CONCAT(REGEXREPLACE(C895,""[ ,]+"",""_""),"".mp3"")"),"chosen_family.mp3")</f>
        <v>chosen_family.mp3</v>
      </c>
      <c r="M895" s="4" t="s">
        <v>10</v>
      </c>
    </row>
    <row r="896" ht="15.75" customHeight="1">
      <c r="A896" s="1">
        <v>2264.0</v>
      </c>
      <c r="B896" s="3">
        <v>146.0</v>
      </c>
      <c r="C896" s="7" t="s">
        <v>927</v>
      </c>
      <c r="D896" s="8" t="str">
        <f>IFERROR(__xludf.DUMMYFUNCTION("GOOGLETRANSLATE(C896, ""en"", ""pt"")"),"família")</f>
        <v>família</v>
      </c>
      <c r="E896" s="8" t="str">
        <f>IFERROR(__xludf.DUMMYFUNCTION("GOOGLETRANSLATE(C896, ""en"", ""es"")"),"familia")</f>
        <v>familia</v>
      </c>
      <c r="F896" s="8" t="str">
        <f>IFERROR(__xludf.DUMMYFUNCTION("GOOGLETRANSLATE(C896, ""en"", ""fr"")"),"famille")</f>
        <v>famille</v>
      </c>
      <c r="G896" s="8" t="str">
        <f>IFERROR(__xludf.DUMMYFUNCTION("GOOGLETRANSLATE(C896, ""en"", ""de"")"),"Familie")</f>
        <v>Familie</v>
      </c>
      <c r="H896" s="8" t="str">
        <f>IFERROR(__xludf.DUMMYFUNCTION("GOOGLETRANSLATE(C896, ""en"", ""ru"")"),"семья")</f>
        <v>семья</v>
      </c>
      <c r="I896" s="8" t="str">
        <f>IFERROR(__xludf.DUMMYFUNCTION("GOOGLETRANSLATE(C896, ""en"", ""ar"")"),"عائلة")</f>
        <v>عائلة</v>
      </c>
      <c r="J896" s="8"/>
      <c r="K896" s="7" t="str">
        <f>IFERROR(__xludf.DUMMYFUNCTION("CONCAT(REGEXREPLACE(C896,""[ ,]+"",""_""),"".mp3"")"),"family.mp3")</f>
        <v>family.mp3</v>
      </c>
      <c r="M896" s="4" t="s">
        <v>10</v>
      </c>
    </row>
    <row r="897" ht="15.75" customHeight="1">
      <c r="A897" s="1">
        <v>2265.0</v>
      </c>
      <c r="B897" s="3">
        <v>146.0</v>
      </c>
      <c r="C897" s="7" t="s">
        <v>928</v>
      </c>
      <c r="D897" s="8" t="str">
        <f>IFERROR(__xludf.DUMMYFUNCTION("GOOGLETRANSLATE(C897, ""en"", ""pt"")"),"doméstico")</f>
        <v>doméstico</v>
      </c>
      <c r="E897" s="8" t="str">
        <f>IFERROR(__xludf.DUMMYFUNCTION("GOOGLETRANSLATE(C897, ""en"", ""es"")"),"familiar")</f>
        <v>familiar</v>
      </c>
      <c r="F897" s="8" t="str">
        <f>IFERROR(__xludf.DUMMYFUNCTION("GOOGLETRANSLATE(C897, ""en"", ""fr"")"),"ménage")</f>
        <v>ménage</v>
      </c>
      <c r="G897" s="8" t="str">
        <f>IFERROR(__xludf.DUMMYFUNCTION("GOOGLETRANSLATE(C897, ""en"", ""de"")"),"Haushalt")</f>
        <v>Haushalt</v>
      </c>
      <c r="H897" s="8" t="str">
        <f>IFERROR(__xludf.DUMMYFUNCTION("GOOGLETRANSLATE(C897, ""en"", ""ru"")"),"семья")</f>
        <v>семья</v>
      </c>
      <c r="I897" s="8" t="str">
        <f>IFERROR(__xludf.DUMMYFUNCTION("GOOGLETRANSLATE(C897, ""en"", ""ar"")"),"أُسرَة")</f>
        <v>أُسرَة</v>
      </c>
      <c r="J897" s="8"/>
      <c r="K897" s="7" t="str">
        <f>IFERROR(__xludf.DUMMYFUNCTION("CONCAT(REGEXREPLACE(C897,""[ ,]+"",""_""),"".mp3"")"),"household.mp3")</f>
        <v>household.mp3</v>
      </c>
      <c r="M897" s="4" t="s">
        <v>10</v>
      </c>
    </row>
    <row r="898" ht="15.75" customHeight="1">
      <c r="A898" s="1">
        <v>2266.0</v>
      </c>
      <c r="B898" s="3">
        <v>146.0</v>
      </c>
      <c r="C898" s="7" t="s">
        <v>929</v>
      </c>
      <c r="D898" s="8" t="str">
        <f>IFERROR(__xludf.DUMMYFUNCTION("GOOGLETRANSLATE(C898, ""en"", ""pt"")"),"parentes")</f>
        <v>parentes</v>
      </c>
      <c r="E898" s="8" t="str">
        <f>IFERROR(__xludf.DUMMYFUNCTION("GOOGLETRANSLATE(C898, ""en"", ""es"")"),"parientes")</f>
        <v>parientes</v>
      </c>
      <c r="F898" s="8" t="str">
        <f>IFERROR(__xludf.DUMMYFUNCTION("GOOGLETRANSLATE(C898, ""en"", ""fr"")"),"parents")</f>
        <v>parents</v>
      </c>
      <c r="G898" s="8" t="str">
        <f>IFERROR(__xludf.DUMMYFUNCTION("GOOGLETRANSLATE(C898, ""en"", ""de"")"),"Verwandte")</f>
        <v>Verwandte</v>
      </c>
      <c r="H898" s="8" t="str">
        <f>IFERROR(__xludf.DUMMYFUNCTION("GOOGLETRANSLATE(C898, ""en"", ""ru"")"),"родственники")</f>
        <v>родственники</v>
      </c>
      <c r="I898" s="8" t="str">
        <f>IFERROR(__xludf.DUMMYFUNCTION("GOOGLETRANSLATE(C898, ""en"", ""ar"")"),"الأقارب")</f>
        <v>الأقارب</v>
      </c>
      <c r="J898" s="8"/>
      <c r="K898" s="7" t="str">
        <f>IFERROR(__xludf.DUMMYFUNCTION("CONCAT(REGEXREPLACE(C898,""[ ,]+"",""_""),"".mp3"")"),"relatives.mp3")</f>
        <v>relatives.mp3</v>
      </c>
      <c r="M898" s="4" t="s">
        <v>10</v>
      </c>
    </row>
    <row r="899" ht="15.75" customHeight="1">
      <c r="A899" s="1">
        <v>2267.0</v>
      </c>
      <c r="B899" s="3">
        <v>146.0</v>
      </c>
      <c r="C899" s="7" t="s">
        <v>930</v>
      </c>
      <c r="D899" s="8" t="str">
        <f>IFERROR(__xludf.DUMMYFUNCTION("GOOGLETRANSLATE(C899, ""en"", ""pt"")"),"parente")</f>
        <v>parente</v>
      </c>
      <c r="E899" s="8" t="str">
        <f>IFERROR(__xludf.DUMMYFUNCTION("GOOGLETRANSLATE(C899, ""en"", ""es"")"),"familiares")</f>
        <v>familiares</v>
      </c>
      <c r="F899" s="8" t="str">
        <f>IFERROR(__xludf.DUMMYFUNCTION("GOOGLETRANSLATE(C899, ""en"", ""fr"")"),"proche")</f>
        <v>proche</v>
      </c>
      <c r="G899" s="8" t="str">
        <f>IFERROR(__xludf.DUMMYFUNCTION("GOOGLETRANSLATE(C899, ""en"", ""de"")"),"Verwandtschaft")</f>
        <v>Verwandtschaft</v>
      </c>
      <c r="H899" s="8" t="str">
        <f>IFERROR(__xludf.DUMMYFUNCTION("GOOGLETRANSLATE(C899, ""en"", ""ru"")"),"родственники")</f>
        <v>родственники</v>
      </c>
      <c r="I899" s="8" t="str">
        <f>IFERROR(__xludf.DUMMYFUNCTION("GOOGLETRANSLATE(C899, ""en"", ""ar"")"),"الأقارب")</f>
        <v>الأقارب</v>
      </c>
      <c r="J899" s="8"/>
      <c r="K899" s="7" t="str">
        <f>IFERROR(__xludf.DUMMYFUNCTION("CONCAT(REGEXREPLACE(C899,""[ ,]+"",""_""),"".mp3"")"),"kin.mp3")</f>
        <v>kin.mp3</v>
      </c>
      <c r="M899" s="4" t="s">
        <v>10</v>
      </c>
    </row>
    <row r="900" ht="15.75" customHeight="1">
      <c r="A900" s="1">
        <v>2268.0</v>
      </c>
      <c r="B900" s="3">
        <v>146.0</v>
      </c>
      <c r="C900" s="7" t="s">
        <v>931</v>
      </c>
      <c r="D900" s="8" t="str">
        <f>IFERROR(__xludf.DUMMYFUNCTION("GOOGLETRANSLATE(C900, ""en"", ""pt"")"),"parente mais próximo")</f>
        <v>parente mais próximo</v>
      </c>
      <c r="E900" s="8" t="str">
        <f>IFERROR(__xludf.DUMMYFUNCTION("GOOGLETRANSLATE(C900, ""en"", ""es"")"),"pariente más cercano")</f>
        <v>pariente más cercano</v>
      </c>
      <c r="F900" s="8" t="str">
        <f>IFERROR(__xludf.DUMMYFUNCTION("GOOGLETRANSLATE(C900, ""en"", ""fr"")"),"plus proche parent")</f>
        <v>plus proche parent</v>
      </c>
      <c r="G900" s="8" t="str">
        <f>IFERROR(__xludf.DUMMYFUNCTION("GOOGLETRANSLATE(C900, ""en"", ""de"")"),"nächster Angehöriger")</f>
        <v>nächster Angehöriger</v>
      </c>
      <c r="H900" s="8" t="str">
        <f>IFERROR(__xludf.DUMMYFUNCTION("GOOGLETRANSLATE(C900, ""en"", ""ru"")"),"ближайший родственник")</f>
        <v>ближайший родственник</v>
      </c>
      <c r="I900" s="8" t="str">
        <f>IFERROR(__xludf.DUMMYFUNCTION("GOOGLETRANSLATE(C900, ""en"", ""ar"")"),"أقرب الأقارب")</f>
        <v>أقرب الأقارب</v>
      </c>
      <c r="J900" s="8"/>
      <c r="K900" s="7" t="str">
        <f>IFERROR(__xludf.DUMMYFUNCTION("CONCAT(REGEXREPLACE(C900,""[ ,]+"",""_""),"".mp3"")"),"next_of_kin.mp3")</f>
        <v>next_of_kin.mp3</v>
      </c>
      <c r="M900" s="4" t="s">
        <v>10</v>
      </c>
    </row>
    <row r="901" ht="15.75" customHeight="1">
      <c r="A901" s="1">
        <v>2269.0</v>
      </c>
      <c r="B901" s="3">
        <v>146.0</v>
      </c>
      <c r="C901" s="7" t="s">
        <v>932</v>
      </c>
      <c r="D901" s="8" t="str">
        <f>IFERROR(__xludf.DUMMYFUNCTION("GOOGLETRANSLATE(C901, ""en"", ""pt"")"),"antepassado")</f>
        <v>antepassado</v>
      </c>
      <c r="E901" s="8" t="str">
        <f>IFERROR(__xludf.DUMMYFUNCTION("GOOGLETRANSLATE(C901, ""en"", ""es"")"),"antepasado")</f>
        <v>antepasado</v>
      </c>
      <c r="F901" s="8" t="str">
        <f>IFERROR(__xludf.DUMMYFUNCTION("GOOGLETRANSLATE(C901, ""en"", ""fr"")"),"ancêtre")</f>
        <v>ancêtre</v>
      </c>
      <c r="G901" s="8" t="str">
        <f>IFERROR(__xludf.DUMMYFUNCTION("GOOGLETRANSLATE(C901, ""en"", ""de"")"),"Vorfahr")</f>
        <v>Vorfahr</v>
      </c>
      <c r="H901" s="8" t="str">
        <f>IFERROR(__xludf.DUMMYFUNCTION("GOOGLETRANSLATE(C901, ""en"", ""ru"")"),"предок")</f>
        <v>предок</v>
      </c>
      <c r="I901" s="8" t="str">
        <f>IFERROR(__xludf.DUMMYFUNCTION("GOOGLETRANSLATE(C901, ""en"", ""ar"")"),"سلف")</f>
        <v>سلف</v>
      </c>
      <c r="J901" s="8"/>
      <c r="K901" s="7" t="str">
        <f>IFERROR(__xludf.DUMMYFUNCTION("CONCAT(REGEXREPLACE(C901,""[ ,]+"",""_""),"".mp3"")"),"ancestor.mp3")</f>
        <v>ancestor.mp3</v>
      </c>
      <c r="M901" s="4" t="s">
        <v>10</v>
      </c>
    </row>
    <row r="902" ht="15.75" customHeight="1">
      <c r="A902" s="1">
        <v>2270.0</v>
      </c>
      <c r="B902" s="3">
        <v>146.0</v>
      </c>
      <c r="C902" s="7" t="s">
        <v>933</v>
      </c>
      <c r="D902" s="8" t="str">
        <f>IFERROR(__xludf.DUMMYFUNCTION("GOOGLETRANSLATE(C902, ""en"", ""pt"")"),"descendente")</f>
        <v>descendente</v>
      </c>
      <c r="E902" s="8" t="str">
        <f>IFERROR(__xludf.DUMMYFUNCTION("GOOGLETRANSLATE(C902, ""en"", ""es"")"),"descendiente")</f>
        <v>descendiente</v>
      </c>
      <c r="F902" s="8" t="str">
        <f>IFERROR(__xludf.DUMMYFUNCTION("GOOGLETRANSLATE(C902, ""en"", ""fr"")"),"descendant")</f>
        <v>descendant</v>
      </c>
      <c r="G902" s="8" t="str">
        <f>IFERROR(__xludf.DUMMYFUNCTION("GOOGLETRANSLATE(C902, ""en"", ""de"")"),"Nachkomme")</f>
        <v>Nachkomme</v>
      </c>
      <c r="H902" s="8" t="str">
        <f>IFERROR(__xludf.DUMMYFUNCTION("GOOGLETRANSLATE(C902, ""en"", ""ru"")"),"потомок")</f>
        <v>потомок</v>
      </c>
      <c r="I902" s="8" t="str">
        <f>IFERROR(__xludf.DUMMYFUNCTION("GOOGLETRANSLATE(C902, ""en"", ""ar"")"),"سليل")</f>
        <v>سليل</v>
      </c>
      <c r="J902" s="8"/>
      <c r="K902" s="7" t="str">
        <f>IFERROR(__xludf.DUMMYFUNCTION("CONCAT(REGEXREPLACE(C902,""[ ,]+"",""_""),"".mp3"")"),"descendant.mp3")</f>
        <v>descendant.mp3</v>
      </c>
      <c r="M902" s="4" t="s">
        <v>10</v>
      </c>
    </row>
    <row r="903" ht="15.75" customHeight="1">
      <c r="A903" s="1">
        <v>2271.0</v>
      </c>
      <c r="B903" s="3">
        <v>147.0</v>
      </c>
      <c r="C903" s="7" t="s">
        <v>934</v>
      </c>
      <c r="D903" s="8" t="str">
        <f>IFERROR(__xludf.DUMMYFUNCTION("GOOGLETRANSLATE(C903, ""en"", ""pt"")"),"carvalho")</f>
        <v>carvalho</v>
      </c>
      <c r="E903" s="8" t="str">
        <f>IFERROR(__xludf.DUMMYFUNCTION("GOOGLETRANSLATE(C903, ""en"", ""es"")"),"roble")</f>
        <v>roble</v>
      </c>
      <c r="F903" s="8" t="str">
        <f>IFERROR(__xludf.DUMMYFUNCTION("GOOGLETRANSLATE(C903, ""en"", ""fr"")"),"chêne")</f>
        <v>chêne</v>
      </c>
      <c r="G903" s="8" t="str">
        <f>IFERROR(__xludf.DUMMYFUNCTION("GOOGLETRANSLATE(C903, ""en"", ""de"")"),"Eiche")</f>
        <v>Eiche</v>
      </c>
      <c r="H903" s="8" t="str">
        <f>IFERROR(__xludf.DUMMYFUNCTION("GOOGLETRANSLATE(C903, ""en"", ""ru"")"),"дуб")</f>
        <v>дуб</v>
      </c>
      <c r="I903" s="8" t="str">
        <f>IFERROR(__xludf.DUMMYFUNCTION("GOOGLETRANSLATE(C903, ""en"", ""ar"")"),"البلوط")</f>
        <v>البلوط</v>
      </c>
      <c r="J903" s="8"/>
      <c r="K903" s="7" t="str">
        <f>IFERROR(__xludf.DUMMYFUNCTION("CONCAT(REGEXREPLACE(C903,""[ ,]+"",""_""),"".mp3"")"),"oak.mp3")</f>
        <v>oak.mp3</v>
      </c>
      <c r="M903" s="4" t="s">
        <v>10</v>
      </c>
    </row>
    <row r="904" ht="15.75" customHeight="1">
      <c r="A904" s="1">
        <v>2272.0</v>
      </c>
      <c r="B904" s="3">
        <v>147.0</v>
      </c>
      <c r="C904" s="7" t="s">
        <v>935</v>
      </c>
      <c r="D904" s="8" t="str">
        <f>IFERROR(__xludf.DUMMYFUNCTION("GOOGLETRANSLATE(C904, ""en"", ""pt"")"),"bordo")</f>
        <v>bordo</v>
      </c>
      <c r="E904" s="8" t="str">
        <f>IFERROR(__xludf.DUMMYFUNCTION("GOOGLETRANSLATE(C904, ""en"", ""es"")"),"arce")</f>
        <v>arce</v>
      </c>
      <c r="F904" s="8" t="str">
        <f>IFERROR(__xludf.DUMMYFUNCTION("GOOGLETRANSLATE(C904, ""en"", ""fr"")"),"érable")</f>
        <v>érable</v>
      </c>
      <c r="G904" s="8" t="str">
        <f>IFERROR(__xludf.DUMMYFUNCTION("GOOGLETRANSLATE(C904, ""en"", ""de"")"),"Ahorn")</f>
        <v>Ahorn</v>
      </c>
      <c r="H904" s="8" t="str">
        <f>IFERROR(__xludf.DUMMYFUNCTION("GOOGLETRANSLATE(C904, ""en"", ""ru"")"),"клен")</f>
        <v>клен</v>
      </c>
      <c r="I904" s="8" t="str">
        <f>IFERROR(__xludf.DUMMYFUNCTION("GOOGLETRANSLATE(C904, ""en"", ""ar"")"),"القيقب")</f>
        <v>القيقب</v>
      </c>
      <c r="J904" s="8"/>
      <c r="K904" s="7" t="str">
        <f>IFERROR(__xludf.DUMMYFUNCTION("CONCAT(REGEXREPLACE(C904,""[ ,]+"",""_""),"".mp3"")"),"maple.mp3")</f>
        <v>maple.mp3</v>
      </c>
      <c r="M904" s="4" t="s">
        <v>10</v>
      </c>
    </row>
    <row r="905" ht="15.75" customHeight="1">
      <c r="A905" s="1">
        <v>2273.0</v>
      </c>
      <c r="B905" s="3">
        <v>147.0</v>
      </c>
      <c r="C905" s="7" t="s">
        <v>936</v>
      </c>
      <c r="D905" s="8" t="str">
        <f>IFERROR(__xludf.DUMMYFUNCTION("GOOGLETRANSLATE(C905, ""en"", ""pt"")"),"pinho")</f>
        <v>pinho</v>
      </c>
      <c r="E905" s="8" t="str">
        <f>IFERROR(__xludf.DUMMYFUNCTION("GOOGLETRANSLATE(C905, ""en"", ""es"")"),"pino")</f>
        <v>pino</v>
      </c>
      <c r="F905" s="8" t="str">
        <f>IFERROR(__xludf.DUMMYFUNCTION("GOOGLETRANSLATE(C905, ""en"", ""fr"")"),"pin")</f>
        <v>pin</v>
      </c>
      <c r="G905" s="8" t="str">
        <f>IFERROR(__xludf.DUMMYFUNCTION("GOOGLETRANSLATE(C905, ""en"", ""de"")"),"Kiefer")</f>
        <v>Kiefer</v>
      </c>
      <c r="H905" s="8" t="str">
        <f>IFERROR(__xludf.DUMMYFUNCTION("GOOGLETRANSLATE(C905, ""en"", ""ru"")"),"сосна")</f>
        <v>сосна</v>
      </c>
      <c r="I905" s="8" t="str">
        <f>IFERROR(__xludf.DUMMYFUNCTION("GOOGLETRANSLATE(C905, ""en"", ""ar"")"),"الصنوبر")</f>
        <v>الصنوبر</v>
      </c>
      <c r="J905" s="8"/>
      <c r="K905" s="7" t="str">
        <f>IFERROR(__xludf.DUMMYFUNCTION("CONCAT(REGEXREPLACE(C905,""[ ,]+"",""_""),"".mp3"")"),"pine.mp3")</f>
        <v>pine.mp3</v>
      </c>
      <c r="M905" s="4" t="s">
        <v>10</v>
      </c>
    </row>
    <row r="906" ht="15.75" customHeight="1">
      <c r="A906" s="1">
        <v>2274.0</v>
      </c>
      <c r="B906" s="3">
        <v>147.0</v>
      </c>
      <c r="C906" s="7" t="s">
        <v>937</v>
      </c>
      <c r="D906" s="8" t="str">
        <f>IFERROR(__xludf.DUMMYFUNCTION("GOOGLETRANSLATE(C906, ""en"", ""pt"")"),"vidoeiro")</f>
        <v>vidoeiro</v>
      </c>
      <c r="E906" s="8" t="str">
        <f>IFERROR(__xludf.DUMMYFUNCTION("GOOGLETRANSLATE(C906, ""en"", ""es"")"),"abedul")</f>
        <v>abedul</v>
      </c>
      <c r="F906" s="8" t="str">
        <f>IFERROR(__xludf.DUMMYFUNCTION("GOOGLETRANSLATE(C906, ""en"", ""fr"")"),"bouleau")</f>
        <v>bouleau</v>
      </c>
      <c r="G906" s="8" t="str">
        <f>IFERROR(__xludf.DUMMYFUNCTION("GOOGLETRANSLATE(C906, ""en"", ""de"")"),"Birke")</f>
        <v>Birke</v>
      </c>
      <c r="H906" s="8" t="str">
        <f>IFERROR(__xludf.DUMMYFUNCTION("GOOGLETRANSLATE(C906, ""en"", ""ru"")"),"береза")</f>
        <v>береза</v>
      </c>
      <c r="I906" s="8" t="str">
        <f>IFERROR(__xludf.DUMMYFUNCTION("GOOGLETRANSLATE(C906, ""en"", ""ar"")"),"البتولا")</f>
        <v>البتولا</v>
      </c>
      <c r="J906" s="8"/>
      <c r="K906" s="7" t="str">
        <f>IFERROR(__xludf.DUMMYFUNCTION("CONCAT(REGEXREPLACE(C906,""[ ,]+"",""_""),"".mp3"")"),"birch.mp3")</f>
        <v>birch.mp3</v>
      </c>
      <c r="M906" s="4" t="s">
        <v>10</v>
      </c>
    </row>
    <row r="907" ht="15.75" customHeight="1">
      <c r="A907" s="1">
        <v>2275.0</v>
      </c>
      <c r="B907" s="3">
        <v>147.0</v>
      </c>
      <c r="C907" s="7" t="s">
        <v>938</v>
      </c>
      <c r="D907" s="8" t="str">
        <f>IFERROR(__xludf.DUMMYFUNCTION("GOOGLETRANSLATE(C907, ""en"", ""pt"")"),"faia")</f>
        <v>faia</v>
      </c>
      <c r="E907" s="8" t="str">
        <f>IFERROR(__xludf.DUMMYFUNCTION("GOOGLETRANSLATE(C907, ""en"", ""es"")"),"haya")</f>
        <v>haya</v>
      </c>
      <c r="F907" s="8" t="str">
        <f>IFERROR(__xludf.DUMMYFUNCTION("GOOGLETRANSLATE(C907, ""en"", ""fr"")"),"hêtre")</f>
        <v>hêtre</v>
      </c>
      <c r="G907" s="8" t="str">
        <f>IFERROR(__xludf.DUMMYFUNCTION("GOOGLETRANSLATE(C907, ""en"", ""de"")"),"Buche")</f>
        <v>Buche</v>
      </c>
      <c r="H907" s="8" t="str">
        <f>IFERROR(__xludf.DUMMYFUNCTION("GOOGLETRANSLATE(C907, ""en"", ""ru"")"),"бук")</f>
        <v>бук</v>
      </c>
      <c r="I907" s="8" t="str">
        <f>IFERROR(__xludf.DUMMYFUNCTION("GOOGLETRANSLATE(C907, ""en"", ""ar"")"),"خشب الزان")</f>
        <v>خشب الزان</v>
      </c>
      <c r="J907" s="8"/>
      <c r="K907" s="7" t="str">
        <f>IFERROR(__xludf.DUMMYFUNCTION("CONCAT(REGEXREPLACE(C907,""[ ,]+"",""_""),"".mp3"")"),"beech.mp3")</f>
        <v>beech.mp3</v>
      </c>
      <c r="M907" s="4" t="s">
        <v>10</v>
      </c>
    </row>
    <row r="908" ht="15.75" customHeight="1">
      <c r="A908" s="1">
        <v>2276.0</v>
      </c>
      <c r="B908" s="3">
        <v>147.0</v>
      </c>
      <c r="C908" s="7" t="s">
        <v>939</v>
      </c>
      <c r="D908" s="8" t="str">
        <f>IFERROR(__xludf.DUMMYFUNCTION("GOOGLETRANSLATE(C908, ""en"", ""pt"")"),"olmo")</f>
        <v>olmo</v>
      </c>
      <c r="E908" s="8" t="str">
        <f>IFERROR(__xludf.DUMMYFUNCTION("GOOGLETRANSLATE(C908, ""en"", ""es"")"),"olmo")</f>
        <v>olmo</v>
      </c>
      <c r="F908" s="8" t="str">
        <f>IFERROR(__xludf.DUMMYFUNCTION("GOOGLETRANSLATE(C908, ""en"", ""fr"")"),"orme")</f>
        <v>orme</v>
      </c>
      <c r="G908" s="8" t="str">
        <f>IFERROR(__xludf.DUMMYFUNCTION("GOOGLETRANSLATE(C908, ""en"", ""de"")"),"Ulme")</f>
        <v>Ulme</v>
      </c>
      <c r="H908" s="8" t="str">
        <f>IFERROR(__xludf.DUMMYFUNCTION("GOOGLETRANSLATE(C908, ""en"", ""ru"")"),"вяз")</f>
        <v>вяз</v>
      </c>
      <c r="I908" s="8" t="str">
        <f>IFERROR(__xludf.DUMMYFUNCTION("GOOGLETRANSLATE(C908, ""en"", ""ar"")"),"الدردار")</f>
        <v>الدردار</v>
      </c>
      <c r="J908" s="8"/>
      <c r="K908" s="7" t="str">
        <f>IFERROR(__xludf.DUMMYFUNCTION("CONCAT(REGEXREPLACE(C908,""[ ,]+"",""_""),"".mp3"")"),"elm.mp3")</f>
        <v>elm.mp3</v>
      </c>
      <c r="M908" s="4" t="s">
        <v>10</v>
      </c>
    </row>
    <row r="909" ht="15.75" customHeight="1">
      <c r="A909" s="1">
        <v>2277.0</v>
      </c>
      <c r="B909" s="3">
        <v>147.0</v>
      </c>
      <c r="C909" s="7" t="s">
        <v>940</v>
      </c>
      <c r="D909" s="8" t="str">
        <f>IFERROR(__xludf.DUMMYFUNCTION("GOOGLETRANSLATE(C909, ""en"", ""pt"")"),"salgueiro")</f>
        <v>salgueiro</v>
      </c>
      <c r="E909" s="8" t="str">
        <f>IFERROR(__xludf.DUMMYFUNCTION("GOOGLETRANSLATE(C909, ""en"", ""es"")"),"sauce")</f>
        <v>sauce</v>
      </c>
      <c r="F909" s="8" t="str">
        <f>IFERROR(__xludf.DUMMYFUNCTION("GOOGLETRANSLATE(C909, ""en"", ""fr"")"),"saule")</f>
        <v>saule</v>
      </c>
      <c r="G909" s="8" t="str">
        <f>IFERROR(__xludf.DUMMYFUNCTION("GOOGLETRANSLATE(C909, ""en"", ""de"")"),"Weide")</f>
        <v>Weide</v>
      </c>
      <c r="H909" s="8" t="str">
        <f>IFERROR(__xludf.DUMMYFUNCTION("GOOGLETRANSLATE(C909, ""en"", ""ru"")"),"ива")</f>
        <v>ива</v>
      </c>
      <c r="I909" s="8" t="str">
        <f>IFERROR(__xludf.DUMMYFUNCTION("GOOGLETRANSLATE(C909, ""en"", ""ar"")"),"الصفصاف")</f>
        <v>الصفصاف</v>
      </c>
      <c r="J909" s="8"/>
      <c r="K909" s="7" t="str">
        <f>IFERROR(__xludf.DUMMYFUNCTION("CONCAT(REGEXREPLACE(C909,""[ ,]+"",""_""),"".mp3"")"),"willow.mp3")</f>
        <v>willow.mp3</v>
      </c>
      <c r="M909" s="4" t="s">
        <v>10</v>
      </c>
    </row>
    <row r="910" ht="15.75" customHeight="1">
      <c r="A910" s="1">
        <v>2278.0</v>
      </c>
      <c r="B910" s="3">
        <v>147.0</v>
      </c>
      <c r="C910" s="7" t="s">
        <v>941</v>
      </c>
      <c r="D910" s="8" t="str">
        <f>IFERROR(__xludf.DUMMYFUNCTION("GOOGLETRANSLATE(C910, ""en"", ""pt"")"),"álamo")</f>
        <v>álamo</v>
      </c>
      <c r="E910" s="8" t="str">
        <f>IFERROR(__xludf.DUMMYFUNCTION("GOOGLETRANSLATE(C910, ""en"", ""es"")"),"álamo")</f>
        <v>álamo</v>
      </c>
      <c r="F910" s="8" t="str">
        <f>IFERROR(__xludf.DUMMYFUNCTION("GOOGLETRANSLATE(C910, ""en"", ""fr"")"),"peuplier")</f>
        <v>peuplier</v>
      </c>
      <c r="G910" s="8" t="str">
        <f>IFERROR(__xludf.DUMMYFUNCTION("GOOGLETRANSLATE(C910, ""en"", ""de"")"),"Pappel")</f>
        <v>Pappel</v>
      </c>
      <c r="H910" s="8" t="str">
        <f>IFERROR(__xludf.DUMMYFUNCTION("GOOGLETRANSLATE(C910, ""en"", ""ru"")"),"тополь")</f>
        <v>тополь</v>
      </c>
      <c r="I910" s="8" t="str">
        <f>IFERROR(__xludf.DUMMYFUNCTION("GOOGLETRANSLATE(C910, ""en"", ""ar"")"),"الحور")</f>
        <v>الحور</v>
      </c>
      <c r="J910" s="8"/>
      <c r="K910" s="7" t="str">
        <f>IFERROR(__xludf.DUMMYFUNCTION("CONCAT(REGEXREPLACE(C910,""[ ,]+"",""_""),"".mp3"")"),"poplar.mp3")</f>
        <v>poplar.mp3</v>
      </c>
      <c r="M910" s="4" t="s">
        <v>10</v>
      </c>
    </row>
    <row r="911" ht="15.75" customHeight="1">
      <c r="A911" s="1">
        <v>2279.0</v>
      </c>
      <c r="B911" s="3">
        <v>147.0</v>
      </c>
      <c r="C911" s="7" t="s">
        <v>942</v>
      </c>
      <c r="D911" s="8" t="str">
        <f>IFERROR(__xludf.DUMMYFUNCTION("GOOGLETRANSLATE(C911, ""en"", ""pt"")"),"cinzas")</f>
        <v>cinzas</v>
      </c>
      <c r="E911" s="8" t="str">
        <f>IFERROR(__xludf.DUMMYFUNCTION("GOOGLETRANSLATE(C911, ""en"", ""es"")"),"ceniza")</f>
        <v>ceniza</v>
      </c>
      <c r="F911" s="8" t="str">
        <f>IFERROR(__xludf.DUMMYFUNCTION("GOOGLETRANSLATE(C911, ""en"", ""fr"")"),"cendre")</f>
        <v>cendre</v>
      </c>
      <c r="G911" s="8" t="str">
        <f>IFERROR(__xludf.DUMMYFUNCTION("GOOGLETRANSLATE(C911, ""en"", ""de"")"),"Asche")</f>
        <v>Asche</v>
      </c>
      <c r="H911" s="8" t="str">
        <f>IFERROR(__xludf.DUMMYFUNCTION("GOOGLETRANSLATE(C911, ""en"", ""ru"")"),"пепел")</f>
        <v>пепел</v>
      </c>
      <c r="I911" s="8" t="str">
        <f>IFERROR(__xludf.DUMMYFUNCTION("GOOGLETRANSLATE(C911, ""en"", ""ar"")"),"رماد")</f>
        <v>رماد</v>
      </c>
      <c r="J911" s="8"/>
      <c r="K911" s="7" t="str">
        <f>IFERROR(__xludf.DUMMYFUNCTION("CONCAT(REGEXREPLACE(C911,""[ ,]+"",""_""),"".mp3"")"),"ash.mp3")</f>
        <v>ash.mp3</v>
      </c>
      <c r="M911" s="4" t="s">
        <v>10</v>
      </c>
    </row>
    <row r="912" ht="15.75" customHeight="1">
      <c r="A912" s="1">
        <v>2280.0</v>
      </c>
      <c r="B912" s="3">
        <v>147.0</v>
      </c>
      <c r="C912" s="7" t="s">
        <v>943</v>
      </c>
      <c r="D912" s="8" t="str">
        <f>IFERROR(__xludf.DUMMYFUNCTION("GOOGLETRANSLATE(C912, ""en"", ""pt"")"),"cedro")</f>
        <v>cedro</v>
      </c>
      <c r="E912" s="8" t="str">
        <f>IFERROR(__xludf.DUMMYFUNCTION("GOOGLETRANSLATE(C912, ""en"", ""es"")"),"cedro")</f>
        <v>cedro</v>
      </c>
      <c r="F912" s="8" t="str">
        <f>IFERROR(__xludf.DUMMYFUNCTION("GOOGLETRANSLATE(C912, ""en"", ""fr"")"),"cèdre")</f>
        <v>cèdre</v>
      </c>
      <c r="G912" s="8" t="str">
        <f>IFERROR(__xludf.DUMMYFUNCTION("GOOGLETRANSLATE(C912, ""en"", ""de"")"),"Zeder")</f>
        <v>Zeder</v>
      </c>
      <c r="H912" s="8" t="str">
        <f>IFERROR(__xludf.DUMMYFUNCTION("GOOGLETRANSLATE(C912, ""en"", ""ru"")"),"кедр")</f>
        <v>кедр</v>
      </c>
      <c r="I912" s="8" t="str">
        <f>IFERROR(__xludf.DUMMYFUNCTION("GOOGLETRANSLATE(C912, ""en"", ""ar"")"),"خشب الأرز")</f>
        <v>خشب الأرز</v>
      </c>
      <c r="J912" s="8"/>
      <c r="K912" s="7" t="str">
        <f>IFERROR(__xludf.DUMMYFUNCTION("CONCAT(REGEXREPLACE(C912,""[ ,]+"",""_""),"".mp3"")"),"cedar.mp3")</f>
        <v>cedar.mp3</v>
      </c>
      <c r="M912" s="4" t="s">
        <v>10</v>
      </c>
    </row>
    <row r="913" ht="15.75" customHeight="1">
      <c r="A913" s="1">
        <v>2281.0</v>
      </c>
      <c r="B913" s="3">
        <v>147.0</v>
      </c>
      <c r="C913" s="7" t="s">
        <v>944</v>
      </c>
      <c r="D913" s="8" t="str">
        <f>IFERROR(__xludf.DUMMYFUNCTION("GOOGLETRANSLATE(C913, ""en"", ""pt"")"),"abeto")</f>
        <v>abeto</v>
      </c>
      <c r="E913" s="8" t="str">
        <f>IFERROR(__xludf.DUMMYFUNCTION("GOOGLETRANSLATE(C913, ""en"", ""es"")"),"abeto")</f>
        <v>abeto</v>
      </c>
      <c r="F913" s="8" t="str">
        <f>IFERROR(__xludf.DUMMYFUNCTION("GOOGLETRANSLATE(C913, ""en"", ""fr"")"),"sapin")</f>
        <v>sapin</v>
      </c>
      <c r="G913" s="8" t="str">
        <f>IFERROR(__xludf.DUMMYFUNCTION("GOOGLETRANSLATE(C913, ""en"", ""de"")"),"Tanne")</f>
        <v>Tanne</v>
      </c>
      <c r="H913" s="8" t="str">
        <f>IFERROR(__xludf.DUMMYFUNCTION("GOOGLETRANSLATE(C913, ""en"", ""ru"")"),"ель")</f>
        <v>ель</v>
      </c>
      <c r="I913" s="8" t="str">
        <f>IFERROR(__xludf.DUMMYFUNCTION("GOOGLETRANSLATE(C913, ""en"", ""ar"")"),"شجرة التنوب")</f>
        <v>شجرة التنوب</v>
      </c>
      <c r="J913" s="8"/>
      <c r="K913" s="7" t="str">
        <f>IFERROR(__xludf.DUMMYFUNCTION("CONCAT(REGEXREPLACE(C913,""[ ,]+"",""_""),"".mp3"")"),"fir.mp3")</f>
        <v>fir.mp3</v>
      </c>
      <c r="M913" s="4" t="s">
        <v>10</v>
      </c>
    </row>
    <row r="914" ht="15.75" customHeight="1">
      <c r="A914" s="1">
        <v>2282.0</v>
      </c>
      <c r="B914" s="3">
        <v>147.0</v>
      </c>
      <c r="C914" s="7" t="s">
        <v>945</v>
      </c>
      <c r="D914" s="8" t="str">
        <f>IFERROR(__xludf.DUMMYFUNCTION("GOOGLETRANSLATE(C914, ""en"", ""pt"")"),"abeto")</f>
        <v>abeto</v>
      </c>
      <c r="E914" s="8" t="str">
        <f>IFERROR(__xludf.DUMMYFUNCTION("GOOGLETRANSLATE(C914, ""en"", ""es"")"),"picea")</f>
        <v>picea</v>
      </c>
      <c r="F914" s="8" t="str">
        <f>IFERROR(__xludf.DUMMYFUNCTION("GOOGLETRANSLATE(C914, ""en"", ""fr"")"),"épicéa")</f>
        <v>épicéa</v>
      </c>
      <c r="G914" s="8" t="str">
        <f>IFERROR(__xludf.DUMMYFUNCTION("GOOGLETRANSLATE(C914, ""en"", ""de"")"),"Fichte")</f>
        <v>Fichte</v>
      </c>
      <c r="H914" s="8" t="str">
        <f>IFERROR(__xludf.DUMMYFUNCTION("GOOGLETRANSLATE(C914, ""en"", ""ru"")"),"ель")</f>
        <v>ель</v>
      </c>
      <c r="I914" s="8" t="str">
        <f>IFERROR(__xludf.DUMMYFUNCTION("GOOGLETRANSLATE(C914, ""en"", ""ar"")"),"شجرة التنوب")</f>
        <v>شجرة التنوب</v>
      </c>
      <c r="J914" s="8"/>
      <c r="K914" s="7" t="str">
        <f>IFERROR(__xludf.DUMMYFUNCTION("CONCAT(REGEXREPLACE(C914,""[ ,]+"",""_""),"".mp3"")"),"spruce.mp3")</f>
        <v>spruce.mp3</v>
      </c>
      <c r="M914" s="4" t="s">
        <v>10</v>
      </c>
    </row>
    <row r="915" ht="15.75" customHeight="1">
      <c r="A915" s="1">
        <v>2283.0</v>
      </c>
      <c r="B915" s="3">
        <v>147.0</v>
      </c>
      <c r="C915" s="7" t="s">
        <v>946</v>
      </c>
      <c r="D915" s="8" t="str">
        <f>IFERROR(__xludf.DUMMYFUNCTION("GOOGLETRANSLATE(C915, ""en"", ""pt"")"),"teixo")</f>
        <v>teixo</v>
      </c>
      <c r="E915" s="8" t="str">
        <f>IFERROR(__xludf.DUMMYFUNCTION("GOOGLETRANSLATE(C915, ""en"", ""es"")"),"tejo")</f>
        <v>tejo</v>
      </c>
      <c r="F915" s="8" t="str">
        <f>IFERROR(__xludf.DUMMYFUNCTION("GOOGLETRANSLATE(C915, ""en"", ""fr"")"),"if")</f>
        <v>if</v>
      </c>
      <c r="G915" s="8" t="str">
        <f>IFERROR(__xludf.DUMMYFUNCTION("GOOGLETRANSLATE(C915, ""en"", ""de"")"),"Eibe")</f>
        <v>Eibe</v>
      </c>
      <c r="H915" s="8" t="str">
        <f>IFERROR(__xludf.DUMMYFUNCTION("GOOGLETRANSLATE(C915, ""en"", ""ru"")"),"тис")</f>
        <v>тис</v>
      </c>
      <c r="I915" s="8" t="str">
        <f>IFERROR(__xludf.DUMMYFUNCTION("GOOGLETRANSLATE(C915, ""en"", ""ar"")"),"شجرة الطقسوس")</f>
        <v>شجرة الطقسوس</v>
      </c>
      <c r="J915" s="8"/>
      <c r="K915" s="7" t="str">
        <f>IFERROR(__xludf.DUMMYFUNCTION("CONCAT(REGEXREPLACE(C915,""[ ,]+"",""_""),"".mp3"")"),"yew.mp3")</f>
        <v>yew.mp3</v>
      </c>
      <c r="M915" s="4" t="s">
        <v>10</v>
      </c>
    </row>
    <row r="916" ht="15.75" customHeight="1">
      <c r="A916" s="1">
        <v>2284.0</v>
      </c>
      <c r="B916" s="3">
        <v>147.0</v>
      </c>
      <c r="C916" s="7" t="s">
        <v>947</v>
      </c>
      <c r="D916" s="8" t="str">
        <f>IFERROR(__xludf.DUMMYFUNCTION("GOOGLETRANSLATE(C916, ""en"", ""pt"")"),"plátano")</f>
        <v>plátano</v>
      </c>
      <c r="E916" s="8" t="str">
        <f>IFERROR(__xludf.DUMMYFUNCTION("GOOGLETRANSLATE(C916, ""en"", ""es"")"),"plátano")</f>
        <v>plátano</v>
      </c>
      <c r="F916" s="8" t="str">
        <f>IFERROR(__xludf.DUMMYFUNCTION("GOOGLETRANSLATE(C916, ""en"", ""fr"")"),"platane")</f>
        <v>platane</v>
      </c>
      <c r="G916" s="8" t="str">
        <f>IFERROR(__xludf.DUMMYFUNCTION("GOOGLETRANSLATE(C916, ""en"", ""de"")"),"Platane")</f>
        <v>Platane</v>
      </c>
      <c r="H916" s="8" t="str">
        <f>IFERROR(__xludf.DUMMYFUNCTION("GOOGLETRANSLATE(C916, ""en"", ""ru"")"),"платан")</f>
        <v>платан</v>
      </c>
      <c r="I916" s="8" t="str">
        <f>IFERROR(__xludf.DUMMYFUNCTION("GOOGLETRANSLATE(C916, ""en"", ""ar"")"),"شجرة الطائرة")</f>
        <v>شجرة الطائرة</v>
      </c>
      <c r="J916" s="8"/>
      <c r="K916" s="7" t="str">
        <f>IFERROR(__xludf.DUMMYFUNCTION("CONCAT(REGEXREPLACE(C916,""[ ,]+"",""_""),"".mp3"")"),"plane_tree.mp3")</f>
        <v>plane_tree.mp3</v>
      </c>
      <c r="M916" s="4" t="s">
        <v>10</v>
      </c>
    </row>
    <row r="917" ht="15.75" customHeight="1">
      <c r="A917" s="1">
        <v>2285.0</v>
      </c>
      <c r="B917" s="3">
        <v>147.0</v>
      </c>
      <c r="C917" s="7" t="s">
        <v>948</v>
      </c>
      <c r="D917" s="8" t="str">
        <f>IFERROR(__xludf.DUMMYFUNCTION("GOOGLETRANSLATE(C917, ""en"", ""pt"")"),"sicômoro")</f>
        <v>sicômoro</v>
      </c>
      <c r="E917" s="8" t="str">
        <f>IFERROR(__xludf.DUMMYFUNCTION("GOOGLETRANSLATE(C917, ""en"", ""es"")"),"sicomoro")</f>
        <v>sicomoro</v>
      </c>
      <c r="F917" s="8" t="str">
        <f>IFERROR(__xludf.DUMMYFUNCTION("GOOGLETRANSLATE(C917, ""en"", ""fr"")"),"sycomore")</f>
        <v>sycomore</v>
      </c>
      <c r="G917" s="8" t="str">
        <f>IFERROR(__xludf.DUMMYFUNCTION("GOOGLETRANSLATE(C917, ""en"", ""de"")"),"Bergahorn")</f>
        <v>Bergahorn</v>
      </c>
      <c r="H917" s="8" t="str">
        <f>IFERROR(__xludf.DUMMYFUNCTION("GOOGLETRANSLATE(C917, ""en"", ""ru"")"),"платан")</f>
        <v>платан</v>
      </c>
      <c r="I917" s="8" t="str">
        <f>IFERROR(__xludf.DUMMYFUNCTION("GOOGLETRANSLATE(C917, ""en"", ""ar"")"),"شجر جميز")</f>
        <v>شجر جميز</v>
      </c>
      <c r="J917" s="8"/>
      <c r="K917" s="7" t="str">
        <f>IFERROR(__xludf.DUMMYFUNCTION("CONCAT(REGEXREPLACE(C917,""[ ,]+"",""_""),"".mp3"")"),"sycamore.mp3")</f>
        <v>sycamore.mp3</v>
      </c>
      <c r="M917" s="4" t="s">
        <v>10</v>
      </c>
    </row>
    <row r="918" ht="15.75" customHeight="1">
      <c r="A918" s="1">
        <v>2286.0</v>
      </c>
      <c r="B918" s="3">
        <v>147.0</v>
      </c>
      <c r="C918" s="7" t="s">
        <v>949</v>
      </c>
      <c r="D918" s="8" t="str">
        <f>IFERROR(__xludf.DUMMYFUNCTION("GOOGLETRANSLATE(C918, ""en"", ""pt"")"),"macieira")</f>
        <v>macieira</v>
      </c>
      <c r="E918" s="8" t="str">
        <f>IFERROR(__xludf.DUMMYFUNCTION("GOOGLETRANSLATE(C918, ""en"", ""es"")"),"manzano")</f>
        <v>manzano</v>
      </c>
      <c r="F918" s="8" t="str">
        <f>IFERROR(__xludf.DUMMYFUNCTION("GOOGLETRANSLATE(C918, ""en"", ""fr"")"),"pommier")</f>
        <v>pommier</v>
      </c>
      <c r="G918" s="8" t="str">
        <f>IFERROR(__xludf.DUMMYFUNCTION("GOOGLETRANSLATE(C918, ""en"", ""de"")"),"Apfelbaum")</f>
        <v>Apfelbaum</v>
      </c>
      <c r="H918" s="8" t="str">
        <f>IFERROR(__xludf.DUMMYFUNCTION("GOOGLETRANSLATE(C918, ""en"", ""ru"")"),"яблоня")</f>
        <v>яблоня</v>
      </c>
      <c r="I918" s="8" t="str">
        <f>IFERROR(__xludf.DUMMYFUNCTION("GOOGLETRANSLATE(C918, ""en"", ""ar"")"),"شجرة تفاح")</f>
        <v>شجرة تفاح</v>
      </c>
      <c r="J918" s="8"/>
      <c r="K918" s="7" t="str">
        <f>IFERROR(__xludf.DUMMYFUNCTION("CONCAT(REGEXREPLACE(C918,""[ ,]+"",""_""),"".mp3"")"),"apple_tree.mp3")</f>
        <v>apple_tree.mp3</v>
      </c>
      <c r="M918" s="4" t="s">
        <v>10</v>
      </c>
    </row>
    <row r="919" ht="15.75" customHeight="1">
      <c r="A919" s="1">
        <v>2287.0</v>
      </c>
      <c r="B919" s="3">
        <v>147.0</v>
      </c>
      <c r="C919" s="7" t="s">
        <v>950</v>
      </c>
      <c r="D919" s="8" t="str">
        <f>IFERROR(__xludf.DUMMYFUNCTION("GOOGLETRANSLATE(C919, ""en"", ""pt"")"),"pereira")</f>
        <v>pereira</v>
      </c>
      <c r="E919" s="8" t="str">
        <f>IFERROR(__xludf.DUMMYFUNCTION("GOOGLETRANSLATE(C919, ""en"", ""es"")"),"peral")</f>
        <v>peral</v>
      </c>
      <c r="F919" s="8" t="str">
        <f>IFERROR(__xludf.DUMMYFUNCTION("GOOGLETRANSLATE(C919, ""en"", ""fr"")"),"poirier")</f>
        <v>poirier</v>
      </c>
      <c r="G919" s="8" t="str">
        <f>IFERROR(__xludf.DUMMYFUNCTION("GOOGLETRANSLATE(C919, ""en"", ""de"")"),"Birnbaum")</f>
        <v>Birnbaum</v>
      </c>
      <c r="H919" s="8" t="str">
        <f>IFERROR(__xludf.DUMMYFUNCTION("GOOGLETRANSLATE(C919, ""en"", ""ru"")"),"грушевое дерево")</f>
        <v>грушевое дерево</v>
      </c>
      <c r="I919" s="8" t="str">
        <f>IFERROR(__xludf.DUMMYFUNCTION("GOOGLETRANSLATE(C919, ""en"", ""ar"")"),"شجرة الكمثرى")</f>
        <v>شجرة الكمثرى</v>
      </c>
      <c r="J919" s="8"/>
      <c r="K919" s="7" t="str">
        <f>IFERROR(__xludf.DUMMYFUNCTION("CONCAT(REGEXREPLACE(C919,""[ ,]+"",""_""),"".mp3"")"),"pear_tree.mp3")</f>
        <v>pear_tree.mp3</v>
      </c>
      <c r="M919" s="4" t="s">
        <v>10</v>
      </c>
    </row>
    <row r="920" ht="15.75" customHeight="1">
      <c r="A920" s="1">
        <v>2288.0</v>
      </c>
      <c r="B920" s="3">
        <v>147.0</v>
      </c>
      <c r="C920" s="7" t="s">
        <v>951</v>
      </c>
      <c r="D920" s="8" t="str">
        <f>IFERROR(__xludf.DUMMYFUNCTION("GOOGLETRANSLATE(C920, ""en"", ""pt"")"),"cerejeira")</f>
        <v>cerejeira</v>
      </c>
      <c r="E920" s="8" t="str">
        <f>IFERROR(__xludf.DUMMYFUNCTION("GOOGLETRANSLATE(C920, ""en"", ""es"")"),"cerezo")</f>
        <v>cerezo</v>
      </c>
      <c r="F920" s="8" t="str">
        <f>IFERROR(__xludf.DUMMYFUNCTION("GOOGLETRANSLATE(C920, ""en"", ""fr"")"),"cerisier")</f>
        <v>cerisier</v>
      </c>
      <c r="G920" s="8" t="str">
        <f>IFERROR(__xludf.DUMMYFUNCTION("GOOGLETRANSLATE(C920, ""en"", ""de"")"),"Kirschbaum")</f>
        <v>Kirschbaum</v>
      </c>
      <c r="H920" s="8" t="str">
        <f>IFERROR(__xludf.DUMMYFUNCTION("GOOGLETRANSLATE(C920, ""en"", ""ru"")"),"вишневое дерево")</f>
        <v>вишневое дерево</v>
      </c>
      <c r="I920" s="8" t="str">
        <f>IFERROR(__xludf.DUMMYFUNCTION("GOOGLETRANSLATE(C920, ""en"", ""ar"")"),"شجرة الكرز")</f>
        <v>شجرة الكرز</v>
      </c>
      <c r="J920" s="8"/>
      <c r="K920" s="7" t="str">
        <f>IFERROR(__xludf.DUMMYFUNCTION("CONCAT(REGEXREPLACE(C920,""[ ,]+"",""_""),"".mp3"")"),"cherry_tree.mp3")</f>
        <v>cherry_tree.mp3</v>
      </c>
      <c r="M920" s="4" t="s">
        <v>10</v>
      </c>
    </row>
    <row r="921" ht="15.75" customHeight="1">
      <c r="A921" s="1">
        <v>2289.0</v>
      </c>
      <c r="B921" s="3">
        <v>147.0</v>
      </c>
      <c r="C921" s="7" t="s">
        <v>952</v>
      </c>
      <c r="D921" s="8" t="str">
        <f>IFERROR(__xludf.DUMMYFUNCTION("GOOGLETRANSLATE(C921, ""en"", ""pt"")"),"ameixeira")</f>
        <v>ameixeira</v>
      </c>
      <c r="E921" s="8" t="str">
        <f>IFERROR(__xludf.DUMMYFUNCTION("GOOGLETRANSLATE(C921, ""en"", ""es"")"),"ciruelo")</f>
        <v>ciruelo</v>
      </c>
      <c r="F921" s="8" t="str">
        <f>IFERROR(__xludf.DUMMYFUNCTION("GOOGLETRANSLATE(C921, ""en"", ""fr"")"),"prunier")</f>
        <v>prunier</v>
      </c>
      <c r="G921" s="8" t="str">
        <f>IFERROR(__xludf.DUMMYFUNCTION("GOOGLETRANSLATE(C921, ""en"", ""de"")"),"Pflaumenbaum")</f>
        <v>Pflaumenbaum</v>
      </c>
      <c r="H921" s="8" t="str">
        <f>IFERROR(__xludf.DUMMYFUNCTION("GOOGLETRANSLATE(C921, ""en"", ""ru"")"),"сливовое дерево")</f>
        <v>сливовое дерево</v>
      </c>
      <c r="I921" s="8" t="str">
        <f>IFERROR(__xludf.DUMMYFUNCTION("GOOGLETRANSLATE(C921, ""en"", ""ar"")"),"شجرة البرقوق")</f>
        <v>شجرة البرقوق</v>
      </c>
      <c r="J921" s="8"/>
      <c r="K921" s="7" t="str">
        <f>IFERROR(__xludf.DUMMYFUNCTION("CONCAT(REGEXREPLACE(C921,""[ ,]+"",""_""),"".mp3"")"),"plum_tree.mp3")</f>
        <v>plum_tree.mp3</v>
      </c>
      <c r="M921" s="4" t="s">
        <v>10</v>
      </c>
    </row>
    <row r="922" ht="15.75" customHeight="1">
      <c r="A922" s="1">
        <v>2290.0</v>
      </c>
      <c r="B922" s="3">
        <v>147.0</v>
      </c>
      <c r="C922" s="7" t="s">
        <v>953</v>
      </c>
      <c r="D922" s="8" t="str">
        <f>IFERROR(__xludf.DUMMYFUNCTION("GOOGLETRANSLATE(C922, ""en"", ""pt"")"),"pessegueiro")</f>
        <v>pessegueiro</v>
      </c>
      <c r="E922" s="8" t="str">
        <f>IFERROR(__xludf.DUMMYFUNCTION("GOOGLETRANSLATE(C922, ""en"", ""es"")"),"árbol de durazno")</f>
        <v>árbol de durazno</v>
      </c>
      <c r="F922" s="8" t="str">
        <f>IFERROR(__xludf.DUMMYFUNCTION("GOOGLETRANSLATE(C922, ""en"", ""fr"")"),"pêcher")</f>
        <v>pêcher</v>
      </c>
      <c r="G922" s="8" t="str">
        <f>IFERROR(__xludf.DUMMYFUNCTION("GOOGLETRANSLATE(C922, ""en"", ""de"")"),"Pfirsichbaum")</f>
        <v>Pfirsichbaum</v>
      </c>
      <c r="H922" s="8" t="str">
        <f>IFERROR(__xludf.DUMMYFUNCTION("GOOGLETRANSLATE(C922, ""en"", ""ru"")"),"персиковое дерево")</f>
        <v>персиковое дерево</v>
      </c>
      <c r="I922" s="8" t="str">
        <f>IFERROR(__xludf.DUMMYFUNCTION("GOOGLETRANSLATE(C922, ""en"", ""ar"")"),"شجرة الخوخ")</f>
        <v>شجرة الخوخ</v>
      </c>
      <c r="J922" s="8"/>
      <c r="K922" s="7" t="str">
        <f>IFERROR(__xludf.DUMMYFUNCTION("CONCAT(REGEXREPLACE(C922,""[ ,]+"",""_""),"".mp3"")"),"peach_tree.mp3")</f>
        <v>peach_tree.mp3</v>
      </c>
      <c r="M922" s="4" t="s">
        <v>10</v>
      </c>
    </row>
    <row r="923" ht="15.75" customHeight="1">
      <c r="A923" s="1">
        <v>2291.0</v>
      </c>
      <c r="B923" s="3">
        <v>147.0</v>
      </c>
      <c r="C923" s="7" t="s">
        <v>954</v>
      </c>
      <c r="D923" s="8" t="str">
        <f>IFERROR(__xludf.DUMMYFUNCTION("GOOGLETRANSLATE(C923, ""en"", ""pt"")"),"damasqueiro")</f>
        <v>damasqueiro</v>
      </c>
      <c r="E923" s="8" t="str">
        <f>IFERROR(__xludf.DUMMYFUNCTION("GOOGLETRANSLATE(C923, ""en"", ""es"")"),"árbol de albaricoque")</f>
        <v>árbol de albaricoque</v>
      </c>
      <c r="F923" s="8" t="str">
        <f>IFERROR(__xludf.DUMMYFUNCTION("GOOGLETRANSLATE(C923, ""en"", ""fr"")"),"abricotier")</f>
        <v>abricotier</v>
      </c>
      <c r="G923" s="8" t="str">
        <f>IFERROR(__xludf.DUMMYFUNCTION("GOOGLETRANSLATE(C923, ""en"", ""de"")"),"Aprikosenbaum")</f>
        <v>Aprikosenbaum</v>
      </c>
      <c r="H923" s="8" t="str">
        <f>IFERROR(__xludf.DUMMYFUNCTION("GOOGLETRANSLATE(C923, ""en"", ""ru"")"),"абрикосовое дерево")</f>
        <v>абрикосовое дерево</v>
      </c>
      <c r="I923" s="8" t="str">
        <f>IFERROR(__xludf.DUMMYFUNCTION("GOOGLETRANSLATE(C923, ""en"", ""ar"")"),"شجرة المشمش")</f>
        <v>شجرة المشمش</v>
      </c>
      <c r="J923" s="8"/>
      <c r="K923" s="7" t="str">
        <f>IFERROR(__xludf.DUMMYFUNCTION("CONCAT(REGEXREPLACE(C923,""[ ,]+"",""_""),"".mp3"")"),"apricot_tree.mp3")</f>
        <v>apricot_tree.mp3</v>
      </c>
      <c r="M923" s="4" t="s">
        <v>10</v>
      </c>
    </row>
    <row r="924" ht="15.75" customHeight="1">
      <c r="A924" s="1">
        <v>2292.0</v>
      </c>
      <c r="B924" s="3">
        <v>147.0</v>
      </c>
      <c r="C924" s="7" t="s">
        <v>955</v>
      </c>
      <c r="D924" s="8" t="str">
        <f>IFERROR(__xludf.DUMMYFUNCTION("GOOGLETRANSLATE(C924, ""en"", ""pt"")"),"figueira")</f>
        <v>figueira</v>
      </c>
      <c r="E924" s="8" t="str">
        <f>IFERROR(__xludf.DUMMYFUNCTION("GOOGLETRANSLATE(C924, ""en"", ""es"")"),"higuera")</f>
        <v>higuera</v>
      </c>
      <c r="F924" s="8" t="str">
        <f>IFERROR(__xludf.DUMMYFUNCTION("GOOGLETRANSLATE(C924, ""en"", ""fr"")"),"figuier")</f>
        <v>figuier</v>
      </c>
      <c r="G924" s="8" t="str">
        <f>IFERROR(__xludf.DUMMYFUNCTION("GOOGLETRANSLATE(C924, ""en"", ""de"")"),"Feigenbaum")</f>
        <v>Feigenbaum</v>
      </c>
      <c r="H924" s="8" t="str">
        <f>IFERROR(__xludf.DUMMYFUNCTION("GOOGLETRANSLATE(C924, ""en"", ""ru"")"),"смоковница")</f>
        <v>смоковница</v>
      </c>
      <c r="I924" s="8" t="str">
        <f>IFERROR(__xludf.DUMMYFUNCTION("GOOGLETRANSLATE(C924, ""en"", ""ar"")"),"شجرة التين")</f>
        <v>شجرة التين</v>
      </c>
      <c r="J924" s="8"/>
      <c r="K924" s="7" t="str">
        <f>IFERROR(__xludf.DUMMYFUNCTION("CONCAT(REGEXREPLACE(C924,""[ ,]+"",""_""),"".mp3"")"),"fig_tree.mp3")</f>
        <v>fig_tree.mp3</v>
      </c>
      <c r="M924" s="4" t="s">
        <v>10</v>
      </c>
    </row>
    <row r="925" ht="15.75" customHeight="1">
      <c r="A925" s="1">
        <v>2293.0</v>
      </c>
      <c r="B925" s="3">
        <v>147.0</v>
      </c>
      <c r="C925" s="7" t="s">
        <v>956</v>
      </c>
      <c r="D925" s="8" t="str">
        <f>IFERROR(__xludf.DUMMYFUNCTION("GOOGLETRANSLATE(C925, ""en"", ""pt"")"),"oliveira")</f>
        <v>oliveira</v>
      </c>
      <c r="E925" s="8" t="str">
        <f>IFERROR(__xludf.DUMMYFUNCTION("GOOGLETRANSLATE(C925, ""en"", ""es"")"),"olivo")</f>
        <v>olivo</v>
      </c>
      <c r="F925" s="8" t="str">
        <f>IFERROR(__xludf.DUMMYFUNCTION("GOOGLETRANSLATE(C925, ""en"", ""fr"")"),"olivier")</f>
        <v>olivier</v>
      </c>
      <c r="G925" s="8" t="str">
        <f>IFERROR(__xludf.DUMMYFUNCTION("GOOGLETRANSLATE(C925, ""en"", ""de"")"),"Olivenbaum")</f>
        <v>Olivenbaum</v>
      </c>
      <c r="H925" s="8" t="str">
        <f>IFERROR(__xludf.DUMMYFUNCTION("GOOGLETRANSLATE(C925, ""en"", ""ru"")"),"оливковое дерево")</f>
        <v>оливковое дерево</v>
      </c>
      <c r="I925" s="8" t="str">
        <f>IFERROR(__xludf.DUMMYFUNCTION("GOOGLETRANSLATE(C925, ""en"", ""ar"")"),"شجرة الزيتون")</f>
        <v>شجرة الزيتون</v>
      </c>
      <c r="J925" s="8"/>
      <c r="K925" s="7" t="str">
        <f>IFERROR(__xludf.DUMMYFUNCTION("CONCAT(REGEXREPLACE(C925,""[ ,]+"",""_""),"".mp3"")"),"olive_tree.mp3")</f>
        <v>olive_tree.mp3</v>
      </c>
      <c r="M925" s="4" t="s">
        <v>10</v>
      </c>
    </row>
    <row r="926" ht="15.75" customHeight="1">
      <c r="A926" s="1">
        <v>2294.0</v>
      </c>
      <c r="B926" s="3">
        <v>147.0</v>
      </c>
      <c r="C926" s="7" t="s">
        <v>957</v>
      </c>
      <c r="D926" s="8" t="str">
        <f>IFERROR(__xludf.DUMMYFUNCTION("GOOGLETRANSLATE(C926, ""en"", ""pt"")"),"limoeiro")</f>
        <v>limoeiro</v>
      </c>
      <c r="E926" s="8" t="str">
        <f>IFERROR(__xludf.DUMMYFUNCTION("GOOGLETRANSLATE(C926, ""en"", ""es"")"),"limonero")</f>
        <v>limonero</v>
      </c>
      <c r="F926" s="8" t="str">
        <f>IFERROR(__xludf.DUMMYFUNCTION("GOOGLETRANSLATE(C926, ""en"", ""fr"")"),"citronnier")</f>
        <v>citronnier</v>
      </c>
      <c r="G926" s="8" t="str">
        <f>IFERROR(__xludf.DUMMYFUNCTION("GOOGLETRANSLATE(C926, ""en"", ""de"")"),"Zitronenbaum")</f>
        <v>Zitronenbaum</v>
      </c>
      <c r="H926" s="8" t="str">
        <f>IFERROR(__xludf.DUMMYFUNCTION("GOOGLETRANSLATE(C926, ""en"", ""ru"")"),"лимонное дерево")</f>
        <v>лимонное дерево</v>
      </c>
      <c r="I926" s="8" t="str">
        <f>IFERROR(__xludf.DUMMYFUNCTION("GOOGLETRANSLATE(C926, ""en"", ""ar"")"),"شجرة الليمون")</f>
        <v>شجرة الليمون</v>
      </c>
      <c r="J926" s="8"/>
      <c r="K926" s="7" t="str">
        <f>IFERROR(__xludf.DUMMYFUNCTION("CONCAT(REGEXREPLACE(C926,""[ ,]+"",""_""),"".mp3"")"),"lemon_tree.mp3")</f>
        <v>lemon_tree.mp3</v>
      </c>
      <c r="M926" s="4" t="s">
        <v>10</v>
      </c>
    </row>
    <row r="927" ht="15.75" customHeight="1">
      <c r="A927" s="1">
        <v>2295.0</v>
      </c>
      <c r="B927" s="3">
        <v>147.0</v>
      </c>
      <c r="C927" s="7" t="s">
        <v>958</v>
      </c>
      <c r="D927" s="8" t="str">
        <f>IFERROR(__xludf.DUMMYFUNCTION("GOOGLETRANSLATE(C927, ""en"", ""pt"")"),"laranjeira")</f>
        <v>laranjeira</v>
      </c>
      <c r="E927" s="8" t="str">
        <f>IFERROR(__xludf.DUMMYFUNCTION("GOOGLETRANSLATE(C927, ""en"", ""es"")"),"naranjo")</f>
        <v>naranjo</v>
      </c>
      <c r="F927" s="8" t="str">
        <f>IFERROR(__xludf.DUMMYFUNCTION("GOOGLETRANSLATE(C927, ""en"", ""fr"")"),"oranger")</f>
        <v>oranger</v>
      </c>
      <c r="G927" s="8" t="str">
        <f>IFERROR(__xludf.DUMMYFUNCTION("GOOGLETRANSLATE(C927, ""en"", ""de"")"),"Orangenbaum")</f>
        <v>Orangenbaum</v>
      </c>
      <c r="H927" s="8" t="str">
        <f>IFERROR(__xludf.DUMMYFUNCTION("GOOGLETRANSLATE(C927, ""en"", ""ru"")"),"апельсиновое дерево")</f>
        <v>апельсиновое дерево</v>
      </c>
      <c r="I927" s="8" t="str">
        <f>IFERROR(__xludf.DUMMYFUNCTION("GOOGLETRANSLATE(C927, ""en"", ""ar"")"),"شجرة البرتقال")</f>
        <v>شجرة البرتقال</v>
      </c>
      <c r="J927" s="8"/>
      <c r="K927" s="7" t="str">
        <f>IFERROR(__xludf.DUMMYFUNCTION("CONCAT(REGEXREPLACE(C927,""[ ,]+"",""_""),"".mp3"")"),"orange_tree.mp3")</f>
        <v>orange_tree.mp3</v>
      </c>
      <c r="M927" s="4" t="s">
        <v>10</v>
      </c>
    </row>
    <row r="928" ht="15.75" customHeight="1">
      <c r="A928" s="1">
        <v>2296.0</v>
      </c>
      <c r="B928" s="3">
        <v>147.0</v>
      </c>
      <c r="C928" s="7" t="s">
        <v>959</v>
      </c>
      <c r="D928" s="8" t="str">
        <f>IFERROR(__xludf.DUMMYFUNCTION("GOOGLETRANSLATE(C928, ""en"", ""pt"")"),"tília")</f>
        <v>tília</v>
      </c>
      <c r="E928" s="8" t="str">
        <f>IFERROR(__xludf.DUMMYFUNCTION("GOOGLETRANSLATE(C928, ""en"", ""es"")"),"tilo")</f>
        <v>tilo</v>
      </c>
      <c r="F928" s="8" t="str">
        <f>IFERROR(__xludf.DUMMYFUNCTION("GOOGLETRANSLATE(C928, ""en"", ""fr"")"),"citronnier")</f>
        <v>citronnier</v>
      </c>
      <c r="G928" s="8" t="str">
        <f>IFERROR(__xludf.DUMMYFUNCTION("GOOGLETRANSLATE(C928, ""en"", ""de"")"),"Lindenbaum")</f>
        <v>Lindenbaum</v>
      </c>
      <c r="H928" s="8" t="str">
        <f>IFERROR(__xludf.DUMMYFUNCTION("GOOGLETRANSLATE(C928, ""en"", ""ru"")"),"липа")</f>
        <v>липа</v>
      </c>
      <c r="I928" s="8" t="str">
        <f>IFERROR(__xludf.DUMMYFUNCTION("GOOGLETRANSLATE(C928, ""en"", ""ar"")"),"شجرة الليمون")</f>
        <v>شجرة الليمون</v>
      </c>
      <c r="J928" s="8"/>
      <c r="K928" s="7" t="str">
        <f>IFERROR(__xludf.DUMMYFUNCTION("CONCAT(REGEXREPLACE(C928,""[ ,]+"",""_""),"".mp3"")"),"lime_tree.mp3")</f>
        <v>lime_tree.mp3</v>
      </c>
      <c r="M928" s="4" t="s">
        <v>10</v>
      </c>
    </row>
    <row r="929" ht="15.75" customHeight="1">
      <c r="A929" s="1">
        <v>2297.0</v>
      </c>
      <c r="B929" s="3">
        <v>147.0</v>
      </c>
      <c r="C929" s="7" t="s">
        <v>960</v>
      </c>
      <c r="D929" s="8" t="str">
        <f>IFERROR(__xludf.DUMMYFUNCTION("GOOGLETRANSLATE(C929, ""en"", ""pt"")"),"bananeira")</f>
        <v>bananeira</v>
      </c>
      <c r="E929" s="8" t="str">
        <f>IFERROR(__xludf.DUMMYFUNCTION("GOOGLETRANSLATE(C929, ""en"", ""es"")"),"banano")</f>
        <v>banano</v>
      </c>
      <c r="F929" s="8" t="str">
        <f>IFERROR(__xludf.DUMMYFUNCTION("GOOGLETRANSLATE(C929, ""en"", ""fr"")"),"bananier")</f>
        <v>bananier</v>
      </c>
      <c r="G929" s="8" t="str">
        <f>IFERROR(__xludf.DUMMYFUNCTION("GOOGLETRANSLATE(C929, ""en"", ""de"")"),"Bananenbaum")</f>
        <v>Bananenbaum</v>
      </c>
      <c r="H929" s="8" t="str">
        <f>IFERROR(__xludf.DUMMYFUNCTION("GOOGLETRANSLATE(C929, ""en"", ""ru"")"),"банановое дерево")</f>
        <v>банановое дерево</v>
      </c>
      <c r="I929" s="8" t="str">
        <f>IFERROR(__xludf.DUMMYFUNCTION("GOOGLETRANSLATE(C929, ""en"", ""ar"")"),"شجرة الموز")</f>
        <v>شجرة الموز</v>
      </c>
      <c r="J929" s="8"/>
      <c r="K929" s="7" t="str">
        <f>IFERROR(__xludf.DUMMYFUNCTION("CONCAT(REGEXREPLACE(C929,""[ ,]+"",""_""),"".mp3"")"),"banana_tree.mp3")</f>
        <v>banana_tree.mp3</v>
      </c>
      <c r="M929" s="4" t="s">
        <v>10</v>
      </c>
    </row>
    <row r="930" ht="15.75" customHeight="1">
      <c r="A930" s="1">
        <v>2298.0</v>
      </c>
      <c r="B930" s="3">
        <v>147.0</v>
      </c>
      <c r="C930" s="7" t="s">
        <v>961</v>
      </c>
      <c r="D930" s="8" t="str">
        <f>IFERROR(__xludf.DUMMYFUNCTION("GOOGLETRANSLATE(C930, ""en"", ""pt"")"),"coqueiro")</f>
        <v>coqueiro</v>
      </c>
      <c r="E930" s="8" t="str">
        <f>IFERROR(__xludf.DUMMYFUNCTION("GOOGLETRANSLATE(C930, ""en"", ""es"")"),"árbol de coco")</f>
        <v>árbol de coco</v>
      </c>
      <c r="F930" s="8" t="str">
        <f>IFERROR(__xludf.DUMMYFUNCTION("GOOGLETRANSLATE(C930, ""en"", ""fr"")"),"cocotier")</f>
        <v>cocotier</v>
      </c>
      <c r="G930" s="8" t="str">
        <f>IFERROR(__xludf.DUMMYFUNCTION("GOOGLETRANSLATE(C930, ""en"", ""de"")"),"Kokospalme")</f>
        <v>Kokospalme</v>
      </c>
      <c r="H930" s="8" t="str">
        <f>IFERROR(__xludf.DUMMYFUNCTION("GOOGLETRANSLATE(C930, ""en"", ""ru"")"),"кокосовая пальма")</f>
        <v>кокосовая пальма</v>
      </c>
      <c r="I930" s="8" t="str">
        <f>IFERROR(__xludf.DUMMYFUNCTION("GOOGLETRANSLATE(C930, ""en"", ""ar"")"),"شجرة جوز الهند")</f>
        <v>شجرة جوز الهند</v>
      </c>
      <c r="J930" s="8"/>
      <c r="K930" s="7" t="str">
        <f>IFERROR(__xludf.DUMMYFUNCTION("CONCAT(REGEXREPLACE(C930,""[ ,]+"",""_""),"".mp3"")"),"coconut_tree.mp3")</f>
        <v>coconut_tree.mp3</v>
      </c>
      <c r="M930" s="4" t="s">
        <v>10</v>
      </c>
    </row>
    <row r="931" ht="15.75" customHeight="1">
      <c r="A931" s="1">
        <v>2299.0</v>
      </c>
      <c r="B931" s="3">
        <v>147.0</v>
      </c>
      <c r="C931" s="7" t="s">
        <v>936</v>
      </c>
      <c r="D931" s="8" t="str">
        <f>IFERROR(__xludf.DUMMYFUNCTION("GOOGLETRANSLATE(C931, ""en"", ""pt"")"),"pinho")</f>
        <v>pinho</v>
      </c>
      <c r="E931" s="8" t="str">
        <f>IFERROR(__xludf.DUMMYFUNCTION("GOOGLETRANSLATE(C931, ""en"", ""es"")"),"pino")</f>
        <v>pino</v>
      </c>
      <c r="F931" s="8" t="str">
        <f>IFERROR(__xludf.DUMMYFUNCTION("GOOGLETRANSLATE(C931, ""en"", ""fr"")"),"pin")</f>
        <v>pin</v>
      </c>
      <c r="G931" s="8" t="str">
        <f>IFERROR(__xludf.DUMMYFUNCTION("GOOGLETRANSLATE(C931, ""en"", ""de"")"),"Kiefer")</f>
        <v>Kiefer</v>
      </c>
      <c r="H931" s="8" t="str">
        <f>IFERROR(__xludf.DUMMYFUNCTION("GOOGLETRANSLATE(C931, ""en"", ""ru"")"),"сосна")</f>
        <v>сосна</v>
      </c>
      <c r="I931" s="8" t="str">
        <f>IFERROR(__xludf.DUMMYFUNCTION("GOOGLETRANSLATE(C931, ""en"", ""ar"")"),"الصنوبر")</f>
        <v>الصنوبر</v>
      </c>
      <c r="J931" s="8"/>
      <c r="K931" s="7" t="str">
        <f>IFERROR(__xludf.DUMMYFUNCTION("CONCAT(REGEXREPLACE(C931,""[ ,]+"",""_""),"".mp3"")"),"pine.mp3")</f>
        <v>pine.mp3</v>
      </c>
      <c r="M931" s="4" t="s">
        <v>10</v>
      </c>
    </row>
    <row r="932" ht="15.75" customHeight="1">
      <c r="A932" s="1">
        <v>2300.0</v>
      </c>
      <c r="B932" s="3">
        <v>147.0</v>
      </c>
      <c r="C932" s="7" t="s">
        <v>944</v>
      </c>
      <c r="D932" s="8" t="str">
        <f>IFERROR(__xludf.DUMMYFUNCTION("GOOGLETRANSLATE(C932, ""en"", ""pt"")"),"abeto")</f>
        <v>abeto</v>
      </c>
      <c r="E932" s="8" t="str">
        <f>IFERROR(__xludf.DUMMYFUNCTION("GOOGLETRANSLATE(C932, ""en"", ""es"")"),"abeto")</f>
        <v>abeto</v>
      </c>
      <c r="F932" s="8" t="str">
        <f>IFERROR(__xludf.DUMMYFUNCTION("GOOGLETRANSLATE(C932, ""en"", ""fr"")"),"sapin")</f>
        <v>sapin</v>
      </c>
      <c r="G932" s="8" t="str">
        <f>IFERROR(__xludf.DUMMYFUNCTION("GOOGLETRANSLATE(C932, ""en"", ""de"")"),"Tanne")</f>
        <v>Tanne</v>
      </c>
      <c r="H932" s="8" t="str">
        <f>IFERROR(__xludf.DUMMYFUNCTION("GOOGLETRANSLATE(C932, ""en"", ""ru"")"),"ель")</f>
        <v>ель</v>
      </c>
      <c r="I932" s="8" t="str">
        <f>IFERROR(__xludf.DUMMYFUNCTION("GOOGLETRANSLATE(C932, ""en"", ""ar"")"),"شجرة التنوب")</f>
        <v>شجرة التنوب</v>
      </c>
      <c r="J932" s="8"/>
      <c r="K932" s="7" t="str">
        <f>IFERROR(__xludf.DUMMYFUNCTION("CONCAT(REGEXREPLACE(C932,""[ ,]+"",""_""),"".mp3"")"),"fir.mp3")</f>
        <v>fir.mp3</v>
      </c>
      <c r="M932" s="4" t="s">
        <v>10</v>
      </c>
    </row>
    <row r="933" ht="15.75" customHeight="1">
      <c r="A933" s="1">
        <v>2301.0</v>
      </c>
      <c r="B933" s="3">
        <v>147.0</v>
      </c>
      <c r="C933" s="7" t="s">
        <v>945</v>
      </c>
      <c r="D933" s="8" t="str">
        <f>IFERROR(__xludf.DUMMYFUNCTION("GOOGLETRANSLATE(C933, ""en"", ""pt"")"),"abeto")</f>
        <v>abeto</v>
      </c>
      <c r="E933" s="8" t="str">
        <f>IFERROR(__xludf.DUMMYFUNCTION("GOOGLETRANSLATE(C933, ""en"", ""es"")"),"picea")</f>
        <v>picea</v>
      </c>
      <c r="F933" s="8" t="str">
        <f>IFERROR(__xludf.DUMMYFUNCTION("GOOGLETRANSLATE(C933, ""en"", ""fr"")"),"épicéa")</f>
        <v>épicéa</v>
      </c>
      <c r="G933" s="8" t="str">
        <f>IFERROR(__xludf.DUMMYFUNCTION("GOOGLETRANSLATE(C933, ""en"", ""de"")"),"Fichte")</f>
        <v>Fichte</v>
      </c>
      <c r="H933" s="8" t="str">
        <f>IFERROR(__xludf.DUMMYFUNCTION("GOOGLETRANSLATE(C933, ""en"", ""ru"")"),"ель")</f>
        <v>ель</v>
      </c>
      <c r="I933" s="8" t="str">
        <f>IFERROR(__xludf.DUMMYFUNCTION("GOOGLETRANSLATE(C933, ""en"", ""ar"")"),"شجرة التنوب")</f>
        <v>شجرة التنوب</v>
      </c>
      <c r="J933" s="8"/>
      <c r="K933" s="7" t="str">
        <f>IFERROR(__xludf.DUMMYFUNCTION("CONCAT(REGEXREPLACE(C933,""[ ,]+"",""_""),"".mp3"")"),"spruce.mp3")</f>
        <v>spruce.mp3</v>
      </c>
      <c r="M933" s="4" t="s">
        <v>10</v>
      </c>
    </row>
    <row r="934" ht="15.75" customHeight="1">
      <c r="A934" s="1">
        <v>2302.0</v>
      </c>
      <c r="B934" s="3">
        <v>147.0</v>
      </c>
      <c r="C934" s="7" t="s">
        <v>943</v>
      </c>
      <c r="D934" s="8" t="str">
        <f>IFERROR(__xludf.DUMMYFUNCTION("GOOGLETRANSLATE(C934, ""en"", ""pt"")"),"cedro")</f>
        <v>cedro</v>
      </c>
      <c r="E934" s="8" t="str">
        <f>IFERROR(__xludf.DUMMYFUNCTION("GOOGLETRANSLATE(C934, ""en"", ""es"")"),"cedro")</f>
        <v>cedro</v>
      </c>
      <c r="F934" s="8" t="str">
        <f>IFERROR(__xludf.DUMMYFUNCTION("GOOGLETRANSLATE(C934, ""en"", ""fr"")"),"cèdre")</f>
        <v>cèdre</v>
      </c>
      <c r="G934" s="8" t="str">
        <f>IFERROR(__xludf.DUMMYFUNCTION("GOOGLETRANSLATE(C934, ""en"", ""de"")"),"Zeder")</f>
        <v>Zeder</v>
      </c>
      <c r="H934" s="8" t="str">
        <f>IFERROR(__xludf.DUMMYFUNCTION("GOOGLETRANSLATE(C934, ""en"", ""ru"")"),"кедр")</f>
        <v>кедр</v>
      </c>
      <c r="I934" s="8" t="str">
        <f>IFERROR(__xludf.DUMMYFUNCTION("GOOGLETRANSLATE(C934, ""en"", ""ar"")"),"خشب الأرز")</f>
        <v>خشب الأرز</v>
      </c>
      <c r="J934" s="8"/>
      <c r="K934" s="7" t="str">
        <f>IFERROR(__xludf.DUMMYFUNCTION("CONCAT(REGEXREPLACE(C934,""[ ,]+"",""_""),"".mp3"")"),"cedar.mp3")</f>
        <v>cedar.mp3</v>
      </c>
      <c r="M934" s="4" t="s">
        <v>10</v>
      </c>
    </row>
    <row r="935" ht="15.75" customHeight="1">
      <c r="A935" s="1">
        <v>2303.0</v>
      </c>
      <c r="B935" s="3">
        <v>147.0</v>
      </c>
      <c r="C935" s="7" t="s">
        <v>962</v>
      </c>
      <c r="D935" s="8" t="str">
        <f>IFERROR(__xludf.DUMMYFUNCTION("GOOGLETRANSLATE(C935, ""en"", ""pt"")"),"cipreste")</f>
        <v>cipreste</v>
      </c>
      <c r="E935" s="8" t="str">
        <f>IFERROR(__xludf.DUMMYFUNCTION("GOOGLETRANSLATE(C935, ""en"", ""es"")"),"ciprés")</f>
        <v>ciprés</v>
      </c>
      <c r="F935" s="8" t="str">
        <f>IFERROR(__xludf.DUMMYFUNCTION("GOOGLETRANSLATE(C935, ""en"", ""fr"")"),"cyprès")</f>
        <v>cyprès</v>
      </c>
      <c r="G935" s="8" t="str">
        <f>IFERROR(__xludf.DUMMYFUNCTION("GOOGLETRANSLATE(C935, ""en"", ""de"")"),"Zypresse")</f>
        <v>Zypresse</v>
      </c>
      <c r="H935" s="8" t="str">
        <f>IFERROR(__xludf.DUMMYFUNCTION("GOOGLETRANSLATE(C935, ""en"", ""ru"")"),"кипарис")</f>
        <v>кипарис</v>
      </c>
      <c r="I935" s="8" t="str">
        <f>IFERROR(__xludf.DUMMYFUNCTION("GOOGLETRANSLATE(C935, ""en"", ""ar"")"),"السرو")</f>
        <v>السرو</v>
      </c>
      <c r="J935" s="8"/>
      <c r="K935" s="7" t="str">
        <f>IFERROR(__xludf.DUMMYFUNCTION("CONCAT(REGEXREPLACE(C935,""[ ,]+"",""_""),"".mp3"")"),"cypress.mp3")</f>
        <v>cypress.mp3</v>
      </c>
      <c r="M935" s="4" t="s">
        <v>10</v>
      </c>
    </row>
    <row r="936" ht="15.75" customHeight="1">
      <c r="A936" s="1">
        <v>2304.0</v>
      </c>
      <c r="B936" s="3">
        <v>147.0</v>
      </c>
      <c r="C936" s="7" t="s">
        <v>963</v>
      </c>
      <c r="D936" s="8" t="str">
        <f>IFERROR(__xludf.DUMMYFUNCTION("GOOGLETRANSLATE(C936, ""en"", ""pt"")"),"zimbro")</f>
        <v>zimbro</v>
      </c>
      <c r="E936" s="8" t="str">
        <f>IFERROR(__xludf.DUMMYFUNCTION("GOOGLETRANSLATE(C936, ""en"", ""es"")"),"enebro")</f>
        <v>enebro</v>
      </c>
      <c r="F936" s="8" t="str">
        <f>IFERROR(__xludf.DUMMYFUNCTION("GOOGLETRANSLATE(C936, ""en"", ""fr"")"),"genévrier")</f>
        <v>genévrier</v>
      </c>
      <c r="G936" s="8" t="str">
        <f>IFERROR(__xludf.DUMMYFUNCTION("GOOGLETRANSLATE(C936, ""en"", ""de"")"),"Wacholder")</f>
        <v>Wacholder</v>
      </c>
      <c r="H936" s="8" t="str">
        <f>IFERROR(__xludf.DUMMYFUNCTION("GOOGLETRANSLATE(C936, ""en"", ""ru"")"),"можжевельник")</f>
        <v>можжевельник</v>
      </c>
      <c r="I936" s="8" t="str">
        <f>IFERROR(__xludf.DUMMYFUNCTION("GOOGLETRANSLATE(C936, ""en"", ""ar"")"),"العرعر")</f>
        <v>العرعر</v>
      </c>
      <c r="J936" s="8"/>
      <c r="K936" s="7" t="str">
        <f>IFERROR(__xludf.DUMMYFUNCTION("CONCAT(REGEXREPLACE(C936,""[ ,]+"",""_""),"".mp3"")"),"juniper.mp3")</f>
        <v>juniper.mp3</v>
      </c>
      <c r="M936" s="4" t="s">
        <v>10</v>
      </c>
    </row>
    <row r="937" ht="15.75" customHeight="1">
      <c r="A937" s="1">
        <v>2305.0</v>
      </c>
      <c r="B937" s="3">
        <v>147.0</v>
      </c>
      <c r="C937" s="7" t="s">
        <v>964</v>
      </c>
      <c r="D937" s="8" t="str">
        <f>IFERROR(__xludf.DUMMYFUNCTION("GOOGLETRANSLATE(C937, ""en"", ""pt"")"),"sequoia")</f>
        <v>sequoia</v>
      </c>
      <c r="E937" s="8" t="str">
        <f>IFERROR(__xludf.DUMMYFUNCTION("GOOGLETRANSLATE(C937, ""en"", ""es"")"),"secoya")</f>
        <v>secoya</v>
      </c>
      <c r="F937" s="8" t="str">
        <f>IFERROR(__xludf.DUMMYFUNCTION("GOOGLETRANSLATE(C937, ""en"", ""fr"")"),"séquoia")</f>
        <v>séquoia</v>
      </c>
      <c r="G937" s="8" t="str">
        <f>IFERROR(__xludf.DUMMYFUNCTION("GOOGLETRANSLATE(C937, ""en"", ""de"")"),"Redwood")</f>
        <v>Redwood</v>
      </c>
      <c r="H937" s="8" t="str">
        <f>IFERROR(__xludf.DUMMYFUNCTION("GOOGLETRANSLATE(C937, ""en"", ""ru"")"),"секвойя")</f>
        <v>секвойя</v>
      </c>
      <c r="I937" s="8" t="str">
        <f>IFERROR(__xludf.DUMMYFUNCTION("GOOGLETRANSLATE(C937, ""en"", ""ar"")"),"الخشب الأحمر")</f>
        <v>الخشب الأحمر</v>
      </c>
      <c r="J937" s="8"/>
      <c r="K937" s="7" t="str">
        <f>IFERROR(__xludf.DUMMYFUNCTION("CONCAT(REGEXREPLACE(C937,""[ ,]+"",""_""),"".mp3"")"),"redwood.mp3")</f>
        <v>redwood.mp3</v>
      </c>
      <c r="M937" s="4" t="s">
        <v>10</v>
      </c>
    </row>
    <row r="938" ht="15.75" customHeight="1">
      <c r="A938" s="1">
        <v>2306.0</v>
      </c>
      <c r="B938" s="3">
        <v>147.0</v>
      </c>
      <c r="C938" s="7" t="s">
        <v>965</v>
      </c>
      <c r="D938" s="8" t="str">
        <f>IFERROR(__xludf.DUMMYFUNCTION("GOOGLETRANSLATE(C938, ""en"", ""pt"")"),"sequóia")</f>
        <v>sequóia</v>
      </c>
      <c r="E938" s="8" t="str">
        <f>IFERROR(__xludf.DUMMYFUNCTION("GOOGLETRANSLATE(C938, ""en"", ""es"")"),"secoya")</f>
        <v>secoya</v>
      </c>
      <c r="F938" s="8" t="str">
        <f>IFERROR(__xludf.DUMMYFUNCTION("GOOGLETRANSLATE(C938, ""en"", ""fr"")"),"séquoia")</f>
        <v>séquoia</v>
      </c>
      <c r="G938" s="8" t="str">
        <f>IFERROR(__xludf.DUMMYFUNCTION("GOOGLETRANSLATE(C938, ""en"", ""de"")"),"Mammutbaum")</f>
        <v>Mammutbaum</v>
      </c>
      <c r="H938" s="8" t="str">
        <f>IFERROR(__xludf.DUMMYFUNCTION("GOOGLETRANSLATE(C938, ""en"", ""ru"")"),"секвойя")</f>
        <v>секвойя</v>
      </c>
      <c r="I938" s="8" t="str">
        <f>IFERROR(__xludf.DUMMYFUNCTION("GOOGLETRANSLATE(C938, ""en"", ""ar"")"),"سيكويا")</f>
        <v>سيكويا</v>
      </c>
      <c r="J938" s="8"/>
      <c r="K938" s="7" t="str">
        <f>IFERROR(__xludf.DUMMYFUNCTION("CONCAT(REGEXREPLACE(C938,""[ ,]+"",""_""),"".mp3"")"),"sequoia.mp3")</f>
        <v>sequoia.mp3</v>
      </c>
      <c r="M938" s="4" t="s">
        <v>10</v>
      </c>
    </row>
    <row r="939" ht="15.75" customHeight="1">
      <c r="A939" s="1">
        <v>2307.0</v>
      </c>
      <c r="B939" s="3">
        <v>147.0</v>
      </c>
      <c r="C939" s="7" t="s">
        <v>966</v>
      </c>
      <c r="D939" s="8" t="str">
        <f>IFERROR(__xludf.DUMMYFUNCTION("GOOGLETRANSLATE(C939, ""en"", ""pt"")"),"palmeira")</f>
        <v>palmeira</v>
      </c>
      <c r="E939" s="8" t="str">
        <f>IFERROR(__xludf.DUMMYFUNCTION("GOOGLETRANSLATE(C939, ""en"", ""es"")"),"palmera")</f>
        <v>palmera</v>
      </c>
      <c r="F939" s="8" t="str">
        <f>IFERROR(__xludf.DUMMYFUNCTION("GOOGLETRANSLATE(C939, ""en"", ""fr"")"),"palmier")</f>
        <v>palmier</v>
      </c>
      <c r="G939" s="8" t="str">
        <f>IFERROR(__xludf.DUMMYFUNCTION("GOOGLETRANSLATE(C939, ""en"", ""de"")"),"Palme")</f>
        <v>Palme</v>
      </c>
      <c r="H939" s="8" t="str">
        <f>IFERROR(__xludf.DUMMYFUNCTION("GOOGLETRANSLATE(C939, ""en"", ""ru"")"),"пальма")</f>
        <v>пальма</v>
      </c>
      <c r="I939" s="8" t="str">
        <f>IFERROR(__xludf.DUMMYFUNCTION("GOOGLETRANSLATE(C939, ""en"", ""ar"")"),"شجرة نخيل")</f>
        <v>شجرة نخيل</v>
      </c>
      <c r="J939" s="8"/>
      <c r="K939" s="7" t="str">
        <f>IFERROR(__xludf.DUMMYFUNCTION("CONCAT(REGEXREPLACE(C939,""[ ,]+"",""_""),"".mp3"")"),"palm_tree.mp3")</f>
        <v>palm_tree.mp3</v>
      </c>
      <c r="M939" s="4" t="s">
        <v>10</v>
      </c>
    </row>
    <row r="940" ht="15.75" customHeight="1">
      <c r="A940" s="1">
        <v>2308.0</v>
      </c>
      <c r="B940" s="3">
        <v>147.0</v>
      </c>
      <c r="C940" s="7" t="s">
        <v>967</v>
      </c>
      <c r="D940" s="8" t="str">
        <f>IFERROR(__xludf.DUMMYFUNCTION("GOOGLETRANSLATE(C940, ""en"", ""pt"")"),"bambu")</f>
        <v>bambu</v>
      </c>
      <c r="E940" s="8" t="str">
        <f>IFERROR(__xludf.DUMMYFUNCTION("GOOGLETRANSLATE(C940, ""en"", ""es"")"),"bambú")</f>
        <v>bambú</v>
      </c>
      <c r="F940" s="8" t="str">
        <f>IFERROR(__xludf.DUMMYFUNCTION("GOOGLETRANSLATE(C940, ""en"", ""fr"")"),"bambou")</f>
        <v>bambou</v>
      </c>
      <c r="G940" s="8" t="str">
        <f>IFERROR(__xludf.DUMMYFUNCTION("GOOGLETRANSLATE(C940, ""en"", ""de"")"),"Bambus")</f>
        <v>Bambus</v>
      </c>
      <c r="H940" s="8" t="str">
        <f>IFERROR(__xludf.DUMMYFUNCTION("GOOGLETRANSLATE(C940, ""en"", ""ru"")"),"бамбук")</f>
        <v>бамбук</v>
      </c>
      <c r="I940" s="8" t="str">
        <f>IFERROR(__xludf.DUMMYFUNCTION("GOOGLETRANSLATE(C940, ""en"", ""ar"")"),"الخيزران")</f>
        <v>الخيزران</v>
      </c>
      <c r="J940" s="8"/>
      <c r="K940" s="7" t="str">
        <f>IFERROR(__xludf.DUMMYFUNCTION("CONCAT(REGEXREPLACE(C940,""[ ,]+"",""_""),"".mp3"")"),"bamboo.mp3")</f>
        <v>bamboo.mp3</v>
      </c>
      <c r="M940" s="4" t="s">
        <v>10</v>
      </c>
    </row>
    <row r="941" ht="15.75" customHeight="1">
      <c r="A941" s="1">
        <v>2309.0</v>
      </c>
      <c r="B941" s="3">
        <v>147.0</v>
      </c>
      <c r="C941" s="7" t="s">
        <v>968</v>
      </c>
      <c r="D941" s="8" t="str">
        <f>IFERROR(__xludf.DUMMYFUNCTION("GOOGLETRANSLATE(C941, ""en"", ""pt"")"),"eucalipto")</f>
        <v>eucalipto</v>
      </c>
      <c r="E941" s="8" t="str">
        <f>IFERROR(__xludf.DUMMYFUNCTION("GOOGLETRANSLATE(C941, ""en"", ""es"")"),"eucalipto")</f>
        <v>eucalipto</v>
      </c>
      <c r="F941" s="8" t="str">
        <f>IFERROR(__xludf.DUMMYFUNCTION("GOOGLETRANSLATE(C941, ""en"", ""fr"")"),"eucalyptus")</f>
        <v>eucalyptus</v>
      </c>
      <c r="G941" s="8" t="str">
        <f>IFERROR(__xludf.DUMMYFUNCTION("GOOGLETRANSLATE(C941, ""en"", ""de"")"),"Eukalyptus")</f>
        <v>Eukalyptus</v>
      </c>
      <c r="H941" s="8" t="str">
        <f>IFERROR(__xludf.DUMMYFUNCTION("GOOGLETRANSLATE(C941, ""en"", ""ru"")"),"эвкалипт")</f>
        <v>эвкалипт</v>
      </c>
      <c r="I941" s="8" t="str">
        <f>IFERROR(__xludf.DUMMYFUNCTION("GOOGLETRANSLATE(C941, ""en"", ""ar"")"),"الأوكالبتوس")</f>
        <v>الأوكالبتوس</v>
      </c>
      <c r="J941" s="8"/>
      <c r="K941" s="7" t="str">
        <f>IFERROR(__xludf.DUMMYFUNCTION("CONCAT(REGEXREPLACE(C941,""[ ,]+"",""_""),"".mp3"")"),"eucalyptus.mp3")</f>
        <v>eucalyptus.mp3</v>
      </c>
      <c r="M941" s="4" t="s">
        <v>10</v>
      </c>
    </row>
    <row r="942" ht="15.75" customHeight="1">
      <c r="A942" s="1">
        <v>2310.0</v>
      </c>
      <c r="B942" s="3">
        <v>147.0</v>
      </c>
      <c r="C942" s="7" t="s">
        <v>969</v>
      </c>
      <c r="D942" s="8" t="str">
        <f>IFERROR(__xludf.DUMMYFUNCTION("GOOGLETRANSLATE(C942, ""en"", ""pt"")"),"mogno")</f>
        <v>mogno</v>
      </c>
      <c r="E942" s="8" t="str">
        <f>IFERROR(__xludf.DUMMYFUNCTION("GOOGLETRANSLATE(C942, ""en"", ""es"")"),"caoba")</f>
        <v>caoba</v>
      </c>
      <c r="F942" s="8" t="str">
        <f>IFERROR(__xludf.DUMMYFUNCTION("GOOGLETRANSLATE(C942, ""en"", ""fr"")"),"acajou")</f>
        <v>acajou</v>
      </c>
      <c r="G942" s="8" t="str">
        <f>IFERROR(__xludf.DUMMYFUNCTION("GOOGLETRANSLATE(C942, ""en"", ""de"")"),"Mahagoni")</f>
        <v>Mahagoni</v>
      </c>
      <c r="H942" s="8" t="str">
        <f>IFERROR(__xludf.DUMMYFUNCTION("GOOGLETRANSLATE(C942, ""en"", ""ru"")"),"красное дерево")</f>
        <v>красное дерево</v>
      </c>
      <c r="I942" s="8" t="str">
        <f>IFERROR(__xludf.DUMMYFUNCTION("GOOGLETRANSLATE(C942, ""en"", ""ar"")"),"خشب الماهوجني")</f>
        <v>خشب الماهوجني</v>
      </c>
      <c r="J942" s="8"/>
      <c r="K942" s="7" t="str">
        <f>IFERROR(__xludf.DUMMYFUNCTION("CONCAT(REGEXREPLACE(C942,""[ ,]+"",""_""),"".mp3"")"),"mahogany.mp3")</f>
        <v>mahogany.mp3</v>
      </c>
      <c r="M942" s="4" t="s">
        <v>10</v>
      </c>
    </row>
    <row r="943" ht="15.75" customHeight="1">
      <c r="A943" s="1">
        <v>2311.0</v>
      </c>
      <c r="B943" s="3">
        <v>147.0</v>
      </c>
      <c r="C943" s="7" t="s">
        <v>970</v>
      </c>
      <c r="D943" s="8" t="str">
        <f>IFERROR(__xludf.DUMMYFUNCTION("GOOGLETRANSLATE(C943, ""en"", ""pt"")"),"teca")</f>
        <v>teca</v>
      </c>
      <c r="E943" s="8" t="str">
        <f>IFERROR(__xludf.DUMMYFUNCTION("GOOGLETRANSLATE(C943, ""en"", ""es"")"),"teca")</f>
        <v>teca</v>
      </c>
      <c r="F943" s="8" t="str">
        <f>IFERROR(__xludf.DUMMYFUNCTION("GOOGLETRANSLATE(C943, ""en"", ""fr"")"),"teck")</f>
        <v>teck</v>
      </c>
      <c r="G943" s="8" t="str">
        <f>IFERROR(__xludf.DUMMYFUNCTION("GOOGLETRANSLATE(C943, ""en"", ""de"")"),"Teak")</f>
        <v>Teak</v>
      </c>
      <c r="H943" s="8" t="str">
        <f>IFERROR(__xludf.DUMMYFUNCTION("GOOGLETRANSLATE(C943, ""en"", ""ru"")"),"тик")</f>
        <v>тик</v>
      </c>
      <c r="I943" s="8" t="str">
        <f>IFERROR(__xludf.DUMMYFUNCTION("GOOGLETRANSLATE(C943, ""en"", ""ar"")"),"خشب الساج")</f>
        <v>خشب الساج</v>
      </c>
      <c r="J943" s="8"/>
      <c r="K943" s="7" t="str">
        <f>IFERROR(__xludf.DUMMYFUNCTION("CONCAT(REGEXREPLACE(C943,""[ ,]+"",""_""),"".mp3"")"),"teak.mp3")</f>
        <v>teak.mp3</v>
      </c>
      <c r="M943" s="4" t="s">
        <v>10</v>
      </c>
    </row>
    <row r="944" ht="15.75" customHeight="1">
      <c r="A944" s="1">
        <v>2312.0</v>
      </c>
      <c r="B944" s="3">
        <v>147.0</v>
      </c>
      <c r="C944" s="7" t="s">
        <v>971</v>
      </c>
      <c r="D944" s="8" t="str">
        <f>IFERROR(__xludf.DUMMYFUNCTION("GOOGLETRANSLATE(C944, ""en"", ""pt"")"),"seringueira")</f>
        <v>seringueira</v>
      </c>
      <c r="E944" s="8" t="str">
        <f>IFERROR(__xludf.DUMMYFUNCTION("GOOGLETRANSLATE(C944, ""en"", ""es"")"),"árbol de caucho")</f>
        <v>árbol de caucho</v>
      </c>
      <c r="F944" s="8" t="str">
        <f>IFERROR(__xludf.DUMMYFUNCTION("GOOGLETRANSLATE(C944, ""en"", ""fr"")"),"caoutchouc")</f>
        <v>caoutchouc</v>
      </c>
      <c r="G944" s="8" t="str">
        <f>IFERROR(__xludf.DUMMYFUNCTION("GOOGLETRANSLATE(C944, ""en"", ""de"")"),"Gummibaum")</f>
        <v>Gummibaum</v>
      </c>
      <c r="H944" s="8" t="str">
        <f>IFERROR(__xludf.DUMMYFUNCTION("GOOGLETRANSLATE(C944, ""en"", ""ru"")"),"каучуковое дерево")</f>
        <v>каучуковое дерево</v>
      </c>
      <c r="I944" s="8" t="str">
        <f>IFERROR(__xludf.DUMMYFUNCTION("GOOGLETRANSLATE(C944, ""en"", ""ar"")"),"شجرة المطاط")</f>
        <v>شجرة المطاط</v>
      </c>
      <c r="J944" s="8"/>
      <c r="K944" s="7" t="str">
        <f>IFERROR(__xludf.DUMMYFUNCTION("CONCAT(REGEXREPLACE(C944,""[ ,]+"",""_""),"".mp3"")"),"rubber_tree.mp3")</f>
        <v>rubber_tree.mp3</v>
      </c>
      <c r="M944" s="4" t="s">
        <v>10</v>
      </c>
    </row>
    <row r="945" ht="15.75" customHeight="1">
      <c r="A945" s="1">
        <v>2313.0</v>
      </c>
      <c r="B945" s="3">
        <v>147.0</v>
      </c>
      <c r="C945" s="7" t="s">
        <v>972</v>
      </c>
      <c r="D945" s="8" t="str">
        <f>IFERROR(__xludf.DUMMYFUNCTION("GOOGLETRANSLATE(C945, ""en"", ""pt"")"),"banyan")</f>
        <v>banyan</v>
      </c>
      <c r="E945" s="8" t="str">
        <f>IFERROR(__xludf.DUMMYFUNCTION("GOOGLETRANSLATE(C945, ""en"", ""es"")"),"bata oriental")</f>
        <v>bata oriental</v>
      </c>
      <c r="F945" s="8" t="str">
        <f>IFERROR(__xludf.DUMMYFUNCTION("GOOGLETRANSLATE(C945, ""en"", ""fr"")"),"banian")</f>
        <v>banian</v>
      </c>
      <c r="G945" s="8" t="str">
        <f>IFERROR(__xludf.DUMMYFUNCTION("GOOGLETRANSLATE(C945, ""en"", ""de"")"),"Banyan")</f>
        <v>Banyan</v>
      </c>
      <c r="H945" s="8" t="str">
        <f>IFERROR(__xludf.DUMMYFUNCTION("GOOGLETRANSLATE(C945, ""en"", ""ru"")"),"баньян")</f>
        <v>баньян</v>
      </c>
      <c r="I945" s="8" t="str">
        <f>IFERROR(__xludf.DUMMYFUNCTION("GOOGLETRANSLATE(C945, ""en"", ""ar"")"),"شجرة البانيان")</f>
        <v>شجرة البانيان</v>
      </c>
      <c r="J945" s="8"/>
      <c r="K945" s="7" t="str">
        <f>IFERROR(__xludf.DUMMYFUNCTION("CONCAT(REGEXREPLACE(C945,""[ ,]+"",""_""),"".mp3"")"),"banyan.mp3")</f>
        <v>banyan.mp3</v>
      </c>
      <c r="M945" s="4" t="s">
        <v>10</v>
      </c>
    </row>
    <row r="946" ht="15.75" customHeight="1">
      <c r="A946" s="1">
        <v>2314.0</v>
      </c>
      <c r="B946" s="3">
        <v>148.0</v>
      </c>
      <c r="C946" s="7" t="s">
        <v>973</v>
      </c>
      <c r="D946" s="8" t="str">
        <f>IFERROR(__xludf.DUMMYFUNCTION("GOOGLETRANSLATE(C946, ""en"", ""pt"")"),"rosa")</f>
        <v>rosa</v>
      </c>
      <c r="E946" s="8" t="str">
        <f>IFERROR(__xludf.DUMMYFUNCTION("GOOGLETRANSLATE(C946, ""en"", ""es"")"),"rosa")</f>
        <v>rosa</v>
      </c>
      <c r="F946" s="8" t="str">
        <f>IFERROR(__xludf.DUMMYFUNCTION("GOOGLETRANSLATE(C946, ""en"", ""fr"")"),"rose")</f>
        <v>rose</v>
      </c>
      <c r="G946" s="8" t="str">
        <f>IFERROR(__xludf.DUMMYFUNCTION("GOOGLETRANSLATE(C946, ""en"", ""de"")"),"Rose")</f>
        <v>Rose</v>
      </c>
      <c r="H946" s="8" t="str">
        <f>IFERROR(__xludf.DUMMYFUNCTION("GOOGLETRANSLATE(C946, ""en"", ""ru"")"),"роза")</f>
        <v>роза</v>
      </c>
      <c r="I946" s="8" t="str">
        <f>IFERROR(__xludf.DUMMYFUNCTION("GOOGLETRANSLATE(C946, ""en"", ""ar"")"),"وَردَة")</f>
        <v>وَردَة</v>
      </c>
      <c r="J946" s="8"/>
      <c r="K946" s="7" t="str">
        <f>IFERROR(__xludf.DUMMYFUNCTION("CONCAT(REGEXREPLACE(C946,""[ ,]+"",""_""),"".mp3"")"),"rose.mp3")</f>
        <v>rose.mp3</v>
      </c>
      <c r="M946" s="4" t="s">
        <v>10</v>
      </c>
    </row>
    <row r="947" ht="15.75" customHeight="1">
      <c r="A947" s="1">
        <v>2315.0</v>
      </c>
      <c r="B947" s="3">
        <v>148.0</v>
      </c>
      <c r="C947" s="7" t="s">
        <v>974</v>
      </c>
      <c r="D947" s="8" t="str">
        <f>IFERROR(__xludf.DUMMYFUNCTION("GOOGLETRANSLATE(C947, ""en"", ""pt"")"),"tulipa")</f>
        <v>tulipa</v>
      </c>
      <c r="E947" s="8" t="str">
        <f>IFERROR(__xludf.DUMMYFUNCTION("GOOGLETRANSLATE(C947, ""en"", ""es"")"),"tulipán")</f>
        <v>tulipán</v>
      </c>
      <c r="F947" s="8" t="str">
        <f>IFERROR(__xludf.DUMMYFUNCTION("GOOGLETRANSLATE(C947, ""en"", ""fr"")"),"tulipe")</f>
        <v>tulipe</v>
      </c>
      <c r="G947" s="8" t="str">
        <f>IFERROR(__xludf.DUMMYFUNCTION("GOOGLETRANSLATE(C947, ""en"", ""de"")"),"Tulpe")</f>
        <v>Tulpe</v>
      </c>
      <c r="H947" s="8" t="str">
        <f>IFERROR(__xludf.DUMMYFUNCTION("GOOGLETRANSLATE(C947, ""en"", ""ru"")"),"тюльпан")</f>
        <v>тюльпан</v>
      </c>
      <c r="I947" s="8" t="str">
        <f>IFERROR(__xludf.DUMMYFUNCTION("GOOGLETRANSLATE(C947, ""en"", ""ar"")"),"زهرة التوليب")</f>
        <v>زهرة التوليب</v>
      </c>
      <c r="J947" s="8"/>
      <c r="K947" s="7" t="str">
        <f>IFERROR(__xludf.DUMMYFUNCTION("CONCAT(REGEXREPLACE(C947,""[ ,]+"",""_""),"".mp3"")"),"tulip.mp3")</f>
        <v>tulip.mp3</v>
      </c>
      <c r="M947" s="4" t="s">
        <v>10</v>
      </c>
    </row>
    <row r="948" ht="15.75" customHeight="1">
      <c r="A948" s="1">
        <v>2316.0</v>
      </c>
      <c r="B948" s="3">
        <v>148.0</v>
      </c>
      <c r="C948" s="7" t="s">
        <v>975</v>
      </c>
      <c r="D948" s="8" t="str">
        <f>IFERROR(__xludf.DUMMYFUNCTION("GOOGLETRANSLATE(C948, ""en"", ""pt"")"),"lírio")</f>
        <v>lírio</v>
      </c>
      <c r="E948" s="8" t="str">
        <f>IFERROR(__xludf.DUMMYFUNCTION("GOOGLETRANSLATE(C948, ""en"", ""es"")"),"lirio")</f>
        <v>lirio</v>
      </c>
      <c r="F948" s="8" t="str">
        <f>IFERROR(__xludf.DUMMYFUNCTION("GOOGLETRANSLATE(C948, ""en"", ""fr"")"),"lis")</f>
        <v>lis</v>
      </c>
      <c r="G948" s="8" t="str">
        <f>IFERROR(__xludf.DUMMYFUNCTION("GOOGLETRANSLATE(C948, ""en"", ""de"")"),"Lilie")</f>
        <v>Lilie</v>
      </c>
      <c r="H948" s="8" t="str">
        <f>IFERROR(__xludf.DUMMYFUNCTION("GOOGLETRANSLATE(C948, ""en"", ""ru"")"),"Лили")</f>
        <v>Лили</v>
      </c>
      <c r="I948" s="8" t="str">
        <f>IFERROR(__xludf.DUMMYFUNCTION("GOOGLETRANSLATE(C948, ""en"", ""ar"")"),"زنبق")</f>
        <v>زنبق</v>
      </c>
      <c r="J948" s="8"/>
      <c r="K948" s="7" t="str">
        <f>IFERROR(__xludf.DUMMYFUNCTION("CONCAT(REGEXREPLACE(C948,""[ ,]+"",""_""),"".mp3"")"),"lily.mp3")</f>
        <v>lily.mp3</v>
      </c>
      <c r="M948" s="4" t="s">
        <v>10</v>
      </c>
    </row>
    <row r="949" ht="15.75" customHeight="1">
      <c r="A949" s="1">
        <v>2317.0</v>
      </c>
      <c r="B949" s="3">
        <v>148.0</v>
      </c>
      <c r="C949" s="7" t="s">
        <v>976</v>
      </c>
      <c r="D949" s="8" t="str">
        <f>IFERROR(__xludf.DUMMYFUNCTION("GOOGLETRANSLATE(C949, ""en"", ""pt"")"),"margarida")</f>
        <v>margarida</v>
      </c>
      <c r="E949" s="8" t="str">
        <f>IFERROR(__xludf.DUMMYFUNCTION("GOOGLETRANSLATE(C949, ""en"", ""es"")"),"margarita")</f>
        <v>margarita</v>
      </c>
      <c r="F949" s="8" t="str">
        <f>IFERROR(__xludf.DUMMYFUNCTION("GOOGLETRANSLATE(C949, ""en"", ""fr"")"),"marguerite")</f>
        <v>marguerite</v>
      </c>
      <c r="G949" s="8" t="str">
        <f>IFERROR(__xludf.DUMMYFUNCTION("GOOGLETRANSLATE(C949, ""en"", ""de"")"),"Gänseblümchen")</f>
        <v>Gänseblümchen</v>
      </c>
      <c r="H949" s="8" t="str">
        <f>IFERROR(__xludf.DUMMYFUNCTION("GOOGLETRANSLATE(C949, ""en"", ""ru"")"),"ромашка")</f>
        <v>ромашка</v>
      </c>
      <c r="I949" s="8" t="str">
        <f>IFERROR(__xludf.DUMMYFUNCTION("GOOGLETRANSLATE(C949, ""en"", ""ar"")"),"ديزي")</f>
        <v>ديزي</v>
      </c>
      <c r="J949" s="8"/>
      <c r="K949" s="7" t="str">
        <f>IFERROR(__xludf.DUMMYFUNCTION("CONCAT(REGEXREPLACE(C949,""[ ,]+"",""_""),"".mp3"")"),"daisy.mp3")</f>
        <v>daisy.mp3</v>
      </c>
      <c r="M949" s="4" t="s">
        <v>10</v>
      </c>
    </row>
    <row r="950" ht="15.75" customHeight="1">
      <c r="A950" s="1">
        <v>2318.0</v>
      </c>
      <c r="B950" s="3">
        <v>148.0</v>
      </c>
      <c r="C950" s="7" t="s">
        <v>977</v>
      </c>
      <c r="D950" s="8" t="str">
        <f>IFERROR(__xludf.DUMMYFUNCTION("GOOGLETRANSLATE(C950, ""en"", ""pt"")"),"girassol")</f>
        <v>girassol</v>
      </c>
      <c r="E950" s="8" t="str">
        <f>IFERROR(__xludf.DUMMYFUNCTION("GOOGLETRANSLATE(C950, ""en"", ""es"")"),"girasol")</f>
        <v>girasol</v>
      </c>
      <c r="F950" s="8" t="str">
        <f>IFERROR(__xludf.DUMMYFUNCTION("GOOGLETRANSLATE(C950, ""en"", ""fr"")"),"tournesol")</f>
        <v>tournesol</v>
      </c>
      <c r="G950" s="8" t="str">
        <f>IFERROR(__xludf.DUMMYFUNCTION("GOOGLETRANSLATE(C950, ""en"", ""de"")"),"Sonnenblume")</f>
        <v>Sonnenblume</v>
      </c>
      <c r="H950" s="8" t="str">
        <f>IFERROR(__xludf.DUMMYFUNCTION("GOOGLETRANSLATE(C950, ""en"", ""ru"")"),"подсолнух")</f>
        <v>подсолнух</v>
      </c>
      <c r="I950" s="8" t="str">
        <f>IFERROR(__xludf.DUMMYFUNCTION("GOOGLETRANSLATE(C950, ""en"", ""ar"")"),"عباد الشمس")</f>
        <v>عباد الشمس</v>
      </c>
      <c r="J950" s="8"/>
      <c r="K950" s="7" t="str">
        <f>IFERROR(__xludf.DUMMYFUNCTION("CONCAT(REGEXREPLACE(C950,""[ ,]+"",""_""),"".mp3"")"),"sunflower.mp3")</f>
        <v>sunflower.mp3</v>
      </c>
      <c r="M950" s="4" t="s">
        <v>10</v>
      </c>
    </row>
    <row r="951" ht="15.75" customHeight="1">
      <c r="A951" s="1">
        <v>2319.0</v>
      </c>
      <c r="B951" s="3">
        <v>148.0</v>
      </c>
      <c r="C951" s="7" t="s">
        <v>978</v>
      </c>
      <c r="D951" s="8" t="str">
        <f>IFERROR(__xludf.DUMMYFUNCTION("GOOGLETRANSLATE(C951, ""en"", ""pt"")"),"orquídea")</f>
        <v>orquídea</v>
      </c>
      <c r="E951" s="8" t="str">
        <f>IFERROR(__xludf.DUMMYFUNCTION("GOOGLETRANSLATE(C951, ""en"", ""es"")"),"orquídea")</f>
        <v>orquídea</v>
      </c>
      <c r="F951" s="8" t="str">
        <f>IFERROR(__xludf.DUMMYFUNCTION("GOOGLETRANSLATE(C951, ""en"", ""fr"")"),"orchidée")</f>
        <v>orchidée</v>
      </c>
      <c r="G951" s="8" t="str">
        <f>IFERROR(__xludf.DUMMYFUNCTION("GOOGLETRANSLATE(C951, ""en"", ""de"")"),"Orchidee")</f>
        <v>Orchidee</v>
      </c>
      <c r="H951" s="8" t="str">
        <f>IFERROR(__xludf.DUMMYFUNCTION("GOOGLETRANSLATE(C951, ""en"", ""ru"")"),"орхидея")</f>
        <v>орхидея</v>
      </c>
      <c r="I951" s="8" t="str">
        <f>IFERROR(__xludf.DUMMYFUNCTION("GOOGLETRANSLATE(C951, ""en"", ""ar"")"),"زهرة الأوركيد")</f>
        <v>زهرة الأوركيد</v>
      </c>
      <c r="J951" s="8"/>
      <c r="K951" s="7" t="str">
        <f>IFERROR(__xludf.DUMMYFUNCTION("CONCAT(REGEXREPLACE(C951,""[ ,]+"",""_""),"".mp3"")"),"orchid.mp3")</f>
        <v>orchid.mp3</v>
      </c>
      <c r="M951" s="4" t="s">
        <v>10</v>
      </c>
    </row>
    <row r="952" ht="15.75" customHeight="1">
      <c r="A952" s="1">
        <v>2320.0</v>
      </c>
      <c r="B952" s="3">
        <v>148.0</v>
      </c>
      <c r="C952" s="7" t="s">
        <v>979</v>
      </c>
      <c r="D952" s="8" t="str">
        <f>IFERROR(__xludf.DUMMYFUNCTION("GOOGLETRANSLATE(C952, ""en"", ""pt"")"),"cravo")</f>
        <v>cravo</v>
      </c>
      <c r="E952" s="8" t="str">
        <f>IFERROR(__xludf.DUMMYFUNCTION("GOOGLETRANSLATE(C952, ""en"", ""es"")"),"clavel")</f>
        <v>clavel</v>
      </c>
      <c r="F952" s="8" t="str">
        <f>IFERROR(__xludf.DUMMYFUNCTION("GOOGLETRANSLATE(C952, ""en"", ""fr"")"),"œillet")</f>
        <v>œillet</v>
      </c>
      <c r="G952" s="8" t="str">
        <f>IFERROR(__xludf.DUMMYFUNCTION("GOOGLETRANSLATE(C952, ""en"", ""de"")"),"Nelke")</f>
        <v>Nelke</v>
      </c>
      <c r="H952" s="8" t="str">
        <f>IFERROR(__xludf.DUMMYFUNCTION("GOOGLETRANSLATE(C952, ""en"", ""ru"")"),"гвоздика")</f>
        <v>гвоздика</v>
      </c>
      <c r="I952" s="8" t="str">
        <f>IFERROR(__xludf.DUMMYFUNCTION("GOOGLETRANSLATE(C952, ""en"", ""ar"")"),"قرنفل")</f>
        <v>قرنفل</v>
      </c>
      <c r="J952" s="8"/>
      <c r="K952" s="7" t="str">
        <f>IFERROR(__xludf.DUMMYFUNCTION("CONCAT(REGEXREPLACE(C952,""[ ,]+"",""_""),"".mp3"")"),"carnation.mp3")</f>
        <v>carnation.mp3</v>
      </c>
      <c r="M952" s="4" t="s">
        <v>10</v>
      </c>
    </row>
    <row r="953" ht="15.75" customHeight="1">
      <c r="A953" s="1">
        <v>2321.0</v>
      </c>
      <c r="B953" s="3">
        <v>148.0</v>
      </c>
      <c r="C953" s="7" t="s">
        <v>980</v>
      </c>
      <c r="D953" s="8" t="str">
        <f>IFERROR(__xludf.DUMMYFUNCTION("GOOGLETRANSLATE(C953, ""en"", ""pt"")"),"crisântemo")</f>
        <v>crisântemo</v>
      </c>
      <c r="E953" s="8" t="str">
        <f>IFERROR(__xludf.DUMMYFUNCTION("GOOGLETRANSLATE(C953, ""en"", ""es"")"),"crisantemo")</f>
        <v>crisantemo</v>
      </c>
      <c r="F953" s="8" t="str">
        <f>IFERROR(__xludf.DUMMYFUNCTION("GOOGLETRANSLATE(C953, ""en"", ""fr"")"),"chrysanthème")</f>
        <v>chrysanthème</v>
      </c>
      <c r="G953" s="8" t="str">
        <f>IFERROR(__xludf.DUMMYFUNCTION("GOOGLETRANSLATE(C953, ""en"", ""de"")"),"Chrysantheme")</f>
        <v>Chrysantheme</v>
      </c>
      <c r="H953" s="8" t="str">
        <f>IFERROR(__xludf.DUMMYFUNCTION("GOOGLETRANSLATE(C953, ""en"", ""ru"")"),"хризантема")</f>
        <v>хризантема</v>
      </c>
      <c r="I953" s="8" t="str">
        <f>IFERROR(__xludf.DUMMYFUNCTION("GOOGLETRANSLATE(C953, ""en"", ""ar"")"),"أقحوان")</f>
        <v>أقحوان</v>
      </c>
      <c r="J953" s="8"/>
      <c r="K953" s="7" t="str">
        <f>IFERROR(__xludf.DUMMYFUNCTION("CONCAT(REGEXREPLACE(C953,""[ ,]+"",""_""),"".mp3"")"),"chrysanthemum.mp3")</f>
        <v>chrysanthemum.mp3</v>
      </c>
      <c r="M953" s="4" t="s">
        <v>10</v>
      </c>
    </row>
    <row r="954" ht="15.75" customHeight="1">
      <c r="A954" s="1">
        <v>2322.0</v>
      </c>
      <c r="B954" s="3">
        <v>148.0</v>
      </c>
      <c r="C954" s="7" t="s">
        <v>981</v>
      </c>
      <c r="D954" s="8" t="str">
        <f>IFERROR(__xludf.DUMMYFUNCTION("GOOGLETRANSLATE(C954, ""en"", ""pt"")"),"papoula")</f>
        <v>papoula</v>
      </c>
      <c r="E954" s="8" t="str">
        <f>IFERROR(__xludf.DUMMYFUNCTION("GOOGLETRANSLATE(C954, ""en"", ""es"")"),"amapola")</f>
        <v>amapola</v>
      </c>
      <c r="F954" s="8" t="str">
        <f>IFERROR(__xludf.DUMMYFUNCTION("GOOGLETRANSLATE(C954, ""en"", ""fr"")"),"pavot")</f>
        <v>pavot</v>
      </c>
      <c r="G954" s="8" t="str">
        <f>IFERROR(__xludf.DUMMYFUNCTION("GOOGLETRANSLATE(C954, ""en"", ""de"")"),"Mohn")</f>
        <v>Mohn</v>
      </c>
      <c r="H954" s="8" t="str">
        <f>IFERROR(__xludf.DUMMYFUNCTION("GOOGLETRANSLATE(C954, ""en"", ""ru"")"),"мак")</f>
        <v>мак</v>
      </c>
      <c r="I954" s="8" t="str">
        <f>IFERROR(__xludf.DUMMYFUNCTION("GOOGLETRANSLATE(C954, ""en"", ""ar"")"),"الخشخاش")</f>
        <v>الخشخاش</v>
      </c>
      <c r="J954" s="8"/>
      <c r="K954" s="7" t="str">
        <f>IFERROR(__xludf.DUMMYFUNCTION("CONCAT(REGEXREPLACE(C954,""[ ,]+"",""_""),"".mp3"")"),"poppy.mp3")</f>
        <v>poppy.mp3</v>
      </c>
      <c r="M954" s="4" t="s">
        <v>10</v>
      </c>
    </row>
    <row r="955" ht="15.75" customHeight="1">
      <c r="A955" s="1">
        <v>2323.0</v>
      </c>
      <c r="B955" s="3">
        <v>148.0</v>
      </c>
      <c r="C955" s="7" t="s">
        <v>982</v>
      </c>
      <c r="D955" s="8" t="str">
        <f>IFERROR(__xludf.DUMMYFUNCTION("GOOGLETRANSLATE(C955, ""en"", ""pt"")"),"peônia")</f>
        <v>peônia</v>
      </c>
      <c r="E955" s="8" t="str">
        <f>IFERROR(__xludf.DUMMYFUNCTION("GOOGLETRANSLATE(C955, ""en"", ""es"")"),"peonía")</f>
        <v>peonía</v>
      </c>
      <c r="F955" s="8" t="str">
        <f>IFERROR(__xludf.DUMMYFUNCTION("GOOGLETRANSLATE(C955, ""en"", ""fr"")"),"pivoine")</f>
        <v>pivoine</v>
      </c>
      <c r="G955" s="8" t="str">
        <f>IFERROR(__xludf.DUMMYFUNCTION("GOOGLETRANSLATE(C955, ""en"", ""de"")"),"Pfingstrose")</f>
        <v>Pfingstrose</v>
      </c>
      <c r="H955" s="8" t="str">
        <f>IFERROR(__xludf.DUMMYFUNCTION("GOOGLETRANSLATE(C955, ""en"", ""ru"")"),"пион")</f>
        <v>пион</v>
      </c>
      <c r="I955" s="8" t="str">
        <f>IFERROR(__xludf.DUMMYFUNCTION("GOOGLETRANSLATE(C955, ""en"", ""ar"")"),"الفاوانيا")</f>
        <v>الفاوانيا</v>
      </c>
      <c r="J955" s="8"/>
      <c r="K955" s="7" t="str">
        <f>IFERROR(__xludf.DUMMYFUNCTION("CONCAT(REGEXREPLACE(C955,""[ ,]+"",""_""),"".mp3"")"),"peony.mp3")</f>
        <v>peony.mp3</v>
      </c>
      <c r="M955" s="4" t="s">
        <v>10</v>
      </c>
    </row>
    <row r="956" ht="15.75" customHeight="1">
      <c r="A956" s="1">
        <v>2324.0</v>
      </c>
      <c r="B956" s="3">
        <v>148.0</v>
      </c>
      <c r="C956" s="7" t="s">
        <v>983</v>
      </c>
      <c r="D956" s="8" t="str">
        <f>IFERROR(__xludf.DUMMYFUNCTION("GOOGLETRANSLATE(C956, ""en"", ""pt"")"),"amor-perfeito")</f>
        <v>amor-perfeito</v>
      </c>
      <c r="E956" s="8" t="str">
        <f>IFERROR(__xludf.DUMMYFUNCTION("GOOGLETRANSLATE(C956, ""en"", ""es"")"),"pensamiento")</f>
        <v>pensamiento</v>
      </c>
      <c r="F956" s="8" t="str">
        <f>IFERROR(__xludf.DUMMYFUNCTION("GOOGLETRANSLATE(C956, ""en"", ""fr"")"),"pensée")</f>
        <v>pensée</v>
      </c>
      <c r="G956" s="8" t="str">
        <f>IFERROR(__xludf.DUMMYFUNCTION("GOOGLETRANSLATE(C956, ""en"", ""de"")"),"Stiefmütterchen")</f>
        <v>Stiefmütterchen</v>
      </c>
      <c r="H956" s="8" t="str">
        <f>IFERROR(__xludf.DUMMYFUNCTION("GOOGLETRANSLATE(C956, ""en"", ""ru"")"),"анютины глазки")</f>
        <v>анютины глазки</v>
      </c>
      <c r="I956" s="8" t="str">
        <f>IFERROR(__xludf.DUMMYFUNCTION("GOOGLETRANSLATE(C956, ""en"", ""ar"")"),"زهرة البانسيه")</f>
        <v>زهرة البانسيه</v>
      </c>
      <c r="J956" s="8"/>
      <c r="K956" s="7" t="str">
        <f>IFERROR(__xludf.DUMMYFUNCTION("CONCAT(REGEXREPLACE(C956,""[ ,]+"",""_""),"".mp3"")"),"pansy.mp3")</f>
        <v>pansy.mp3</v>
      </c>
      <c r="M956" s="4" t="s">
        <v>10</v>
      </c>
    </row>
    <row r="957" ht="15.75" customHeight="1">
      <c r="A957" s="1">
        <v>2325.0</v>
      </c>
      <c r="B957" s="3">
        <v>148.0</v>
      </c>
      <c r="C957" s="7" t="s">
        <v>984</v>
      </c>
      <c r="D957" s="8" t="str">
        <f>IFERROR(__xludf.DUMMYFUNCTION("GOOGLETRANSLATE(C957, ""en"", ""pt"")"),"petúnia")</f>
        <v>petúnia</v>
      </c>
      <c r="E957" s="8" t="str">
        <f>IFERROR(__xludf.DUMMYFUNCTION("GOOGLETRANSLATE(C957, ""en"", ""es"")"),"petunia")</f>
        <v>petunia</v>
      </c>
      <c r="F957" s="8" t="str">
        <f>IFERROR(__xludf.DUMMYFUNCTION("GOOGLETRANSLATE(C957, ""en"", ""fr"")"),"pétunia")</f>
        <v>pétunia</v>
      </c>
      <c r="G957" s="8" t="str">
        <f>IFERROR(__xludf.DUMMYFUNCTION("GOOGLETRANSLATE(C957, ""en"", ""de"")"),"Petunie")</f>
        <v>Petunie</v>
      </c>
      <c r="H957" s="8" t="str">
        <f>IFERROR(__xludf.DUMMYFUNCTION("GOOGLETRANSLATE(C957, ""en"", ""ru"")"),"петуния")</f>
        <v>петуния</v>
      </c>
      <c r="I957" s="8" t="str">
        <f>IFERROR(__xludf.DUMMYFUNCTION("GOOGLETRANSLATE(C957, ""en"", ""ar"")"),"بتونيا")</f>
        <v>بتونيا</v>
      </c>
      <c r="J957" s="8"/>
      <c r="K957" s="7" t="str">
        <f>IFERROR(__xludf.DUMMYFUNCTION("CONCAT(REGEXREPLACE(C957,""[ ,]+"",""_""),"".mp3"")"),"petunia.mp3")</f>
        <v>petunia.mp3</v>
      </c>
      <c r="M957" s="4" t="s">
        <v>10</v>
      </c>
    </row>
    <row r="958" ht="15.75" customHeight="1">
      <c r="A958" s="1">
        <v>2326.0</v>
      </c>
      <c r="B958" s="3">
        <v>148.0</v>
      </c>
      <c r="C958" s="7" t="s">
        <v>985</v>
      </c>
      <c r="D958" s="8" t="str">
        <f>IFERROR(__xludf.DUMMYFUNCTION("GOOGLETRANSLATE(C958, ""en"", ""pt"")"),"narciso")</f>
        <v>narciso</v>
      </c>
      <c r="E958" s="8" t="str">
        <f>IFERROR(__xludf.DUMMYFUNCTION("GOOGLETRANSLATE(C958, ""en"", ""es"")"),"narciso")</f>
        <v>narciso</v>
      </c>
      <c r="F958" s="8" t="str">
        <f>IFERROR(__xludf.DUMMYFUNCTION("GOOGLETRANSLATE(C958, ""en"", ""fr"")"),"jonquille")</f>
        <v>jonquille</v>
      </c>
      <c r="G958" s="8" t="str">
        <f>IFERROR(__xludf.DUMMYFUNCTION("GOOGLETRANSLATE(C958, ""en"", ""de"")"),"Narzisse")</f>
        <v>Narzisse</v>
      </c>
      <c r="H958" s="8" t="str">
        <f>IFERROR(__xludf.DUMMYFUNCTION("GOOGLETRANSLATE(C958, ""en"", ""ru"")"),"нарцисс")</f>
        <v>нарцисс</v>
      </c>
      <c r="I958" s="8" t="str">
        <f>IFERROR(__xludf.DUMMYFUNCTION("GOOGLETRANSLATE(C958, ""en"", ""ar"")"),"النرجس البري")</f>
        <v>النرجس البري</v>
      </c>
      <c r="J958" s="8"/>
      <c r="K958" s="7" t="str">
        <f>IFERROR(__xludf.DUMMYFUNCTION("CONCAT(REGEXREPLACE(C958,""[ ,]+"",""_""),"".mp3"")"),"daffodil.mp3")</f>
        <v>daffodil.mp3</v>
      </c>
      <c r="M958" s="4" t="s">
        <v>10</v>
      </c>
    </row>
    <row r="959" ht="15.75" customHeight="1">
      <c r="A959" s="1">
        <v>2327.0</v>
      </c>
      <c r="B959" s="3">
        <v>148.0</v>
      </c>
      <c r="C959" s="7" t="s">
        <v>986</v>
      </c>
      <c r="D959" s="8" t="str">
        <f>IFERROR(__xludf.DUMMYFUNCTION("GOOGLETRANSLATE(C959, ""en"", ""pt"")"),"gota de neve")</f>
        <v>gota de neve</v>
      </c>
      <c r="E959" s="8" t="str">
        <f>IFERROR(__xludf.DUMMYFUNCTION("GOOGLETRANSLATE(C959, ""en"", ""es"")"),"campanilla de febrero")</f>
        <v>campanilla de febrero</v>
      </c>
      <c r="F959" s="8" t="str">
        <f>IFERROR(__xludf.DUMMYFUNCTION("GOOGLETRANSLATE(C959, ""en"", ""fr"")"),"perce-neige")</f>
        <v>perce-neige</v>
      </c>
      <c r="G959" s="8" t="str">
        <f>IFERROR(__xludf.DUMMYFUNCTION("GOOGLETRANSLATE(C959, ""en"", ""de"")"),"Schneeglöckchen")</f>
        <v>Schneeglöckchen</v>
      </c>
      <c r="H959" s="8" t="str">
        <f>IFERROR(__xludf.DUMMYFUNCTION("GOOGLETRANSLATE(C959, ""en"", ""ru"")"),"подснежник")</f>
        <v>подснежник</v>
      </c>
      <c r="I959" s="8" t="str">
        <f>IFERROR(__xludf.DUMMYFUNCTION("GOOGLETRANSLATE(C959, ""en"", ""ar"")"),"زهرة الثلج")</f>
        <v>زهرة الثلج</v>
      </c>
      <c r="J959" s="8"/>
      <c r="K959" s="7" t="str">
        <f>IFERROR(__xludf.DUMMYFUNCTION("CONCAT(REGEXREPLACE(C959,""[ ,]+"",""_""),"".mp3"")"),"snowdrop.mp3")</f>
        <v>snowdrop.mp3</v>
      </c>
      <c r="M959" s="4" t="s">
        <v>10</v>
      </c>
    </row>
    <row r="960" ht="15.75" customHeight="1">
      <c r="A960" s="1">
        <v>2328.0</v>
      </c>
      <c r="B960" s="3">
        <v>148.0</v>
      </c>
      <c r="C960" s="7" t="s">
        <v>987</v>
      </c>
      <c r="D960" s="8" t="str">
        <f>IFERROR(__xludf.DUMMYFUNCTION("GOOGLETRANSLATE(C960, ""en"", ""pt"")"),"campânula")</f>
        <v>campânula</v>
      </c>
      <c r="E960" s="8" t="str">
        <f>IFERROR(__xludf.DUMMYFUNCTION("GOOGLETRANSLATE(C960, ""en"", ""es"")"),"campanilla")</f>
        <v>campanilla</v>
      </c>
      <c r="F960" s="8" t="str">
        <f>IFERROR(__xludf.DUMMYFUNCTION("GOOGLETRANSLATE(C960, ""en"", ""fr"")"),"jacinthe des bois")</f>
        <v>jacinthe des bois</v>
      </c>
      <c r="G960" s="8" t="str">
        <f>IFERROR(__xludf.DUMMYFUNCTION("GOOGLETRANSLATE(C960, ""en"", ""de"")"),"Glockenblume")</f>
        <v>Glockenblume</v>
      </c>
      <c r="H960" s="8" t="str">
        <f>IFERROR(__xludf.DUMMYFUNCTION("GOOGLETRANSLATE(C960, ""en"", ""ru"")"),"колокольчик")</f>
        <v>колокольчик</v>
      </c>
      <c r="I960" s="8" t="str">
        <f>IFERROR(__xludf.DUMMYFUNCTION("GOOGLETRANSLATE(C960, ""en"", ""ar"")"),"الجريس عشبة نباتية")</f>
        <v>الجريس عشبة نباتية</v>
      </c>
      <c r="J960" s="8"/>
      <c r="K960" s="7" t="str">
        <f>IFERROR(__xludf.DUMMYFUNCTION("CONCAT(REGEXREPLACE(C960,""[ ,]+"",""_""),"".mp3"")"),"bluebell.mp3")</f>
        <v>bluebell.mp3</v>
      </c>
      <c r="M960" s="4" t="s">
        <v>10</v>
      </c>
    </row>
    <row r="961" ht="15.75" customHeight="1">
      <c r="A961" s="1">
        <v>2329.0</v>
      </c>
      <c r="B961" s="3">
        <v>148.0</v>
      </c>
      <c r="C961" s="7" t="s">
        <v>988</v>
      </c>
      <c r="D961" s="8" t="str">
        <f>IFERROR(__xludf.DUMMYFUNCTION("GOOGLETRANSLATE(C961, ""en"", ""pt"")"),"botão-de-ouro")</f>
        <v>botão-de-ouro</v>
      </c>
      <c r="E961" s="8" t="str">
        <f>IFERROR(__xludf.DUMMYFUNCTION("GOOGLETRANSLATE(C961, ""en"", ""es"")"),"botón de oro")</f>
        <v>botón de oro</v>
      </c>
      <c r="F961" s="8" t="str">
        <f>IFERROR(__xludf.DUMMYFUNCTION("GOOGLETRANSLATE(C961, ""en"", ""fr"")"),"bouton d'or")</f>
        <v>bouton d'or</v>
      </c>
      <c r="G961" s="8" t="str">
        <f>IFERROR(__xludf.DUMMYFUNCTION("GOOGLETRANSLATE(C961, ""en"", ""de"")"),"Butterblume")</f>
        <v>Butterblume</v>
      </c>
      <c r="H961" s="8" t="str">
        <f>IFERROR(__xludf.DUMMYFUNCTION("GOOGLETRANSLATE(C961, ""en"", ""ru"")"),"лютик")</f>
        <v>лютик</v>
      </c>
      <c r="I961" s="8" t="str">
        <f>IFERROR(__xludf.DUMMYFUNCTION("GOOGLETRANSLATE(C961, ""en"", ""ar"")"),"الحوذان")</f>
        <v>الحوذان</v>
      </c>
      <c r="J961" s="8"/>
      <c r="K961" s="7" t="str">
        <f>IFERROR(__xludf.DUMMYFUNCTION("CONCAT(REGEXREPLACE(C961,""[ ,]+"",""_""),"".mp3"")"),"buttercup.mp3")</f>
        <v>buttercup.mp3</v>
      </c>
      <c r="M961" s="4" t="s">
        <v>10</v>
      </c>
    </row>
    <row r="962" ht="15.75" customHeight="1">
      <c r="A962" s="1">
        <v>2330.0</v>
      </c>
      <c r="B962" s="3">
        <v>148.0</v>
      </c>
      <c r="C962" s="7" t="s">
        <v>989</v>
      </c>
      <c r="D962" s="8" t="str">
        <f>IFERROR(__xludf.DUMMYFUNCTION("GOOGLETRANSLATE(C962, ""en"", ""pt"")"),"dente-de-leão")</f>
        <v>dente-de-leão</v>
      </c>
      <c r="E962" s="8" t="str">
        <f>IFERROR(__xludf.DUMMYFUNCTION("GOOGLETRANSLATE(C962, ""en"", ""es"")"),"diente de león")</f>
        <v>diente de león</v>
      </c>
      <c r="F962" s="8" t="str">
        <f>IFERROR(__xludf.DUMMYFUNCTION("GOOGLETRANSLATE(C962, ""en"", ""fr"")"),"pissenlit")</f>
        <v>pissenlit</v>
      </c>
      <c r="G962" s="8" t="str">
        <f>IFERROR(__xludf.DUMMYFUNCTION("GOOGLETRANSLATE(C962, ""en"", ""de"")"),"Löwenzahn")</f>
        <v>Löwenzahn</v>
      </c>
      <c r="H962" s="8" t="str">
        <f>IFERROR(__xludf.DUMMYFUNCTION("GOOGLETRANSLATE(C962, ""en"", ""ru"")"),"одуванчик")</f>
        <v>одуванчик</v>
      </c>
      <c r="I962" s="8" t="str">
        <f>IFERROR(__xludf.DUMMYFUNCTION("GOOGLETRANSLATE(C962, ""en"", ""ar"")"),"الهندباء")</f>
        <v>الهندباء</v>
      </c>
      <c r="J962" s="8"/>
      <c r="K962" s="7" t="str">
        <f>IFERROR(__xludf.DUMMYFUNCTION("CONCAT(REGEXREPLACE(C962,""[ ,]+"",""_""),"".mp3"")"),"dandelion.mp3")</f>
        <v>dandelion.mp3</v>
      </c>
      <c r="M962" s="4" t="s">
        <v>10</v>
      </c>
    </row>
    <row r="963" ht="15.75" customHeight="1">
      <c r="A963" s="1">
        <v>2331.0</v>
      </c>
      <c r="B963" s="3">
        <v>148.0</v>
      </c>
      <c r="C963" s="7" t="s">
        <v>990</v>
      </c>
      <c r="D963" s="8" t="str">
        <f>IFERROR(__xludf.DUMMYFUNCTION("GOOGLETRANSLATE(C963, ""en"", ""pt"")"),"prímula")</f>
        <v>prímula</v>
      </c>
      <c r="E963" s="8" t="str">
        <f>IFERROR(__xludf.DUMMYFUNCTION("GOOGLETRANSLATE(C963, ""en"", ""es"")"),"primavera")</f>
        <v>primavera</v>
      </c>
      <c r="F963" s="8" t="str">
        <f>IFERROR(__xludf.DUMMYFUNCTION("GOOGLETRANSLATE(C963, ""en"", ""fr"")"),"primevère")</f>
        <v>primevère</v>
      </c>
      <c r="G963" s="8" t="str">
        <f>IFERROR(__xludf.DUMMYFUNCTION("GOOGLETRANSLATE(C963, ""en"", ""de"")"),"Primel")</f>
        <v>Primel</v>
      </c>
      <c r="H963" s="8" t="str">
        <f>IFERROR(__xludf.DUMMYFUNCTION("GOOGLETRANSLATE(C963, ""en"", ""ru"")"),"примула")</f>
        <v>примула</v>
      </c>
      <c r="I963" s="8" t="str">
        <f>IFERROR(__xludf.DUMMYFUNCTION("GOOGLETRANSLATE(C963, ""en"", ""ar"")"),"زهرة الربيع")</f>
        <v>زهرة الربيع</v>
      </c>
      <c r="J963" s="8"/>
      <c r="K963" s="7" t="str">
        <f>IFERROR(__xludf.DUMMYFUNCTION("CONCAT(REGEXREPLACE(C963,""[ ,]+"",""_""),"".mp3"")"),"primrose.mp3")</f>
        <v>primrose.mp3</v>
      </c>
      <c r="M963" s="4" t="s">
        <v>10</v>
      </c>
    </row>
    <row r="964" ht="15.75" customHeight="1">
      <c r="A964" s="1">
        <v>2332.0</v>
      </c>
      <c r="B964" s="3">
        <v>148.0</v>
      </c>
      <c r="C964" s="7" t="s">
        <v>991</v>
      </c>
      <c r="D964" s="8" t="str">
        <f>IFERROR(__xludf.DUMMYFUNCTION("GOOGLETRANSLATE(C964, ""en"", ""pt"")"),"açafrão")</f>
        <v>açafrão</v>
      </c>
      <c r="E964" s="8" t="str">
        <f>IFERROR(__xludf.DUMMYFUNCTION("GOOGLETRANSLATE(C964, ""en"", ""es"")"),"azafrán")</f>
        <v>azafrán</v>
      </c>
      <c r="F964" s="8" t="str">
        <f>IFERROR(__xludf.DUMMYFUNCTION("GOOGLETRANSLATE(C964, ""en"", ""fr"")"),"crocus")</f>
        <v>crocus</v>
      </c>
      <c r="G964" s="8" t="str">
        <f>IFERROR(__xludf.DUMMYFUNCTION("GOOGLETRANSLATE(C964, ""en"", ""de"")"),"Krokus")</f>
        <v>Krokus</v>
      </c>
      <c r="H964" s="8" t="str">
        <f>IFERROR(__xludf.DUMMYFUNCTION("GOOGLETRANSLATE(C964, ""en"", ""ru"")"),"крокус")</f>
        <v>крокус</v>
      </c>
      <c r="I964" s="8" t="str">
        <f>IFERROR(__xludf.DUMMYFUNCTION("GOOGLETRANSLATE(C964, ""en"", ""ar"")"),"زعفران")</f>
        <v>زعفران</v>
      </c>
      <c r="J964" s="8"/>
      <c r="K964" s="7" t="str">
        <f>IFERROR(__xludf.DUMMYFUNCTION("CONCAT(REGEXREPLACE(C964,""[ ,]+"",""_""),"".mp3"")"),"crocus.mp3")</f>
        <v>crocus.mp3</v>
      </c>
      <c r="M964" s="4" t="s">
        <v>10</v>
      </c>
    </row>
    <row r="965" ht="15.75" customHeight="1">
      <c r="A965" s="1">
        <v>2333.0</v>
      </c>
      <c r="B965" s="3">
        <v>148.0</v>
      </c>
      <c r="C965" s="7" t="s">
        <v>992</v>
      </c>
      <c r="D965" s="8" t="str">
        <f>IFERROR(__xludf.DUMMYFUNCTION("GOOGLETRANSLATE(C965, ""en"", ""pt"")"),"dedaleira")</f>
        <v>dedaleira</v>
      </c>
      <c r="E965" s="8" t="str">
        <f>IFERROR(__xludf.DUMMYFUNCTION("GOOGLETRANSLATE(C965, ""en"", ""es"")"),"dedalera")</f>
        <v>dedalera</v>
      </c>
      <c r="F965" s="8" t="str">
        <f>IFERROR(__xludf.DUMMYFUNCTION("GOOGLETRANSLATE(C965, ""en"", ""fr"")"),"digitale pourprée")</f>
        <v>digitale pourprée</v>
      </c>
      <c r="G965" s="8" t="str">
        <f>IFERROR(__xludf.DUMMYFUNCTION("GOOGLETRANSLATE(C965, ""en"", ""de"")"),"Fingerhut")</f>
        <v>Fingerhut</v>
      </c>
      <c r="H965" s="8" t="str">
        <f>IFERROR(__xludf.DUMMYFUNCTION("GOOGLETRANSLATE(C965, ""en"", ""ru"")"),"наперстянка")</f>
        <v>наперстянка</v>
      </c>
      <c r="I965" s="8" t="str">
        <f>IFERROR(__xludf.DUMMYFUNCTION("GOOGLETRANSLATE(C965, ""en"", ""ar"")"),"قفاز الثعلب")</f>
        <v>قفاز الثعلب</v>
      </c>
      <c r="J965" s="8"/>
      <c r="K965" s="7" t="str">
        <f>IFERROR(__xludf.DUMMYFUNCTION("CONCAT(REGEXREPLACE(C965,""[ ,]+"",""_""),"".mp3"")"),"foxglove.mp3")</f>
        <v>foxglove.mp3</v>
      </c>
      <c r="M965" s="4" t="s">
        <v>10</v>
      </c>
    </row>
    <row r="966" ht="15.75" customHeight="1">
      <c r="A966" s="1">
        <v>2334.0</v>
      </c>
      <c r="B966" s="3">
        <v>148.0</v>
      </c>
      <c r="C966" s="7" t="s">
        <v>993</v>
      </c>
      <c r="D966" s="8" t="str">
        <f>IFERROR(__xludf.DUMMYFUNCTION("GOOGLETRANSLATE(C966, ""en"", ""pt"")"),"jasmim")</f>
        <v>jasmim</v>
      </c>
      <c r="E966" s="8" t="str">
        <f>IFERROR(__xludf.DUMMYFUNCTION("GOOGLETRANSLATE(C966, ""en"", ""es"")"),"jazmín")</f>
        <v>jazmín</v>
      </c>
      <c r="F966" s="8" t="str">
        <f>IFERROR(__xludf.DUMMYFUNCTION("GOOGLETRANSLATE(C966, ""en"", ""fr"")"),"jasmin")</f>
        <v>jasmin</v>
      </c>
      <c r="G966" s="8" t="str">
        <f>IFERROR(__xludf.DUMMYFUNCTION("GOOGLETRANSLATE(C966, ""en"", ""de"")"),"Jasmin")</f>
        <v>Jasmin</v>
      </c>
      <c r="H966" s="8" t="str">
        <f>IFERROR(__xludf.DUMMYFUNCTION("GOOGLETRANSLATE(C966, ""en"", ""ru"")"),"жасмин")</f>
        <v>жасмин</v>
      </c>
      <c r="I966" s="8" t="str">
        <f>IFERROR(__xludf.DUMMYFUNCTION("GOOGLETRANSLATE(C966, ""en"", ""ar"")"),"الياسمين")</f>
        <v>الياسمين</v>
      </c>
      <c r="J966" s="8"/>
      <c r="K966" s="7" t="str">
        <f>IFERROR(__xludf.DUMMYFUNCTION("CONCAT(REGEXREPLACE(C966,""[ ,]+"",""_""),"".mp3"")"),"jasmine.mp3")</f>
        <v>jasmine.mp3</v>
      </c>
      <c r="M966" s="4" t="s">
        <v>10</v>
      </c>
    </row>
    <row r="967" ht="15.75" customHeight="1">
      <c r="A967" s="1">
        <v>2335.0</v>
      </c>
      <c r="B967" s="3">
        <v>148.0</v>
      </c>
      <c r="C967" s="7" t="s">
        <v>994</v>
      </c>
      <c r="D967" s="8" t="str">
        <f>IFERROR(__xludf.DUMMYFUNCTION("GOOGLETRANSLATE(C967, ""en"", ""pt"")"),"lavanda")</f>
        <v>lavanda</v>
      </c>
      <c r="E967" s="8" t="str">
        <f>IFERROR(__xludf.DUMMYFUNCTION("GOOGLETRANSLATE(C967, ""en"", ""es"")"),"lavanda")</f>
        <v>lavanda</v>
      </c>
      <c r="F967" s="8" t="str">
        <f>IFERROR(__xludf.DUMMYFUNCTION("GOOGLETRANSLATE(C967, ""en"", ""fr"")"),"lavande")</f>
        <v>lavande</v>
      </c>
      <c r="G967" s="8" t="str">
        <f>IFERROR(__xludf.DUMMYFUNCTION("GOOGLETRANSLATE(C967, ""en"", ""de"")"),"Lavendel")</f>
        <v>Lavendel</v>
      </c>
      <c r="H967" s="8" t="str">
        <f>IFERROR(__xludf.DUMMYFUNCTION("GOOGLETRANSLATE(C967, ""en"", ""ru"")"),"лаванда")</f>
        <v>лаванда</v>
      </c>
      <c r="I967" s="8" t="str">
        <f>IFERROR(__xludf.DUMMYFUNCTION("GOOGLETRANSLATE(C967, ""en"", ""ar"")"),"الخزامى")</f>
        <v>الخزامى</v>
      </c>
      <c r="J967" s="8"/>
      <c r="K967" s="7" t="str">
        <f>IFERROR(__xludf.DUMMYFUNCTION("CONCAT(REGEXREPLACE(C967,""[ ,]+"",""_""),"".mp3"")"),"lavender.mp3")</f>
        <v>lavender.mp3</v>
      </c>
      <c r="M967" s="4" t="s">
        <v>10</v>
      </c>
    </row>
    <row r="968" ht="15.75" customHeight="1">
      <c r="A968" s="1">
        <v>2336.0</v>
      </c>
      <c r="B968" s="3">
        <v>148.0</v>
      </c>
      <c r="C968" s="7" t="s">
        <v>995</v>
      </c>
      <c r="D968" s="8" t="str">
        <f>IFERROR(__xludf.DUMMYFUNCTION("GOOGLETRANSLATE(C968, ""en"", ""pt"")"),"lilás")</f>
        <v>lilás</v>
      </c>
      <c r="E968" s="8" t="str">
        <f>IFERROR(__xludf.DUMMYFUNCTION("GOOGLETRANSLATE(C968, ""en"", ""es"")"),"lila")</f>
        <v>lila</v>
      </c>
      <c r="F968" s="8" t="str">
        <f>IFERROR(__xludf.DUMMYFUNCTION("GOOGLETRANSLATE(C968, ""en"", ""fr"")"),"lilas")</f>
        <v>lilas</v>
      </c>
      <c r="G968" s="8" t="str">
        <f>IFERROR(__xludf.DUMMYFUNCTION("GOOGLETRANSLATE(C968, ""en"", ""de"")"),"lila")</f>
        <v>lila</v>
      </c>
      <c r="H968" s="8" t="str">
        <f>IFERROR(__xludf.DUMMYFUNCTION("GOOGLETRANSLATE(C968, ""en"", ""ru"")"),"сиреневый")</f>
        <v>сиреневый</v>
      </c>
      <c r="I968" s="8" t="str">
        <f>IFERROR(__xludf.DUMMYFUNCTION("GOOGLETRANSLATE(C968, ""en"", ""ar"")"),"أرجواني")</f>
        <v>أرجواني</v>
      </c>
      <c r="J968" s="8"/>
      <c r="K968" s="7" t="str">
        <f>IFERROR(__xludf.DUMMYFUNCTION("CONCAT(REGEXREPLACE(C968,""[ ,]+"",""_""),"".mp3"")"),"lilac.mp3")</f>
        <v>lilac.mp3</v>
      </c>
      <c r="M968" s="4" t="s">
        <v>10</v>
      </c>
    </row>
    <row r="969" ht="15.75" customHeight="1">
      <c r="A969" s="1">
        <v>2337.0</v>
      </c>
      <c r="B969" s="3">
        <v>148.0</v>
      </c>
      <c r="C969" s="7" t="s">
        <v>996</v>
      </c>
      <c r="D969" s="8" t="str">
        <f>IFERROR(__xludf.DUMMYFUNCTION("GOOGLETRANSLATE(C969, ""en"", ""pt"")"),"magnólia")</f>
        <v>magnólia</v>
      </c>
      <c r="E969" s="8" t="str">
        <f>IFERROR(__xludf.DUMMYFUNCTION("GOOGLETRANSLATE(C969, ""en"", ""es"")"),"magnolia")</f>
        <v>magnolia</v>
      </c>
      <c r="F969" s="8" t="str">
        <f>IFERROR(__xludf.DUMMYFUNCTION("GOOGLETRANSLATE(C969, ""en"", ""fr"")"),"magnolia")</f>
        <v>magnolia</v>
      </c>
      <c r="G969" s="8" t="str">
        <f>IFERROR(__xludf.DUMMYFUNCTION("GOOGLETRANSLATE(C969, ""en"", ""de"")"),"Magnolie")</f>
        <v>Magnolie</v>
      </c>
      <c r="H969" s="8" t="str">
        <f>IFERROR(__xludf.DUMMYFUNCTION("GOOGLETRANSLATE(C969, ""en"", ""ru"")"),"магнолия")</f>
        <v>магнолия</v>
      </c>
      <c r="I969" s="8" t="str">
        <f>IFERROR(__xludf.DUMMYFUNCTION("GOOGLETRANSLATE(C969, ""en"", ""ar"")"),"ماغنوليا")</f>
        <v>ماغنوليا</v>
      </c>
      <c r="J969" s="8"/>
      <c r="K969" s="7" t="str">
        <f>IFERROR(__xludf.DUMMYFUNCTION("CONCAT(REGEXREPLACE(C969,""[ ,]+"",""_""),"".mp3"")"),"magnolia.mp3")</f>
        <v>magnolia.mp3</v>
      </c>
      <c r="M969" s="4" t="s">
        <v>10</v>
      </c>
    </row>
    <row r="970" ht="15.75" customHeight="1">
      <c r="A970" s="1">
        <v>2338.0</v>
      </c>
      <c r="B970" s="3">
        <v>148.0</v>
      </c>
      <c r="C970" s="7" t="s">
        <v>997</v>
      </c>
      <c r="D970" s="8" t="str">
        <f>IFERROR(__xludf.DUMMYFUNCTION("GOOGLETRANSLATE(C970, ""en"", ""pt"")"),"jacinto")</f>
        <v>jacinto</v>
      </c>
      <c r="E970" s="8" t="str">
        <f>IFERROR(__xludf.DUMMYFUNCTION("GOOGLETRANSLATE(C970, ""en"", ""es"")"),"jacinto")</f>
        <v>jacinto</v>
      </c>
      <c r="F970" s="8" t="str">
        <f>IFERROR(__xludf.DUMMYFUNCTION("GOOGLETRANSLATE(C970, ""en"", ""fr"")"),"jacinthe")</f>
        <v>jacinthe</v>
      </c>
      <c r="G970" s="8" t="str">
        <f>IFERROR(__xludf.DUMMYFUNCTION("GOOGLETRANSLATE(C970, ""en"", ""de"")"),"Hyazinthe")</f>
        <v>Hyazinthe</v>
      </c>
      <c r="H970" s="8" t="str">
        <f>IFERROR(__xludf.DUMMYFUNCTION("GOOGLETRANSLATE(C970, ""en"", ""ru"")"),"гиацинт")</f>
        <v>гиацинт</v>
      </c>
      <c r="I970" s="8" t="str">
        <f>IFERROR(__xludf.DUMMYFUNCTION("GOOGLETRANSLATE(C970, ""en"", ""ar"")"),"زهرة الياقوتية")</f>
        <v>زهرة الياقوتية</v>
      </c>
      <c r="J970" s="8"/>
      <c r="K970" s="7" t="str">
        <f>IFERROR(__xludf.DUMMYFUNCTION("CONCAT(REGEXREPLACE(C970,""[ ,]+"",""_""),"".mp3"")"),"hyacinth.mp3")</f>
        <v>hyacinth.mp3</v>
      </c>
      <c r="M970" s="4" t="s">
        <v>10</v>
      </c>
    </row>
    <row r="971" ht="15.75" customHeight="1">
      <c r="A971" s="1">
        <v>2339.0</v>
      </c>
      <c r="B971" s="3">
        <v>148.0</v>
      </c>
      <c r="C971" s="7" t="s">
        <v>998</v>
      </c>
      <c r="D971" s="8" t="str">
        <f>IFERROR(__xludf.DUMMYFUNCTION("GOOGLETRANSLATE(C971, ""en"", ""pt"")"),"madressilva")</f>
        <v>madressilva</v>
      </c>
      <c r="E971" s="8" t="str">
        <f>IFERROR(__xludf.DUMMYFUNCTION("GOOGLETRANSLATE(C971, ""en"", ""es"")"),"madreselva")</f>
        <v>madreselva</v>
      </c>
      <c r="F971" s="8" t="str">
        <f>IFERROR(__xludf.DUMMYFUNCTION("GOOGLETRANSLATE(C971, ""en"", ""fr"")"),"chèvrefeuille")</f>
        <v>chèvrefeuille</v>
      </c>
      <c r="G971" s="8" t="str">
        <f>IFERROR(__xludf.DUMMYFUNCTION("GOOGLETRANSLATE(C971, ""en"", ""de"")"),"Geißblatt")</f>
        <v>Geißblatt</v>
      </c>
      <c r="H971" s="8" t="str">
        <f>IFERROR(__xludf.DUMMYFUNCTION("GOOGLETRANSLATE(C971, ""en"", ""ru"")"),"жимолость")</f>
        <v>жимолость</v>
      </c>
      <c r="I971" s="8" t="str">
        <f>IFERROR(__xludf.DUMMYFUNCTION("GOOGLETRANSLATE(C971, ""en"", ""ar"")"),"زهر العسل")</f>
        <v>زهر العسل</v>
      </c>
      <c r="J971" s="8"/>
      <c r="K971" s="7" t="str">
        <f>IFERROR(__xludf.DUMMYFUNCTION("CONCAT(REGEXREPLACE(C971,""[ ,]+"",""_""),"".mp3"")"),"honeysuckle.mp3")</f>
        <v>honeysuckle.mp3</v>
      </c>
      <c r="M971" s="4" t="s">
        <v>10</v>
      </c>
    </row>
    <row r="972" ht="15.75" customHeight="1">
      <c r="A972" s="1">
        <v>2340.0</v>
      </c>
      <c r="B972" s="3">
        <v>148.0</v>
      </c>
      <c r="C972" s="7" t="s">
        <v>999</v>
      </c>
      <c r="D972" s="8" t="str">
        <f>IFERROR(__xludf.DUMMYFUNCTION("GOOGLETRANSLATE(C972, ""en"", ""pt"")"),"glicínia")</f>
        <v>glicínia</v>
      </c>
      <c r="E972" s="8" t="str">
        <f>IFERROR(__xludf.DUMMYFUNCTION("GOOGLETRANSLATE(C972, ""en"", ""es"")"),"glicina")</f>
        <v>glicina</v>
      </c>
      <c r="F972" s="8" t="str">
        <f>IFERROR(__xludf.DUMMYFUNCTION("GOOGLETRANSLATE(C972, ""en"", ""fr"")"),"glycine")</f>
        <v>glycine</v>
      </c>
      <c r="G972" s="8" t="str">
        <f>IFERROR(__xludf.DUMMYFUNCTION("GOOGLETRANSLATE(C972, ""en"", ""de"")"),"Glyzinie")</f>
        <v>Glyzinie</v>
      </c>
      <c r="H972" s="8" t="str">
        <f>IFERROR(__xludf.DUMMYFUNCTION("GOOGLETRANSLATE(C972, ""en"", ""ru"")"),"глициния")</f>
        <v>глициния</v>
      </c>
      <c r="I972" s="8" t="str">
        <f>IFERROR(__xludf.DUMMYFUNCTION("GOOGLETRANSLATE(C972, ""en"", ""ar"")"),"الوستارية")</f>
        <v>الوستارية</v>
      </c>
      <c r="J972" s="8"/>
      <c r="K972" s="7" t="str">
        <f>IFERROR(__xludf.DUMMYFUNCTION("CONCAT(REGEXREPLACE(C972,""[ ,]+"",""_""),"".mp3"")"),"wisteria.mp3")</f>
        <v>wisteria.mp3</v>
      </c>
      <c r="M972" s="4" t="s">
        <v>10</v>
      </c>
    </row>
    <row r="973" ht="15.75" customHeight="1">
      <c r="A973" s="1">
        <v>2341.0</v>
      </c>
      <c r="B973" s="3">
        <v>148.0</v>
      </c>
      <c r="C973" s="7" t="s">
        <v>1000</v>
      </c>
      <c r="D973" s="8" t="str">
        <f>IFERROR(__xludf.DUMMYFUNCTION("GOOGLETRANSLATE(C973, ""en"", ""pt"")"),"flor de cerejeira")</f>
        <v>flor de cerejeira</v>
      </c>
      <c r="E973" s="8" t="str">
        <f>IFERROR(__xludf.DUMMYFUNCTION("GOOGLETRANSLATE(C973, ""en"", ""es"")"),"flor de cerezo")</f>
        <v>flor de cerezo</v>
      </c>
      <c r="F973" s="8" t="str">
        <f>IFERROR(__xludf.DUMMYFUNCTION("GOOGLETRANSLATE(C973, ""en"", ""fr"")"),"fleurs de cerisier")</f>
        <v>fleurs de cerisier</v>
      </c>
      <c r="G973" s="8" t="str">
        <f>IFERROR(__xludf.DUMMYFUNCTION("GOOGLETRANSLATE(C973, ""en"", ""de"")"),"Kirschblüte")</f>
        <v>Kirschblüte</v>
      </c>
      <c r="H973" s="8" t="str">
        <f>IFERROR(__xludf.DUMMYFUNCTION("GOOGLETRANSLATE(C973, ""en"", ""ru"")"),"цветение сакуры")</f>
        <v>цветение сакуры</v>
      </c>
      <c r="I973" s="8" t="str">
        <f>IFERROR(__xludf.DUMMYFUNCTION("GOOGLETRANSLATE(C973, ""en"", ""ar"")"),"أزهار الكرز")</f>
        <v>أزهار الكرز</v>
      </c>
      <c r="J973" s="8"/>
      <c r="K973" s="7" t="str">
        <f>IFERROR(__xludf.DUMMYFUNCTION("CONCAT(REGEXREPLACE(C973,""[ ,]+"",""_""),"".mp3"")"),"cherry_blossom.mp3")</f>
        <v>cherry_blossom.mp3</v>
      </c>
      <c r="M973" s="4" t="s">
        <v>10</v>
      </c>
    </row>
    <row r="974" ht="15.75" customHeight="1">
      <c r="A974" s="1">
        <v>2342.0</v>
      </c>
      <c r="B974" s="3">
        <v>148.0</v>
      </c>
      <c r="C974" s="7" t="s">
        <v>1001</v>
      </c>
      <c r="D974" s="8" t="str">
        <f>IFERROR(__xludf.DUMMYFUNCTION("GOOGLETRANSLATE(C974, ""en"", ""pt"")"),"flor de macieira")</f>
        <v>flor de macieira</v>
      </c>
      <c r="E974" s="8" t="str">
        <f>IFERROR(__xludf.DUMMYFUNCTION("GOOGLETRANSLATE(C974, ""en"", ""es"")"),"flor de manzano")</f>
        <v>flor de manzano</v>
      </c>
      <c r="F974" s="8" t="str">
        <f>IFERROR(__xludf.DUMMYFUNCTION("GOOGLETRANSLATE(C974, ""en"", ""fr"")"),"fleur de pommier")</f>
        <v>fleur de pommier</v>
      </c>
      <c r="G974" s="8" t="str">
        <f>IFERROR(__xludf.DUMMYFUNCTION("GOOGLETRANSLATE(C974, ""en"", ""de"")"),"Apfelblüte")</f>
        <v>Apfelblüte</v>
      </c>
      <c r="H974" s="8" t="str">
        <f>IFERROR(__xludf.DUMMYFUNCTION("GOOGLETRANSLATE(C974, ""en"", ""ru"")"),"яблоневый цвет")</f>
        <v>яблоневый цвет</v>
      </c>
      <c r="I974" s="8" t="str">
        <f>IFERROR(__xludf.DUMMYFUNCTION("GOOGLETRANSLATE(C974, ""en"", ""ar"")"),"زهر التفاح")</f>
        <v>زهر التفاح</v>
      </c>
      <c r="J974" s="8"/>
      <c r="K974" s="7" t="str">
        <f>IFERROR(__xludf.DUMMYFUNCTION("CONCAT(REGEXREPLACE(C974,""[ ,]+"",""_""),"".mp3"")"),"apple_blossom.mp3")</f>
        <v>apple_blossom.mp3</v>
      </c>
      <c r="M974" s="4" t="s">
        <v>10</v>
      </c>
    </row>
    <row r="975" ht="15.75" customHeight="1">
      <c r="A975" s="1">
        <v>2343.0</v>
      </c>
      <c r="B975" s="3">
        <v>148.0</v>
      </c>
      <c r="C975" s="7" t="s">
        <v>1002</v>
      </c>
      <c r="D975" s="8" t="str">
        <f>IFERROR(__xludf.DUMMYFUNCTION("GOOGLETRANSLATE(C975, ""en"", ""pt"")"),"flor de pêssego")</f>
        <v>flor de pêssego</v>
      </c>
      <c r="E975" s="8" t="str">
        <f>IFERROR(__xludf.DUMMYFUNCTION("GOOGLETRANSLATE(C975, ""en"", ""es"")"),"flor de durazno")</f>
        <v>flor de durazno</v>
      </c>
      <c r="F975" s="8" t="str">
        <f>IFERROR(__xludf.DUMMYFUNCTION("GOOGLETRANSLATE(C975, ""en"", ""fr"")"),"fleur de pêche")</f>
        <v>fleur de pêche</v>
      </c>
      <c r="G975" s="8" t="str">
        <f>IFERROR(__xludf.DUMMYFUNCTION("GOOGLETRANSLATE(C975, ""en"", ""de"")"),"Pfirsichblüte")</f>
        <v>Pfirsichblüte</v>
      </c>
      <c r="H975" s="8" t="str">
        <f>IFERROR(__xludf.DUMMYFUNCTION("GOOGLETRANSLATE(C975, ""en"", ""ru"")"),"персиковый цвет")</f>
        <v>персиковый цвет</v>
      </c>
      <c r="I975" s="8" t="str">
        <f>IFERROR(__xludf.DUMMYFUNCTION("GOOGLETRANSLATE(C975, ""en"", ""ar"")"),"زهر الخوخ")</f>
        <v>زهر الخوخ</v>
      </c>
      <c r="J975" s="8"/>
      <c r="K975" s="7" t="str">
        <f>IFERROR(__xludf.DUMMYFUNCTION("CONCAT(REGEXREPLACE(C975,""[ ,]+"",""_""),"".mp3"")"),"peach_blossom.mp3")</f>
        <v>peach_blossom.mp3</v>
      </c>
      <c r="M975" s="4" t="s">
        <v>10</v>
      </c>
    </row>
    <row r="976" ht="15.75" customHeight="1">
      <c r="A976" s="1">
        <v>2344.0</v>
      </c>
      <c r="B976" s="3">
        <v>148.0</v>
      </c>
      <c r="C976" s="7" t="s">
        <v>1003</v>
      </c>
      <c r="D976" s="8" t="str">
        <f>IFERROR(__xludf.DUMMYFUNCTION("GOOGLETRANSLATE(C976, ""en"", ""pt"")"),"flor de magnólia")</f>
        <v>flor de magnólia</v>
      </c>
      <c r="E976" s="8" t="str">
        <f>IFERROR(__xludf.DUMMYFUNCTION("GOOGLETRANSLATE(C976, ""en"", ""es"")"),"flor de magnolia")</f>
        <v>flor de magnolia</v>
      </c>
      <c r="F976" s="8" t="str">
        <f>IFERROR(__xludf.DUMMYFUNCTION("GOOGLETRANSLATE(C976, ""en"", ""fr"")"),"fleur de magnolia")</f>
        <v>fleur de magnolia</v>
      </c>
      <c r="G976" s="8" t="str">
        <f>IFERROR(__xludf.DUMMYFUNCTION("GOOGLETRANSLATE(C976, ""en"", ""de"")"),"Magnolienblüte")</f>
        <v>Magnolienblüte</v>
      </c>
      <c r="H976" s="8" t="str">
        <f>IFERROR(__xludf.DUMMYFUNCTION("GOOGLETRANSLATE(C976, ""en"", ""ru"")"),"цветок магнолии")</f>
        <v>цветок магнолии</v>
      </c>
      <c r="I976" s="8" t="str">
        <f>IFERROR(__xludf.DUMMYFUNCTION("GOOGLETRANSLATE(C976, ""en"", ""ar"")"),"زهرة الماغنوليا")</f>
        <v>زهرة الماغنوليا</v>
      </c>
      <c r="J976" s="8"/>
      <c r="K976" s="7" t="str">
        <f>IFERROR(__xludf.DUMMYFUNCTION("CONCAT(REGEXREPLACE(C976,""[ ,]+"",""_""),"".mp3"")"),"magnolia_flower.mp3")</f>
        <v>magnolia_flower.mp3</v>
      </c>
      <c r="M976" s="4" t="s">
        <v>10</v>
      </c>
    </row>
    <row r="977" ht="15.75" customHeight="1">
      <c r="A977" s="1">
        <v>2345.0</v>
      </c>
      <c r="B977" s="3">
        <v>148.0</v>
      </c>
      <c r="C977" s="7" t="s">
        <v>1004</v>
      </c>
      <c r="D977" s="8" t="str">
        <f>IFERROR(__xludf.DUMMYFUNCTION("GOOGLETRANSLATE(C977, ""en"", ""pt"")"),"flor de corniso")</f>
        <v>flor de corniso</v>
      </c>
      <c r="E977" s="8" t="str">
        <f>IFERROR(__xludf.DUMMYFUNCTION("GOOGLETRANSLATE(C977, ""en"", ""es"")"),"flor de cornejo")</f>
        <v>flor de cornejo</v>
      </c>
      <c r="F977" s="8" t="str">
        <f>IFERROR(__xludf.DUMMYFUNCTION("GOOGLETRANSLATE(C977, ""en"", ""fr"")"),"fleur de cornouiller")</f>
        <v>fleur de cornouiller</v>
      </c>
      <c r="G977" s="8" t="str">
        <f>IFERROR(__xludf.DUMMYFUNCTION("GOOGLETRANSLATE(C977, ""en"", ""de"")"),"Hartriegelblüte")</f>
        <v>Hartriegelblüte</v>
      </c>
      <c r="H977" s="8" t="str">
        <f>IFERROR(__xludf.DUMMYFUNCTION("GOOGLETRANSLATE(C977, ""en"", ""ru"")"),"цветок кизила")</f>
        <v>цветок кизила</v>
      </c>
      <c r="I977" s="8" t="str">
        <f>IFERROR(__xludf.DUMMYFUNCTION("GOOGLETRANSLATE(C977, ""en"", ""ar"")"),"زهرة شجرة الكورنيل")</f>
        <v>زهرة شجرة الكورنيل</v>
      </c>
      <c r="J977" s="8"/>
      <c r="K977" s="7" t="str">
        <f>IFERROR(__xludf.DUMMYFUNCTION("CONCAT(REGEXREPLACE(C977,""[ ,]+"",""_""),"".mp3"")"),"dogwood_flower.mp3")</f>
        <v>dogwood_flower.mp3</v>
      </c>
      <c r="M977" s="4" t="s">
        <v>10</v>
      </c>
    </row>
    <row r="978" ht="15.75" customHeight="1">
      <c r="A978" s="1">
        <v>2346.0</v>
      </c>
      <c r="B978" s="3">
        <v>149.0</v>
      </c>
      <c r="C978" s="7" t="s">
        <v>1005</v>
      </c>
      <c r="D978" s="8" t="str">
        <f>IFERROR(__xludf.DUMMYFUNCTION("GOOGLETRANSLATE(C978, ""en"", ""pt"")"),"manjericão")</f>
        <v>manjericão</v>
      </c>
      <c r="E978" s="8" t="str">
        <f>IFERROR(__xludf.DUMMYFUNCTION("GOOGLETRANSLATE(C978, ""en"", ""es"")"),"albahaca")</f>
        <v>albahaca</v>
      </c>
      <c r="F978" s="8" t="str">
        <f>IFERROR(__xludf.DUMMYFUNCTION("GOOGLETRANSLATE(C978, ""en"", ""fr"")"),"basilic")</f>
        <v>basilic</v>
      </c>
      <c r="G978" s="8" t="str">
        <f>IFERROR(__xludf.DUMMYFUNCTION("GOOGLETRANSLATE(C978, ""en"", ""de"")"),"Basilikum")</f>
        <v>Basilikum</v>
      </c>
      <c r="H978" s="8" t="str">
        <f>IFERROR(__xludf.DUMMYFUNCTION("GOOGLETRANSLATE(C978, ""en"", ""ru"")"),"базилик")</f>
        <v>базилик</v>
      </c>
      <c r="I978" s="8" t="str">
        <f>IFERROR(__xludf.DUMMYFUNCTION("GOOGLETRANSLATE(C978, ""en"", ""ar"")"),"رَيحان")</f>
        <v>رَيحان</v>
      </c>
      <c r="J978" s="8"/>
      <c r="K978" s="7" t="str">
        <f>IFERROR(__xludf.DUMMYFUNCTION("CONCAT(REGEXREPLACE(C978,""[ ,]+"",""_""),"".mp3"")"),"basil.mp3")</f>
        <v>basil.mp3</v>
      </c>
      <c r="M978" s="4" t="s">
        <v>10</v>
      </c>
    </row>
    <row r="979" ht="15.75" customHeight="1">
      <c r="A979" s="1">
        <v>2347.0</v>
      </c>
      <c r="B979" s="3">
        <v>149.0</v>
      </c>
      <c r="C979" s="7" t="s">
        <v>1006</v>
      </c>
      <c r="D979" s="8" t="str">
        <f>IFERROR(__xludf.DUMMYFUNCTION("GOOGLETRANSLATE(C979, ""en"", ""pt"")"),"salsinha")</f>
        <v>salsinha</v>
      </c>
      <c r="E979" s="8" t="str">
        <f>IFERROR(__xludf.DUMMYFUNCTION("GOOGLETRANSLATE(C979, ""en"", ""es"")"),"perejil")</f>
        <v>perejil</v>
      </c>
      <c r="F979" s="8" t="str">
        <f>IFERROR(__xludf.DUMMYFUNCTION("GOOGLETRANSLATE(C979, ""en"", ""fr"")"),"persil")</f>
        <v>persil</v>
      </c>
      <c r="G979" s="8" t="str">
        <f>IFERROR(__xludf.DUMMYFUNCTION("GOOGLETRANSLATE(C979, ""en"", ""de"")"),"Petersilie")</f>
        <v>Petersilie</v>
      </c>
      <c r="H979" s="8" t="str">
        <f>IFERROR(__xludf.DUMMYFUNCTION("GOOGLETRANSLATE(C979, ""en"", ""ru"")"),"петрушка")</f>
        <v>петрушка</v>
      </c>
      <c r="I979" s="8" t="str">
        <f>IFERROR(__xludf.DUMMYFUNCTION("GOOGLETRANSLATE(C979, ""en"", ""ar"")"),"بَقدونس")</f>
        <v>بَقدونس</v>
      </c>
      <c r="J979" s="8"/>
      <c r="K979" s="7" t="str">
        <f>IFERROR(__xludf.DUMMYFUNCTION("CONCAT(REGEXREPLACE(C979,""[ ,]+"",""_""),"".mp3"")"),"parsley.mp3")</f>
        <v>parsley.mp3</v>
      </c>
      <c r="M979" s="4" t="s">
        <v>10</v>
      </c>
    </row>
    <row r="980" ht="15.75" customHeight="1">
      <c r="A980" s="1">
        <v>2348.0</v>
      </c>
      <c r="B980" s="3">
        <v>149.0</v>
      </c>
      <c r="C980" s="7" t="s">
        <v>1007</v>
      </c>
      <c r="D980" s="8" t="str">
        <f>IFERROR(__xludf.DUMMYFUNCTION("GOOGLETRANSLATE(C980, ""en"", ""pt"")"),"hortelã")</f>
        <v>hortelã</v>
      </c>
      <c r="E980" s="8" t="str">
        <f>IFERROR(__xludf.DUMMYFUNCTION("GOOGLETRANSLATE(C980, ""en"", ""es"")"),"menta")</f>
        <v>menta</v>
      </c>
      <c r="F980" s="8" t="str">
        <f>IFERROR(__xludf.DUMMYFUNCTION("GOOGLETRANSLATE(C980, ""en"", ""fr"")"),"menthe")</f>
        <v>menthe</v>
      </c>
      <c r="G980" s="8" t="str">
        <f>IFERROR(__xludf.DUMMYFUNCTION("GOOGLETRANSLATE(C980, ""en"", ""de"")"),"Minze")</f>
        <v>Minze</v>
      </c>
      <c r="H980" s="8" t="str">
        <f>IFERROR(__xludf.DUMMYFUNCTION("GOOGLETRANSLATE(C980, ""en"", ""ru"")"),"мята")</f>
        <v>мята</v>
      </c>
      <c r="I980" s="8" t="str">
        <f>IFERROR(__xludf.DUMMYFUNCTION("GOOGLETRANSLATE(C980, ""en"", ""ar"")"),"نعناع")</f>
        <v>نعناع</v>
      </c>
      <c r="J980" s="8"/>
      <c r="K980" s="7" t="str">
        <f>IFERROR(__xludf.DUMMYFUNCTION("CONCAT(REGEXREPLACE(C980,""[ ,]+"",""_""),"".mp3"")"),"mint.mp3")</f>
        <v>mint.mp3</v>
      </c>
      <c r="M980" s="4" t="s">
        <v>10</v>
      </c>
    </row>
    <row r="981" ht="15.75" customHeight="1">
      <c r="A981" s="1">
        <v>2349.0</v>
      </c>
      <c r="B981" s="3">
        <v>149.0</v>
      </c>
      <c r="C981" s="7" t="s">
        <v>1008</v>
      </c>
      <c r="D981" s="8" t="str">
        <f>IFERROR(__xludf.DUMMYFUNCTION("GOOGLETRANSLATE(C981, ""en"", ""pt"")"),"alecrim")</f>
        <v>alecrim</v>
      </c>
      <c r="E981" s="8" t="str">
        <f>IFERROR(__xludf.DUMMYFUNCTION("GOOGLETRANSLATE(C981, ""en"", ""es"")"),"romero")</f>
        <v>romero</v>
      </c>
      <c r="F981" s="8" t="str">
        <f>IFERROR(__xludf.DUMMYFUNCTION("GOOGLETRANSLATE(C981, ""en"", ""fr"")"),"romarin")</f>
        <v>romarin</v>
      </c>
      <c r="G981" s="8" t="str">
        <f>IFERROR(__xludf.DUMMYFUNCTION("GOOGLETRANSLATE(C981, ""en"", ""de"")"),"Rosmarin")</f>
        <v>Rosmarin</v>
      </c>
      <c r="H981" s="8" t="str">
        <f>IFERROR(__xludf.DUMMYFUNCTION("GOOGLETRANSLATE(C981, ""en"", ""ru"")"),"Розмари")</f>
        <v>Розмари</v>
      </c>
      <c r="I981" s="8" t="str">
        <f>IFERROR(__xludf.DUMMYFUNCTION("GOOGLETRANSLATE(C981, ""en"", ""ar"")"),"إكليل الجبل")</f>
        <v>إكليل الجبل</v>
      </c>
      <c r="J981" s="8"/>
      <c r="K981" s="7" t="str">
        <f>IFERROR(__xludf.DUMMYFUNCTION("CONCAT(REGEXREPLACE(C981,""[ ,]+"",""_""),"".mp3"")"),"rosemary.mp3")</f>
        <v>rosemary.mp3</v>
      </c>
      <c r="M981" s="4" t="s">
        <v>10</v>
      </c>
    </row>
    <row r="982" ht="15.75" customHeight="1">
      <c r="A982" s="1">
        <v>2350.0</v>
      </c>
      <c r="B982" s="3">
        <v>149.0</v>
      </c>
      <c r="C982" s="7" t="s">
        <v>1009</v>
      </c>
      <c r="D982" s="8" t="str">
        <f>IFERROR(__xludf.DUMMYFUNCTION("GOOGLETRANSLATE(C982, ""en"", ""pt"")"),"tomilho")</f>
        <v>tomilho</v>
      </c>
      <c r="E982" s="8" t="str">
        <f>IFERROR(__xludf.DUMMYFUNCTION("GOOGLETRANSLATE(C982, ""en"", ""es"")"),"tomillo")</f>
        <v>tomillo</v>
      </c>
      <c r="F982" s="8" t="str">
        <f>IFERROR(__xludf.DUMMYFUNCTION("GOOGLETRANSLATE(C982, ""en"", ""fr"")"),"thym")</f>
        <v>thym</v>
      </c>
      <c r="G982" s="8" t="str">
        <f>IFERROR(__xludf.DUMMYFUNCTION("GOOGLETRANSLATE(C982, ""en"", ""de"")"),"Thymian")</f>
        <v>Thymian</v>
      </c>
      <c r="H982" s="8" t="str">
        <f>IFERROR(__xludf.DUMMYFUNCTION("GOOGLETRANSLATE(C982, ""en"", ""ru"")"),"тимьян")</f>
        <v>тимьян</v>
      </c>
      <c r="I982" s="8" t="str">
        <f>IFERROR(__xludf.DUMMYFUNCTION("GOOGLETRANSLATE(C982, ""en"", ""ar"")"),"زعتر")</f>
        <v>زعتر</v>
      </c>
      <c r="J982" s="8"/>
      <c r="K982" s="7" t="str">
        <f>IFERROR(__xludf.DUMMYFUNCTION("CONCAT(REGEXREPLACE(C982,""[ ,]+"",""_""),"".mp3"")"),"thyme.mp3")</f>
        <v>thyme.mp3</v>
      </c>
      <c r="M982" s="4" t="s">
        <v>10</v>
      </c>
    </row>
    <row r="983" ht="15.75" customHeight="1">
      <c r="A983" s="1">
        <v>2351.0</v>
      </c>
      <c r="B983" s="3">
        <v>149.0</v>
      </c>
      <c r="C983" s="7" t="s">
        <v>1010</v>
      </c>
      <c r="D983" s="8" t="str">
        <f>IFERROR(__xludf.DUMMYFUNCTION("GOOGLETRANSLATE(C983, ""en"", ""pt"")"),"orégano")</f>
        <v>orégano</v>
      </c>
      <c r="E983" s="8" t="str">
        <f>IFERROR(__xludf.DUMMYFUNCTION("GOOGLETRANSLATE(C983, ""en"", ""es"")"),"orégano")</f>
        <v>orégano</v>
      </c>
      <c r="F983" s="8" t="str">
        <f>IFERROR(__xludf.DUMMYFUNCTION("GOOGLETRANSLATE(C983, ""en"", ""fr"")"),"origan")</f>
        <v>origan</v>
      </c>
      <c r="G983" s="8" t="str">
        <f>IFERROR(__xludf.DUMMYFUNCTION("GOOGLETRANSLATE(C983, ""en"", ""de"")"),"Oregano")</f>
        <v>Oregano</v>
      </c>
      <c r="H983" s="8" t="str">
        <f>IFERROR(__xludf.DUMMYFUNCTION("GOOGLETRANSLATE(C983, ""en"", ""ru"")"),"орегано")</f>
        <v>орегано</v>
      </c>
      <c r="I983" s="8" t="str">
        <f>IFERROR(__xludf.DUMMYFUNCTION("GOOGLETRANSLATE(C983, ""en"", ""ar"")"),"مردقوش")</f>
        <v>مردقوش</v>
      </c>
      <c r="J983" s="8"/>
      <c r="K983" s="7" t="str">
        <f>IFERROR(__xludf.DUMMYFUNCTION("CONCAT(REGEXREPLACE(C983,""[ ,]+"",""_""),"".mp3"")"),"oregano.mp3")</f>
        <v>oregano.mp3</v>
      </c>
      <c r="M983" s="4" t="s">
        <v>10</v>
      </c>
    </row>
    <row r="984" ht="15.75" customHeight="1">
      <c r="A984" s="1">
        <v>2352.0</v>
      </c>
      <c r="B984" s="3">
        <v>149.0</v>
      </c>
      <c r="C984" s="3" t="s">
        <v>1011</v>
      </c>
      <c r="D984" s="8" t="str">
        <f>IFERROR(__xludf.DUMMYFUNCTION("GOOGLETRANSLATE(C984, ""en"", ""pt"")"),"coentro, cilantro")</f>
        <v>coentro, cilantro</v>
      </c>
      <c r="E984" s="8" t="str">
        <f>IFERROR(__xludf.DUMMYFUNCTION("GOOGLETRANSLATE(C984, ""en"", ""es"")"),"cilantro")</f>
        <v>cilantro</v>
      </c>
      <c r="F984" s="8" t="str">
        <f>IFERROR(__xludf.DUMMYFUNCTION("GOOGLETRANSLATE(C984, ""en"", ""fr"")"),"coriandre, cilantro")</f>
        <v>coriandre, cilantro</v>
      </c>
      <c r="G984" s="8" t="str">
        <f>IFERROR(__xludf.DUMMYFUNCTION("GOOGLETRANSLATE(C984, ""en"", ""de"")"),"Koriander, Cilantro")</f>
        <v>Koriander, Cilantro</v>
      </c>
      <c r="H984" s="8" t="str">
        <f>IFERROR(__xludf.DUMMYFUNCTION("GOOGLETRANSLATE(C984, ""en"", ""ru"")"),"кориандр, кинза")</f>
        <v>кориандр, кинза</v>
      </c>
      <c r="I984" s="8" t="str">
        <f>IFERROR(__xludf.DUMMYFUNCTION("GOOGLETRANSLATE(C984, ""en"", ""ar"")"),"الكزبرة، الكزبرة الخضراء")</f>
        <v>الكزبرة، الكزبرة الخضراء</v>
      </c>
      <c r="J984" s="8"/>
      <c r="K984" s="7" t="str">
        <f>IFERROR(__xludf.DUMMYFUNCTION("CONCAT(REGEXREPLACE(C984,""[ ,]+"",""_""),"".mp3"")"),"coriander_cilantro.mp3")</f>
        <v>coriander_cilantro.mp3</v>
      </c>
      <c r="M984" s="4" t="s">
        <v>10</v>
      </c>
    </row>
    <row r="985" ht="15.75" customHeight="1">
      <c r="A985" s="1">
        <v>2353.0</v>
      </c>
      <c r="B985" s="3">
        <v>149.0</v>
      </c>
      <c r="C985" s="7" t="s">
        <v>1012</v>
      </c>
      <c r="D985" s="8" t="str">
        <f>IFERROR(__xludf.DUMMYFUNCTION("GOOGLETRANSLATE(C985, ""en"", ""pt"")"),"sábio")</f>
        <v>sábio</v>
      </c>
      <c r="E985" s="8" t="str">
        <f>IFERROR(__xludf.DUMMYFUNCTION("GOOGLETRANSLATE(C985, ""en"", ""es"")"),"sabio")</f>
        <v>sabio</v>
      </c>
      <c r="F985" s="8" t="str">
        <f>IFERROR(__xludf.DUMMYFUNCTION("GOOGLETRANSLATE(C985, ""en"", ""fr"")"),"sage")</f>
        <v>sage</v>
      </c>
      <c r="G985" s="8" t="str">
        <f>IFERROR(__xludf.DUMMYFUNCTION("GOOGLETRANSLATE(C985, ""en"", ""de"")"),"Salbei")</f>
        <v>Salbei</v>
      </c>
      <c r="H985" s="8" t="str">
        <f>IFERROR(__xludf.DUMMYFUNCTION("GOOGLETRANSLATE(C985, ""en"", ""ru"")"),"мудрец")</f>
        <v>мудрец</v>
      </c>
      <c r="I985" s="8" t="str">
        <f>IFERROR(__xludf.DUMMYFUNCTION("GOOGLETRANSLATE(C985, ""en"", ""ar"")"),"حكيم")</f>
        <v>حكيم</v>
      </c>
      <c r="J985" s="8"/>
      <c r="K985" s="7" t="str">
        <f>IFERROR(__xludf.DUMMYFUNCTION("CONCAT(REGEXREPLACE(C985,""[ ,]+"",""_""),"".mp3"")"),"sage.mp3")</f>
        <v>sage.mp3</v>
      </c>
      <c r="M985" s="4" t="s">
        <v>10</v>
      </c>
    </row>
    <row r="986" ht="15.75" customHeight="1">
      <c r="A986" s="1">
        <v>2354.0</v>
      </c>
      <c r="B986" s="3">
        <v>149.0</v>
      </c>
      <c r="C986" s="7" t="s">
        <v>1013</v>
      </c>
      <c r="D986" s="8" t="str">
        <f>IFERROR(__xludf.DUMMYFUNCTION("GOOGLETRANSLATE(C986, ""en"", ""pt"")"),"aneto")</f>
        <v>aneto</v>
      </c>
      <c r="E986" s="8" t="str">
        <f>IFERROR(__xludf.DUMMYFUNCTION("GOOGLETRANSLATE(C986, ""en"", ""es"")"),"eneldo")</f>
        <v>eneldo</v>
      </c>
      <c r="F986" s="8" t="str">
        <f>IFERROR(__xludf.DUMMYFUNCTION("GOOGLETRANSLATE(C986, ""en"", ""fr"")"),"aneth")</f>
        <v>aneth</v>
      </c>
      <c r="G986" s="8" t="str">
        <f>IFERROR(__xludf.DUMMYFUNCTION("GOOGLETRANSLATE(C986, ""en"", ""de"")"),"Dill")</f>
        <v>Dill</v>
      </c>
      <c r="H986" s="8" t="str">
        <f>IFERROR(__xludf.DUMMYFUNCTION("GOOGLETRANSLATE(C986, ""en"", ""ru"")"),"укроп")</f>
        <v>укроп</v>
      </c>
      <c r="I986" s="8" t="str">
        <f>IFERROR(__xludf.DUMMYFUNCTION("GOOGLETRANSLATE(C986, ""en"", ""ar"")"),"الشبت")</f>
        <v>الشبت</v>
      </c>
      <c r="J986" s="8"/>
      <c r="K986" s="7" t="str">
        <f>IFERROR(__xludf.DUMMYFUNCTION("CONCAT(REGEXREPLACE(C986,""[ ,]+"",""_""),"".mp3"")"),"dill.mp3")</f>
        <v>dill.mp3</v>
      </c>
      <c r="M986" s="4" t="s">
        <v>10</v>
      </c>
    </row>
    <row r="987" ht="15.75" customHeight="1">
      <c r="A987" s="1">
        <v>2355.0</v>
      </c>
      <c r="B987" s="3">
        <v>149.0</v>
      </c>
      <c r="C987" s="7" t="s">
        <v>1014</v>
      </c>
      <c r="D987" s="8" t="str">
        <f>IFERROR(__xludf.DUMMYFUNCTION("GOOGLETRANSLATE(C987, ""en"", ""pt"")"),"arbusto")</f>
        <v>arbusto</v>
      </c>
      <c r="E987" s="8" t="str">
        <f>IFERROR(__xludf.DUMMYFUNCTION("GOOGLETRANSLATE(C987, ""en"", ""es"")"),"arbusto")</f>
        <v>arbusto</v>
      </c>
      <c r="F987" s="8" t="str">
        <f>IFERROR(__xludf.DUMMYFUNCTION("GOOGLETRANSLATE(C987, ""en"", ""fr"")"),"arbuste")</f>
        <v>arbuste</v>
      </c>
      <c r="G987" s="8" t="str">
        <f>IFERROR(__xludf.DUMMYFUNCTION("GOOGLETRANSLATE(C987, ""en"", ""de"")"),"Strauch")</f>
        <v>Strauch</v>
      </c>
      <c r="H987" s="8" t="str">
        <f>IFERROR(__xludf.DUMMYFUNCTION("GOOGLETRANSLATE(C987, ""en"", ""ru"")"),"кустарник")</f>
        <v>кустарник</v>
      </c>
      <c r="I987" s="8" t="str">
        <f>IFERROR(__xludf.DUMMYFUNCTION("GOOGLETRANSLATE(C987, ""en"", ""ar"")"),"شجيرة")</f>
        <v>شجيرة</v>
      </c>
      <c r="J987" s="8"/>
      <c r="K987" s="7" t="str">
        <f>IFERROR(__xludf.DUMMYFUNCTION("CONCAT(REGEXREPLACE(C987,""[ ,]+"",""_""),"".mp3"")"),"shrub.mp3")</f>
        <v>shrub.mp3</v>
      </c>
      <c r="M987" s="4" t="s">
        <v>10</v>
      </c>
    </row>
    <row r="988" ht="15.75" customHeight="1">
      <c r="A988" s="1">
        <v>2356.0</v>
      </c>
      <c r="B988" s="3">
        <v>149.0</v>
      </c>
      <c r="C988" s="7" t="s">
        <v>1015</v>
      </c>
      <c r="D988" s="8" t="str">
        <f>IFERROR(__xludf.DUMMYFUNCTION("GOOGLETRANSLATE(C988, ""en"", ""pt"")"),"arbusto")</f>
        <v>arbusto</v>
      </c>
      <c r="E988" s="8" t="str">
        <f>IFERROR(__xludf.DUMMYFUNCTION("GOOGLETRANSLATE(C988, ""en"", ""es"")"),"arbusto")</f>
        <v>arbusto</v>
      </c>
      <c r="F988" s="8" t="str">
        <f>IFERROR(__xludf.DUMMYFUNCTION("GOOGLETRANSLATE(C988, ""en"", ""fr"")"),"buisson")</f>
        <v>buisson</v>
      </c>
      <c r="G988" s="8" t="str">
        <f>IFERROR(__xludf.DUMMYFUNCTION("GOOGLETRANSLATE(C988, ""en"", ""de"")"),"Busch")</f>
        <v>Busch</v>
      </c>
      <c r="H988" s="8" t="str">
        <f>IFERROR(__xludf.DUMMYFUNCTION("GOOGLETRANSLATE(C988, ""en"", ""ru"")"),"куст")</f>
        <v>куст</v>
      </c>
      <c r="I988" s="8" t="str">
        <f>IFERROR(__xludf.DUMMYFUNCTION("GOOGLETRANSLATE(C988, ""en"", ""ar"")"),"شجيرة")</f>
        <v>شجيرة</v>
      </c>
      <c r="J988" s="8"/>
      <c r="K988" s="7" t="str">
        <f>IFERROR(__xludf.DUMMYFUNCTION("CONCAT(REGEXREPLACE(C988,""[ ,]+"",""_""),"".mp3"")"),"bush.mp3")</f>
        <v>bush.mp3</v>
      </c>
      <c r="M988" s="4" t="s">
        <v>10</v>
      </c>
    </row>
    <row r="989" ht="15.75" customHeight="1">
      <c r="A989" s="1">
        <v>2357.0</v>
      </c>
      <c r="B989" s="3">
        <v>149.0</v>
      </c>
      <c r="C989" s="7" t="s">
        <v>1016</v>
      </c>
      <c r="D989" s="8" t="str">
        <f>IFERROR(__xludf.DUMMYFUNCTION("GOOGLETRANSLATE(C989, ""en"", ""pt"")"),"cobertura")</f>
        <v>cobertura</v>
      </c>
      <c r="E989" s="8" t="str">
        <f>IFERROR(__xludf.DUMMYFUNCTION("GOOGLETRANSLATE(C989, ""en"", ""es"")"),"cobertura")</f>
        <v>cobertura</v>
      </c>
      <c r="F989" s="8" t="str">
        <f>IFERROR(__xludf.DUMMYFUNCTION("GOOGLETRANSLATE(C989, ""en"", ""fr"")"),"haie")</f>
        <v>haie</v>
      </c>
      <c r="G989" s="8" t="str">
        <f>IFERROR(__xludf.DUMMYFUNCTION("GOOGLETRANSLATE(C989, ""en"", ""de"")"),"Hecke")</f>
        <v>Hecke</v>
      </c>
      <c r="H989" s="8" t="str">
        <f>IFERROR(__xludf.DUMMYFUNCTION("GOOGLETRANSLATE(C989, ""en"", ""ru"")"),"живая изгородь")</f>
        <v>живая изгородь</v>
      </c>
      <c r="I989" s="8" t="str">
        <f>IFERROR(__xludf.DUMMYFUNCTION("GOOGLETRANSLATE(C989, ""en"", ""ar"")"),"سياج")</f>
        <v>سياج</v>
      </c>
      <c r="J989" s="8"/>
      <c r="K989" s="7" t="str">
        <f>IFERROR(__xludf.DUMMYFUNCTION("CONCAT(REGEXREPLACE(C989,""[ ,]+"",""_""),"".mp3"")"),"hedge.mp3")</f>
        <v>hedge.mp3</v>
      </c>
      <c r="M989" s="4" t="s">
        <v>10</v>
      </c>
    </row>
    <row r="990" ht="15.75" customHeight="1">
      <c r="A990" s="1">
        <v>2358.0</v>
      </c>
      <c r="B990" s="3">
        <v>149.0</v>
      </c>
      <c r="C990" s="7" t="s">
        <v>1017</v>
      </c>
      <c r="D990" s="8" t="str">
        <f>IFERROR(__xludf.DUMMYFUNCTION("GOOGLETRANSLATE(C990, ""en"", ""pt"")"),"roseira")</f>
        <v>roseira</v>
      </c>
      <c r="E990" s="8" t="str">
        <f>IFERROR(__xludf.DUMMYFUNCTION("GOOGLETRANSLATE(C990, ""en"", ""es"")"),"rosal")</f>
        <v>rosal</v>
      </c>
      <c r="F990" s="8" t="str">
        <f>IFERROR(__xludf.DUMMYFUNCTION("GOOGLETRANSLATE(C990, ""en"", ""fr"")"),"rosier")</f>
        <v>rosier</v>
      </c>
      <c r="G990" s="8" t="str">
        <f>IFERROR(__xludf.DUMMYFUNCTION("GOOGLETRANSLATE(C990, ""en"", ""de"")"),"Rosenstrauch")</f>
        <v>Rosenstrauch</v>
      </c>
      <c r="H990" s="8" t="str">
        <f>IFERROR(__xludf.DUMMYFUNCTION("GOOGLETRANSLATE(C990, ""en"", ""ru"")"),"розовый куст")</f>
        <v>розовый куст</v>
      </c>
      <c r="I990" s="8" t="str">
        <f>IFERROR(__xludf.DUMMYFUNCTION("GOOGLETRANSLATE(C990, ""en"", ""ar"")"),"شجيرة ورد")</f>
        <v>شجيرة ورد</v>
      </c>
      <c r="J990" s="8"/>
      <c r="K990" s="7" t="str">
        <f>IFERROR(__xludf.DUMMYFUNCTION("CONCAT(REGEXREPLACE(C990,""[ ,]+"",""_""),"".mp3"")"),"rose_bush.mp3")</f>
        <v>rose_bush.mp3</v>
      </c>
      <c r="M990" s="4" t="s">
        <v>10</v>
      </c>
    </row>
    <row r="991" ht="15.75" customHeight="1">
      <c r="A991" s="1">
        <v>2359.0</v>
      </c>
      <c r="B991" s="3">
        <v>149.0</v>
      </c>
      <c r="C991" s="7" t="s">
        <v>1018</v>
      </c>
      <c r="D991" s="8" t="str">
        <f>IFERROR(__xludf.DUMMYFUNCTION("GOOGLETRANSLATE(C991, ""en"", ""pt"")"),"arbusto de lavanda")</f>
        <v>arbusto de lavanda</v>
      </c>
      <c r="E991" s="8" t="str">
        <f>IFERROR(__xludf.DUMMYFUNCTION("GOOGLETRANSLATE(C991, ""en"", ""es"")"),"arbusto de lavanda")</f>
        <v>arbusto de lavanda</v>
      </c>
      <c r="F991" s="8" t="str">
        <f>IFERROR(__xludf.DUMMYFUNCTION("GOOGLETRANSLATE(C991, ""en"", ""fr"")"),"buisson de lavande")</f>
        <v>buisson de lavande</v>
      </c>
      <c r="G991" s="8" t="str">
        <f>IFERROR(__xludf.DUMMYFUNCTION("GOOGLETRANSLATE(C991, ""en"", ""de"")"),"Lavendelbusch")</f>
        <v>Lavendelbusch</v>
      </c>
      <c r="H991" s="8" t="str">
        <f>IFERROR(__xludf.DUMMYFUNCTION("GOOGLETRANSLATE(C991, ""en"", ""ru"")"),"куст лаванды")</f>
        <v>куст лаванды</v>
      </c>
      <c r="I991" s="8" t="str">
        <f>IFERROR(__xludf.DUMMYFUNCTION("GOOGLETRANSLATE(C991, ""en"", ""ar"")"),"شجيرة الخزامى")</f>
        <v>شجيرة الخزامى</v>
      </c>
      <c r="J991" s="8"/>
      <c r="K991" s="7" t="str">
        <f>IFERROR(__xludf.DUMMYFUNCTION("CONCAT(REGEXREPLACE(C991,""[ ,]+"",""_""),"".mp3"")"),"lavender_bush.mp3")</f>
        <v>lavender_bush.mp3</v>
      </c>
      <c r="M991" s="4" t="s">
        <v>10</v>
      </c>
    </row>
    <row r="992" ht="15.75" customHeight="1">
      <c r="A992" s="1">
        <v>2360.0</v>
      </c>
      <c r="B992" s="3">
        <v>149.0</v>
      </c>
      <c r="C992" s="7" t="s">
        <v>1019</v>
      </c>
      <c r="D992" s="8" t="str">
        <f>IFERROR(__xludf.DUMMYFUNCTION("GOOGLETRANSLATE(C992, ""en"", ""pt"")"),"buxo")</f>
        <v>buxo</v>
      </c>
      <c r="E992" s="8" t="str">
        <f>IFERROR(__xludf.DUMMYFUNCTION("GOOGLETRANSLATE(C992, ""en"", ""es"")"),"boj")</f>
        <v>boj</v>
      </c>
      <c r="F992" s="8" t="str">
        <f>IFERROR(__xludf.DUMMYFUNCTION("GOOGLETRANSLATE(C992, ""en"", ""fr"")"),"buis")</f>
        <v>buis</v>
      </c>
      <c r="G992" s="8" t="str">
        <f>IFERROR(__xludf.DUMMYFUNCTION("GOOGLETRANSLATE(C992, ""en"", ""de"")"),"Buchsbaum")</f>
        <v>Buchsbaum</v>
      </c>
      <c r="H992" s="8" t="str">
        <f>IFERROR(__xludf.DUMMYFUNCTION("GOOGLETRANSLATE(C992, ""en"", ""ru"")"),"самшит")</f>
        <v>самшит</v>
      </c>
      <c r="I992" s="8" t="str">
        <f>IFERROR(__xludf.DUMMYFUNCTION("GOOGLETRANSLATE(C992, ""en"", ""ar"")"),"خشب البقس")</f>
        <v>خشب البقس</v>
      </c>
      <c r="J992" s="8"/>
      <c r="K992" s="7" t="str">
        <f>IFERROR(__xludf.DUMMYFUNCTION("CONCAT(REGEXREPLACE(C992,""[ ,]+"",""_""),"".mp3"")"),"boxwood.mp3")</f>
        <v>boxwood.mp3</v>
      </c>
      <c r="M992" s="4" t="s">
        <v>10</v>
      </c>
    </row>
    <row r="993" ht="15.75" customHeight="1">
      <c r="A993" s="1">
        <v>2361.0</v>
      </c>
      <c r="B993" s="3">
        <v>149.0</v>
      </c>
      <c r="C993" s="7" t="s">
        <v>1020</v>
      </c>
      <c r="D993" s="8" t="str">
        <f>IFERROR(__xludf.DUMMYFUNCTION("GOOGLETRANSLATE(C993, ""en"", ""pt"")"),"azevinho")</f>
        <v>azevinho</v>
      </c>
      <c r="E993" s="8" t="str">
        <f>IFERROR(__xludf.DUMMYFUNCTION("GOOGLETRANSLATE(C993, ""en"", ""es"")"),"acebo")</f>
        <v>acebo</v>
      </c>
      <c r="F993" s="8" t="str">
        <f>IFERROR(__xludf.DUMMYFUNCTION("GOOGLETRANSLATE(C993, ""en"", ""fr"")"),"houx")</f>
        <v>houx</v>
      </c>
      <c r="G993" s="8" t="str">
        <f>IFERROR(__xludf.DUMMYFUNCTION("GOOGLETRANSLATE(C993, ""en"", ""de"")"),"Stechpalme")</f>
        <v>Stechpalme</v>
      </c>
      <c r="H993" s="8" t="str">
        <f>IFERROR(__xludf.DUMMYFUNCTION("GOOGLETRANSLATE(C993, ""en"", ""ru"")"),"холли")</f>
        <v>холли</v>
      </c>
      <c r="I993" s="8" t="str">
        <f>IFERROR(__xludf.DUMMYFUNCTION("GOOGLETRANSLATE(C993, ""en"", ""ar"")"),"هولي")</f>
        <v>هولي</v>
      </c>
      <c r="J993" s="8"/>
      <c r="K993" s="7" t="str">
        <f>IFERROR(__xludf.DUMMYFUNCTION("CONCAT(REGEXREPLACE(C993,""[ ,]+"",""_""),"".mp3"")"),"holly.mp3")</f>
        <v>holly.mp3</v>
      </c>
      <c r="M993" s="4" t="s">
        <v>10</v>
      </c>
    </row>
    <row r="994" ht="15.75" customHeight="1">
      <c r="A994" s="1">
        <v>2362.0</v>
      </c>
      <c r="B994" s="3">
        <v>149.0</v>
      </c>
      <c r="C994" s="7" t="s">
        <v>1021</v>
      </c>
      <c r="D994" s="8" t="str">
        <f>IFERROR(__xludf.DUMMYFUNCTION("GOOGLETRANSLATE(C994, ""en"", ""pt"")"),"grama")</f>
        <v>grama</v>
      </c>
      <c r="E994" s="8" t="str">
        <f>IFERROR(__xludf.DUMMYFUNCTION("GOOGLETRANSLATE(C994, ""en"", ""es"")"),"césped")</f>
        <v>césped</v>
      </c>
      <c r="F994" s="8" t="str">
        <f>IFERROR(__xludf.DUMMYFUNCTION("GOOGLETRANSLATE(C994, ""en"", ""fr"")"),"herbe")</f>
        <v>herbe</v>
      </c>
      <c r="G994" s="8" t="str">
        <f>IFERROR(__xludf.DUMMYFUNCTION("GOOGLETRANSLATE(C994, ""en"", ""de"")"),"Gras")</f>
        <v>Gras</v>
      </c>
      <c r="H994" s="8" t="str">
        <f>IFERROR(__xludf.DUMMYFUNCTION("GOOGLETRANSLATE(C994, ""en"", ""ru"")"),"трава")</f>
        <v>трава</v>
      </c>
      <c r="I994" s="8" t="str">
        <f>IFERROR(__xludf.DUMMYFUNCTION("GOOGLETRANSLATE(C994, ""en"", ""ar"")"),"عشب")</f>
        <v>عشب</v>
      </c>
      <c r="J994" s="8"/>
      <c r="K994" s="7" t="str">
        <f>IFERROR(__xludf.DUMMYFUNCTION("CONCAT(REGEXREPLACE(C994,""[ ,]+"",""_""),"".mp3"")"),"grass.mp3")</f>
        <v>grass.mp3</v>
      </c>
      <c r="M994" s="4" t="s">
        <v>10</v>
      </c>
    </row>
    <row r="995" ht="15.75" customHeight="1">
      <c r="A995" s="1">
        <v>2363.0</v>
      </c>
      <c r="B995" s="3">
        <v>149.0</v>
      </c>
      <c r="C995" s="7" t="s">
        <v>1022</v>
      </c>
      <c r="D995" s="8" t="str">
        <f>IFERROR(__xludf.DUMMYFUNCTION("GOOGLETRANSLATE(C995, ""en"", ""pt"")"),"grama")</f>
        <v>grama</v>
      </c>
      <c r="E995" s="8" t="str">
        <f>IFERROR(__xludf.DUMMYFUNCTION("GOOGLETRANSLATE(C995, ""en"", ""es"")"),"césped")</f>
        <v>césped</v>
      </c>
      <c r="F995" s="8" t="str">
        <f>IFERROR(__xludf.DUMMYFUNCTION("GOOGLETRANSLATE(C995, ""en"", ""fr"")"),"gazon")</f>
        <v>gazon</v>
      </c>
      <c r="G995" s="8" t="str">
        <f>IFERROR(__xludf.DUMMYFUNCTION("GOOGLETRANSLATE(C995, ""en"", ""de"")"),"Rasen")</f>
        <v>Rasen</v>
      </c>
      <c r="H995" s="8" t="str">
        <f>IFERROR(__xludf.DUMMYFUNCTION("GOOGLETRANSLATE(C995, ""en"", ""ru"")"),"газонная трава")</f>
        <v>газонная трава</v>
      </c>
      <c r="I995" s="8" t="str">
        <f>IFERROR(__xludf.DUMMYFUNCTION("GOOGLETRANSLATE(C995, ""en"", ""ar"")"),"عشب الحديقة")</f>
        <v>عشب الحديقة</v>
      </c>
      <c r="J995" s="8"/>
      <c r="K995" s="7" t="str">
        <f>IFERROR(__xludf.DUMMYFUNCTION("CONCAT(REGEXREPLACE(C995,""[ ,]+"",""_""),"".mp3"")"),"lawn_grass.mp3")</f>
        <v>lawn_grass.mp3</v>
      </c>
      <c r="M995" s="4" t="s">
        <v>10</v>
      </c>
    </row>
    <row r="996" ht="15.75" customHeight="1">
      <c r="A996" s="1">
        <v>2364.0</v>
      </c>
      <c r="B996" s="3">
        <v>149.0</v>
      </c>
      <c r="C996" s="7" t="s">
        <v>1023</v>
      </c>
      <c r="D996" s="8" t="str">
        <f>IFERROR(__xludf.DUMMYFUNCTION("GOOGLETRANSLATE(C996, ""en"", ""pt"")"),"trigo")</f>
        <v>trigo</v>
      </c>
      <c r="E996" s="8" t="str">
        <f>IFERROR(__xludf.DUMMYFUNCTION("GOOGLETRANSLATE(C996, ""en"", ""es"")"),"trigo")</f>
        <v>trigo</v>
      </c>
      <c r="F996" s="8" t="str">
        <f>IFERROR(__xludf.DUMMYFUNCTION("GOOGLETRANSLATE(C996, ""en"", ""fr"")"),"blé")</f>
        <v>blé</v>
      </c>
      <c r="G996" s="8" t="str">
        <f>IFERROR(__xludf.DUMMYFUNCTION("GOOGLETRANSLATE(C996, ""en"", ""de"")"),"Weizen")</f>
        <v>Weizen</v>
      </c>
      <c r="H996" s="8" t="str">
        <f>IFERROR(__xludf.DUMMYFUNCTION("GOOGLETRANSLATE(C996, ""en"", ""ru"")"),"пшеница")</f>
        <v>пшеница</v>
      </c>
      <c r="I996" s="8" t="str">
        <f>IFERROR(__xludf.DUMMYFUNCTION("GOOGLETRANSLATE(C996, ""en"", ""ar"")"),"قمح")</f>
        <v>قمح</v>
      </c>
      <c r="J996" s="8"/>
      <c r="K996" s="7" t="str">
        <f>IFERROR(__xludf.DUMMYFUNCTION("CONCAT(REGEXREPLACE(C996,""[ ,]+"",""_""),"".mp3"")"),"wheat.mp3")</f>
        <v>wheat.mp3</v>
      </c>
      <c r="M996" s="4" t="s">
        <v>10</v>
      </c>
    </row>
    <row r="997" ht="15.75" customHeight="1">
      <c r="A997" s="1">
        <v>2365.0</v>
      </c>
      <c r="B997" s="3">
        <v>149.0</v>
      </c>
      <c r="C997" s="7" t="s">
        <v>1024</v>
      </c>
      <c r="D997" s="8" t="str">
        <f>IFERROR(__xludf.DUMMYFUNCTION("GOOGLETRANSLATE(C997, ""en"", ""pt"")"),"cevada")</f>
        <v>cevada</v>
      </c>
      <c r="E997" s="8" t="str">
        <f>IFERROR(__xludf.DUMMYFUNCTION("GOOGLETRANSLATE(C997, ""en"", ""es"")"),"cebada")</f>
        <v>cebada</v>
      </c>
      <c r="F997" s="8" t="str">
        <f>IFERROR(__xludf.DUMMYFUNCTION("GOOGLETRANSLATE(C997, ""en"", ""fr"")"),"orge")</f>
        <v>orge</v>
      </c>
      <c r="G997" s="8" t="str">
        <f>IFERROR(__xludf.DUMMYFUNCTION("GOOGLETRANSLATE(C997, ""en"", ""de"")"),"Gerste")</f>
        <v>Gerste</v>
      </c>
      <c r="H997" s="8" t="str">
        <f>IFERROR(__xludf.DUMMYFUNCTION("GOOGLETRANSLATE(C997, ""en"", ""ru"")"),"ячмень")</f>
        <v>ячмень</v>
      </c>
      <c r="I997" s="8" t="str">
        <f>IFERROR(__xludf.DUMMYFUNCTION("GOOGLETRANSLATE(C997, ""en"", ""ar"")"),"الشعير")</f>
        <v>الشعير</v>
      </c>
      <c r="J997" s="8"/>
      <c r="K997" s="7" t="str">
        <f>IFERROR(__xludf.DUMMYFUNCTION("CONCAT(REGEXREPLACE(C997,""[ ,]+"",""_""),"".mp3"")"),"barley.mp3")</f>
        <v>barley.mp3</v>
      </c>
      <c r="M997" s="4" t="s">
        <v>10</v>
      </c>
    </row>
    <row r="998" ht="15.75" customHeight="1">
      <c r="A998" s="1">
        <v>2366.0</v>
      </c>
      <c r="B998" s="3">
        <v>149.0</v>
      </c>
      <c r="C998" s="7" t="s">
        <v>1025</v>
      </c>
      <c r="D998" s="8" t="str">
        <f>IFERROR(__xludf.DUMMYFUNCTION("GOOGLETRANSLATE(C998, ""en"", ""pt"")"),"milho")</f>
        <v>milho</v>
      </c>
      <c r="E998" s="8" t="str">
        <f>IFERROR(__xludf.DUMMYFUNCTION("GOOGLETRANSLATE(C998, ""en"", ""es"")"),"maíz")</f>
        <v>maíz</v>
      </c>
      <c r="F998" s="8" t="str">
        <f>IFERROR(__xludf.DUMMYFUNCTION("GOOGLETRANSLATE(C998, ""en"", ""fr"")"),"maïs")</f>
        <v>maïs</v>
      </c>
      <c r="G998" s="8" t="str">
        <f>IFERROR(__xludf.DUMMYFUNCTION("GOOGLETRANSLATE(C998, ""en"", ""de"")"),"Mais")</f>
        <v>Mais</v>
      </c>
      <c r="H998" s="8" t="str">
        <f>IFERROR(__xludf.DUMMYFUNCTION("GOOGLETRANSLATE(C998, ""en"", ""ru"")"),"кукуруза")</f>
        <v>кукуруза</v>
      </c>
      <c r="I998" s="8" t="str">
        <f>IFERROR(__xludf.DUMMYFUNCTION("GOOGLETRANSLATE(C998, ""en"", ""ar"")"),"حبوب ذرة")</f>
        <v>حبوب ذرة</v>
      </c>
      <c r="J998" s="8"/>
      <c r="K998" s="7" t="str">
        <f>IFERROR(__xludf.DUMMYFUNCTION("CONCAT(REGEXREPLACE(C998,""[ ,]+"",""_""),"".mp3"")"),"corn.mp3")</f>
        <v>corn.mp3</v>
      </c>
      <c r="M998" s="4" t="s">
        <v>10</v>
      </c>
    </row>
    <row r="999" ht="15.75" customHeight="1">
      <c r="A999" s="1">
        <v>2367.0</v>
      </c>
      <c r="B999" s="3">
        <v>149.0</v>
      </c>
      <c r="C999" s="7" t="s">
        <v>1026</v>
      </c>
      <c r="D999" s="8" t="str">
        <f>IFERROR(__xludf.DUMMYFUNCTION("GOOGLETRANSLATE(C999, ""en"", ""pt"")"),"arroz")</f>
        <v>arroz</v>
      </c>
      <c r="E999" s="8" t="str">
        <f>IFERROR(__xludf.DUMMYFUNCTION("GOOGLETRANSLATE(C999, ""en"", ""es"")"),"arroz")</f>
        <v>arroz</v>
      </c>
      <c r="F999" s="8" t="str">
        <f>IFERROR(__xludf.DUMMYFUNCTION("GOOGLETRANSLATE(C999, ""en"", ""fr"")"),"riz")</f>
        <v>riz</v>
      </c>
      <c r="G999" s="8" t="str">
        <f>IFERROR(__xludf.DUMMYFUNCTION("GOOGLETRANSLATE(C999, ""en"", ""de"")"),"Reis")</f>
        <v>Reis</v>
      </c>
      <c r="H999" s="8" t="str">
        <f>IFERROR(__xludf.DUMMYFUNCTION("GOOGLETRANSLATE(C999, ""en"", ""ru"")"),"рис")</f>
        <v>рис</v>
      </c>
      <c r="I999" s="8" t="str">
        <f>IFERROR(__xludf.DUMMYFUNCTION("GOOGLETRANSLATE(C999, ""en"", ""ar"")"),"أرز")</f>
        <v>أرز</v>
      </c>
      <c r="J999" s="8"/>
      <c r="K999" s="7" t="str">
        <f>IFERROR(__xludf.DUMMYFUNCTION("CONCAT(REGEXREPLACE(C999,""[ ,]+"",""_""),"".mp3"")"),"rice.mp3")</f>
        <v>rice.mp3</v>
      </c>
      <c r="M999" s="4" t="s">
        <v>10</v>
      </c>
    </row>
    <row r="1000" ht="15.75" customHeight="1">
      <c r="A1000" s="1">
        <v>2368.0</v>
      </c>
      <c r="B1000" s="3">
        <v>149.0</v>
      </c>
      <c r="C1000" s="7" t="s">
        <v>1027</v>
      </c>
      <c r="D1000" s="8" t="str">
        <f>IFERROR(__xludf.DUMMYFUNCTION("GOOGLETRANSLATE(C1000, ""en"", ""pt"")"),"grama de bambu")</f>
        <v>grama de bambu</v>
      </c>
      <c r="E1000" s="8" t="str">
        <f>IFERROR(__xludf.DUMMYFUNCTION("GOOGLETRANSLATE(C1000, ""en"", ""es"")"),"hierba de bambú")</f>
        <v>hierba de bambú</v>
      </c>
      <c r="F1000" s="8" t="str">
        <f>IFERROR(__xludf.DUMMYFUNCTION("GOOGLETRANSLATE(C1000, ""en"", ""fr"")"),"herbe de bambou")</f>
        <v>herbe de bambou</v>
      </c>
      <c r="G1000" s="8" t="str">
        <f>IFERROR(__xludf.DUMMYFUNCTION("GOOGLETRANSLATE(C1000, ""en"", ""de"")"),"Bambusgras")</f>
        <v>Bambusgras</v>
      </c>
      <c r="H1000" s="8" t="str">
        <f>IFERROR(__xludf.DUMMYFUNCTION("GOOGLETRANSLATE(C1000, ""en"", ""ru"")"),"бамбуковая трава")</f>
        <v>бамбуковая трава</v>
      </c>
      <c r="I1000" s="8" t="str">
        <f>IFERROR(__xludf.DUMMYFUNCTION("GOOGLETRANSLATE(C1000, ""en"", ""ar"")"),"عشب الخيزران")</f>
        <v>عشب الخيزران</v>
      </c>
      <c r="J1000" s="8"/>
      <c r="K1000" s="7" t="str">
        <f>IFERROR(__xludf.DUMMYFUNCTION("CONCAT(REGEXREPLACE(C1000,""[ ,]+"",""_""),"".mp3"")"),"bamboo_grass.mp3")</f>
        <v>bamboo_grass.mp3</v>
      </c>
      <c r="M1000" s="4" t="s">
        <v>10</v>
      </c>
    </row>
    <row r="1001" ht="15.75" customHeight="1">
      <c r="A1001" s="1">
        <v>2369.0</v>
      </c>
      <c r="B1001" s="3">
        <v>149.0</v>
      </c>
      <c r="C1001" s="7" t="s">
        <v>1028</v>
      </c>
      <c r="D1001" s="8" t="str">
        <f>IFERROR(__xludf.DUMMYFUNCTION("GOOGLETRANSLATE(C1001, ""en"", ""pt"")"),"samambaia")</f>
        <v>samambaia</v>
      </c>
      <c r="E1001" s="8" t="str">
        <f>IFERROR(__xludf.DUMMYFUNCTION("GOOGLETRANSLATE(C1001, ""en"", ""es"")"),"helecho")</f>
        <v>helecho</v>
      </c>
      <c r="F1001" s="8" t="str">
        <f>IFERROR(__xludf.DUMMYFUNCTION("GOOGLETRANSLATE(C1001, ""en"", ""fr"")"),"fougère")</f>
        <v>fougère</v>
      </c>
      <c r="G1001" s="8" t="str">
        <f>IFERROR(__xludf.DUMMYFUNCTION("GOOGLETRANSLATE(C1001, ""en"", ""de"")"),"Farn")</f>
        <v>Farn</v>
      </c>
      <c r="H1001" s="8" t="str">
        <f>IFERROR(__xludf.DUMMYFUNCTION("GOOGLETRANSLATE(C1001, ""en"", ""ru"")"),"папоротник")</f>
        <v>папоротник</v>
      </c>
      <c r="I1001" s="8" t="str">
        <f>IFERROR(__xludf.DUMMYFUNCTION("GOOGLETRANSLATE(C1001, ""en"", ""ar"")"),"السرخس")</f>
        <v>السرخس</v>
      </c>
      <c r="J1001" s="8"/>
      <c r="K1001" s="7" t="str">
        <f>IFERROR(__xludf.DUMMYFUNCTION("CONCAT(REGEXREPLACE(C1001,""[ ,]+"",""_""),"".mp3"")"),"fern.mp3")</f>
        <v>fern.mp3</v>
      </c>
      <c r="M1001" s="4" t="s">
        <v>10</v>
      </c>
    </row>
    <row r="1002" ht="15.75" customHeight="1">
      <c r="A1002" s="1">
        <v>2370.0</v>
      </c>
      <c r="B1002" s="3">
        <v>149.0</v>
      </c>
      <c r="C1002" s="7" t="s">
        <v>1029</v>
      </c>
      <c r="D1002" s="8" t="str">
        <f>IFERROR(__xludf.DUMMYFUNCTION("GOOGLETRANSLATE(C1002, ""en"", ""pt"")"),"samambaia")</f>
        <v>samambaia</v>
      </c>
      <c r="E1002" s="8" t="str">
        <f>IFERROR(__xludf.DUMMYFUNCTION("GOOGLETRANSLATE(C1002, ""en"", ""es"")"),"helecho")</f>
        <v>helecho</v>
      </c>
      <c r="F1002" s="8" t="str">
        <f>IFERROR(__xludf.DUMMYFUNCTION("GOOGLETRANSLATE(C1002, ""en"", ""fr"")"),"fougère")</f>
        <v>fougère</v>
      </c>
      <c r="G1002" s="8" t="str">
        <f>IFERROR(__xludf.DUMMYFUNCTION("GOOGLETRANSLATE(C1002, ""en"", ""de"")"),"Adlerfarn")</f>
        <v>Adlerfarn</v>
      </c>
      <c r="H1002" s="8" t="str">
        <f>IFERROR(__xludf.DUMMYFUNCTION("GOOGLETRANSLATE(C1002, ""en"", ""ru"")"),"папоротник")</f>
        <v>папоротник</v>
      </c>
      <c r="I1002" s="8" t="str">
        <f>IFERROR(__xludf.DUMMYFUNCTION("GOOGLETRANSLATE(C1002, ""en"", ""ar"")"),"السرخس")</f>
        <v>السرخس</v>
      </c>
      <c r="J1002" s="8"/>
      <c r="K1002" s="7" t="str">
        <f>IFERROR(__xludf.DUMMYFUNCTION("CONCAT(REGEXREPLACE(C1002,""[ ,]+"",""_""),"".mp3"")"),"bracken.mp3")</f>
        <v>bracken.mp3</v>
      </c>
      <c r="M1002" s="4" t="s">
        <v>10</v>
      </c>
    </row>
    <row r="1003" ht="15.75" customHeight="1">
      <c r="A1003" s="1">
        <v>2371.0</v>
      </c>
      <c r="B1003" s="3">
        <v>149.0</v>
      </c>
      <c r="C1003" s="7" t="s">
        <v>1030</v>
      </c>
      <c r="D1003" s="8" t="str">
        <f>IFERROR(__xludf.DUMMYFUNCTION("GOOGLETRANSLATE(C1003, ""en"", ""pt"")"),"musgo")</f>
        <v>musgo</v>
      </c>
      <c r="E1003" s="8" t="str">
        <f>IFERROR(__xludf.DUMMYFUNCTION("GOOGLETRANSLATE(C1003, ""en"", ""es"")"),"musgo")</f>
        <v>musgo</v>
      </c>
      <c r="F1003" s="8" t="str">
        <f>IFERROR(__xludf.DUMMYFUNCTION("GOOGLETRANSLATE(C1003, ""en"", ""fr"")"),"mousse")</f>
        <v>mousse</v>
      </c>
      <c r="G1003" s="8" t="str">
        <f>IFERROR(__xludf.DUMMYFUNCTION("GOOGLETRANSLATE(C1003, ""en"", ""de"")"),"Moos")</f>
        <v>Moos</v>
      </c>
      <c r="H1003" s="8" t="str">
        <f>IFERROR(__xludf.DUMMYFUNCTION("GOOGLETRANSLATE(C1003, ""en"", ""ru"")"),"мох")</f>
        <v>мох</v>
      </c>
      <c r="I1003" s="8" t="str">
        <f>IFERROR(__xludf.DUMMYFUNCTION("GOOGLETRANSLATE(C1003, ""en"", ""ar"")"),"طحلب")</f>
        <v>طحلب</v>
      </c>
      <c r="J1003" s="8"/>
      <c r="K1003" s="7" t="str">
        <f>IFERROR(__xludf.DUMMYFUNCTION("CONCAT(REGEXREPLACE(C1003,""[ ,]+"",""_""),"".mp3"")"),"moss.mp3")</f>
        <v>moss.mp3</v>
      </c>
      <c r="M1003" s="4" t="s">
        <v>10</v>
      </c>
    </row>
    <row r="1004" ht="15.75" customHeight="1">
      <c r="A1004" s="1">
        <v>2372.0</v>
      </c>
      <c r="B1004" s="3">
        <v>149.0</v>
      </c>
      <c r="C1004" s="7" t="s">
        <v>1031</v>
      </c>
      <c r="D1004" s="8" t="str">
        <f>IFERROR(__xludf.DUMMYFUNCTION("GOOGLETRANSLATE(C1004, ""en"", ""pt"")"),"hepática")</f>
        <v>hepática</v>
      </c>
      <c r="E1004" s="8" t="str">
        <f>IFERROR(__xludf.DUMMYFUNCTION("GOOGLETRANSLATE(C1004, ""en"", ""es"")"),"hepática")</f>
        <v>hepática</v>
      </c>
      <c r="F1004" s="8" t="str">
        <f>IFERROR(__xludf.DUMMYFUNCTION("GOOGLETRANSLATE(C1004, ""en"", ""fr"")"),"hépatique")</f>
        <v>hépatique</v>
      </c>
      <c r="G1004" s="8" t="str">
        <f>IFERROR(__xludf.DUMMYFUNCTION("GOOGLETRANSLATE(C1004, ""en"", ""de"")"),"Lebermoos")</f>
        <v>Lebermoos</v>
      </c>
      <c r="H1004" s="8" t="str">
        <f>IFERROR(__xludf.DUMMYFUNCTION("GOOGLETRANSLATE(C1004, ""en"", ""ru"")"),"печеночник")</f>
        <v>печеночник</v>
      </c>
      <c r="I1004" s="8" t="str">
        <f>IFERROR(__xludf.DUMMYFUNCTION("GOOGLETRANSLATE(C1004, ""en"", ""ar"")"),"حشيشة الكبد نبات طحلبي")</f>
        <v>حشيشة الكبد نبات طحلبي</v>
      </c>
      <c r="J1004" s="8"/>
      <c r="K1004" s="7" t="str">
        <f>IFERROR(__xludf.DUMMYFUNCTION("CONCAT(REGEXREPLACE(C1004,""[ ,]+"",""_""),"".mp3"")"),"liverwort.mp3")</f>
        <v>liverwort.mp3</v>
      </c>
      <c r="M1004" s="4" t="s">
        <v>10</v>
      </c>
    </row>
    <row r="1005" ht="15.75" customHeight="1">
      <c r="A1005" s="1">
        <v>2373.0</v>
      </c>
      <c r="B1005" s="3">
        <v>149.0</v>
      </c>
      <c r="C1005" s="7" t="s">
        <v>1032</v>
      </c>
      <c r="D1005" s="8" t="str">
        <f>IFERROR(__xludf.DUMMYFUNCTION("GOOGLETRANSLATE(C1005, ""en"", ""pt"")"),"hera")</f>
        <v>hera</v>
      </c>
      <c r="E1005" s="8" t="str">
        <f>IFERROR(__xludf.DUMMYFUNCTION("GOOGLETRANSLATE(C1005, ""en"", ""es"")"),"hiedra")</f>
        <v>hiedra</v>
      </c>
      <c r="F1005" s="8" t="str">
        <f>IFERROR(__xludf.DUMMYFUNCTION("GOOGLETRANSLATE(C1005, ""en"", ""fr"")"),"lierre")</f>
        <v>lierre</v>
      </c>
      <c r="G1005" s="8" t="str">
        <f>IFERROR(__xludf.DUMMYFUNCTION("GOOGLETRANSLATE(C1005, ""en"", ""de"")"),"Efeu")</f>
        <v>Efeu</v>
      </c>
      <c r="H1005" s="8" t="str">
        <f>IFERROR(__xludf.DUMMYFUNCTION("GOOGLETRANSLATE(C1005, ""en"", ""ru"")"),"плющ")</f>
        <v>плющ</v>
      </c>
      <c r="I1005" s="8" t="str">
        <f>IFERROR(__xludf.DUMMYFUNCTION("GOOGLETRANSLATE(C1005, ""en"", ""ar"")"),"اللبلاب")</f>
        <v>اللبلاب</v>
      </c>
      <c r="J1005" s="8"/>
      <c r="K1005" s="7" t="str">
        <f>IFERROR(__xludf.DUMMYFUNCTION("CONCAT(REGEXREPLACE(C1005,""[ ,]+"",""_""),"".mp3"")"),"ivy.mp3")</f>
        <v>ivy.mp3</v>
      </c>
      <c r="M1005" s="4" t="s">
        <v>10</v>
      </c>
    </row>
    <row r="1006" ht="15.75" customHeight="1">
      <c r="A1006" s="1">
        <v>2374.0</v>
      </c>
      <c r="B1006" s="3">
        <v>149.0</v>
      </c>
      <c r="C1006" s="7" t="s">
        <v>1033</v>
      </c>
      <c r="D1006" s="8" t="str">
        <f>IFERROR(__xludf.DUMMYFUNCTION("GOOGLETRANSLATE(C1006, ""en"", ""pt"")"),"videira")</f>
        <v>videira</v>
      </c>
      <c r="E1006" s="8" t="str">
        <f>IFERROR(__xludf.DUMMYFUNCTION("GOOGLETRANSLATE(C1006, ""en"", ""es"")"),"enredadera")</f>
        <v>enredadera</v>
      </c>
      <c r="F1006" s="8" t="str">
        <f>IFERROR(__xludf.DUMMYFUNCTION("GOOGLETRANSLATE(C1006, ""en"", ""fr"")"),"vigne")</f>
        <v>vigne</v>
      </c>
      <c r="G1006" s="8" t="str">
        <f>IFERROR(__xludf.DUMMYFUNCTION("GOOGLETRANSLATE(C1006, ""en"", ""de"")"),"Rebe")</f>
        <v>Rebe</v>
      </c>
      <c r="H1006" s="8" t="str">
        <f>IFERROR(__xludf.DUMMYFUNCTION("GOOGLETRANSLATE(C1006, ""en"", ""ru"")"),"лоза")</f>
        <v>лоза</v>
      </c>
      <c r="I1006" s="8" t="str">
        <f>IFERROR(__xludf.DUMMYFUNCTION("GOOGLETRANSLATE(C1006, ""en"", ""ar"")"),"كرمة")</f>
        <v>كرمة</v>
      </c>
      <c r="J1006" s="8"/>
      <c r="K1006" s="7" t="str">
        <f>IFERROR(__xludf.DUMMYFUNCTION("CONCAT(REGEXREPLACE(C1006,""[ ,]+"",""_""),"".mp3"")"),"vine.mp3")</f>
        <v>vine.mp3</v>
      </c>
      <c r="M1006" s="4" t="s">
        <v>10</v>
      </c>
    </row>
    <row r="1007" ht="15.75" customHeight="1">
      <c r="A1007" s="1">
        <v>2375.0</v>
      </c>
      <c r="B1007" s="3">
        <v>149.0</v>
      </c>
      <c r="C1007" s="7" t="s">
        <v>1034</v>
      </c>
      <c r="D1007" s="8" t="str">
        <f>IFERROR(__xludf.DUMMYFUNCTION("GOOGLETRANSLATE(C1007, ""en"", ""pt"")"),"videira")</f>
        <v>videira</v>
      </c>
      <c r="E1007" s="8" t="str">
        <f>IFERROR(__xludf.DUMMYFUNCTION("GOOGLETRANSLATE(C1007, ""en"", ""es"")"),"vid")</f>
        <v>vid</v>
      </c>
      <c r="F1007" s="8" t="str">
        <f>IFERROR(__xludf.DUMMYFUNCTION("GOOGLETRANSLATE(C1007, ""en"", ""fr"")"),"vigne")</f>
        <v>vigne</v>
      </c>
      <c r="G1007" s="8" t="str">
        <f>IFERROR(__xludf.DUMMYFUNCTION("GOOGLETRANSLATE(C1007, ""en"", ""de"")"),"Weinrebe")</f>
        <v>Weinrebe</v>
      </c>
      <c r="H1007" s="8" t="str">
        <f>IFERROR(__xludf.DUMMYFUNCTION("GOOGLETRANSLATE(C1007, ""en"", ""ru"")"),"виноградная лоза")</f>
        <v>виноградная лоза</v>
      </c>
      <c r="I1007" s="8" t="str">
        <f>IFERROR(__xludf.DUMMYFUNCTION("GOOGLETRANSLATE(C1007, ""en"", ""ar"")"),"العنب")</f>
        <v>العنب</v>
      </c>
      <c r="J1007" s="8"/>
      <c r="K1007" s="7" t="str">
        <f>IFERROR(__xludf.DUMMYFUNCTION("CONCAT(REGEXREPLACE(C1007,""[ ,]+"",""_""),"".mp3"")"),"grapevine.mp3")</f>
        <v>grapevine.mp3</v>
      </c>
      <c r="M1007" s="4" t="s">
        <v>10</v>
      </c>
    </row>
    <row r="1008" ht="15.75" customHeight="1">
      <c r="A1008" s="1">
        <v>2376.0</v>
      </c>
      <c r="B1008" s="3">
        <v>149.0</v>
      </c>
      <c r="C1008" s="7" t="s">
        <v>1035</v>
      </c>
      <c r="D1008" s="8" t="str">
        <f>IFERROR(__xludf.DUMMYFUNCTION("GOOGLETRANSLATE(C1008, ""en"", ""pt"")"),"rastejante")</f>
        <v>rastejante</v>
      </c>
      <c r="E1008" s="8" t="str">
        <f>IFERROR(__xludf.DUMMYFUNCTION("GOOGLETRANSLATE(C1008, ""en"", ""es"")"),"enredadera")</f>
        <v>enredadera</v>
      </c>
      <c r="F1008" s="8" t="str">
        <f>IFERROR(__xludf.DUMMYFUNCTION("GOOGLETRANSLATE(C1008, ""en"", ""fr"")"),"liane")</f>
        <v>liane</v>
      </c>
      <c r="G1008" s="8" t="str">
        <f>IFERROR(__xludf.DUMMYFUNCTION("GOOGLETRANSLATE(C1008, ""en"", ""de"")"),"Creeper")</f>
        <v>Creeper</v>
      </c>
      <c r="H1008" s="8" t="str">
        <f>IFERROR(__xludf.DUMMYFUNCTION("GOOGLETRANSLATE(C1008, ""en"", ""ru"")"),"ползун")</f>
        <v>ползун</v>
      </c>
      <c r="I1008" s="8" t="str">
        <f>IFERROR(__xludf.DUMMYFUNCTION("GOOGLETRANSLATE(C1008, ""en"", ""ar"")"),"زاحف")</f>
        <v>زاحف</v>
      </c>
      <c r="J1008" s="8"/>
      <c r="K1008" s="7" t="str">
        <f>IFERROR(__xludf.DUMMYFUNCTION("CONCAT(REGEXREPLACE(C1008,""[ ,]+"",""_""),"".mp3"")"),"creeper.mp3")</f>
        <v>creeper.mp3</v>
      </c>
      <c r="M1008" s="4" t="s">
        <v>10</v>
      </c>
    </row>
    <row r="1009" ht="15.75" customHeight="1">
      <c r="A1009" s="1">
        <v>2377.0</v>
      </c>
      <c r="B1009" s="3">
        <v>149.0</v>
      </c>
      <c r="C1009" s="7" t="s">
        <v>1036</v>
      </c>
      <c r="D1009" s="8" t="str">
        <f>IFERROR(__xludf.DUMMYFUNCTION("GOOGLETRANSLATE(C1009, ""en"", ""pt"")"),"trepadeira de madressilva")</f>
        <v>trepadeira de madressilva</v>
      </c>
      <c r="E1009" s="8" t="str">
        <f>IFERROR(__xludf.DUMMYFUNCTION("GOOGLETRANSLATE(C1009, ""en"", ""es"")"),"enredadera de madreselva")</f>
        <v>enredadera de madreselva</v>
      </c>
      <c r="F1009" s="8" t="str">
        <f>IFERROR(__xludf.DUMMYFUNCTION("GOOGLETRANSLATE(C1009, ""en"", ""fr"")"),"vigne de chèvrefeuille")</f>
        <v>vigne de chèvrefeuille</v>
      </c>
      <c r="G1009" s="8" t="str">
        <f>IFERROR(__xludf.DUMMYFUNCTION("GOOGLETRANSLATE(C1009, ""en"", ""de"")"),"Geißblatt-Ranke")</f>
        <v>Geißblatt-Ranke</v>
      </c>
      <c r="H1009" s="8" t="str">
        <f>IFERROR(__xludf.DUMMYFUNCTION("GOOGLETRANSLATE(C1009, ""en"", ""ru"")"),"жимолость")</f>
        <v>жимолость</v>
      </c>
      <c r="I1009" s="8" t="str">
        <f>IFERROR(__xludf.DUMMYFUNCTION("GOOGLETRANSLATE(C1009, ""en"", ""ar"")"),"كرمة زهر العسل")</f>
        <v>كرمة زهر العسل</v>
      </c>
      <c r="J1009" s="8"/>
      <c r="K1009" s="7" t="str">
        <f>IFERROR(__xludf.DUMMYFUNCTION("CONCAT(REGEXREPLACE(C1009,""[ ,]+"",""_""),"".mp3"")"),"honeysuckle_vine.mp3")</f>
        <v>honeysuckle_vine.mp3</v>
      </c>
      <c r="M1009" s="4" t="s">
        <v>10</v>
      </c>
    </row>
    <row r="1010" ht="15.75" customHeight="1">
      <c r="A1010" s="1">
        <v>2378.0</v>
      </c>
      <c r="B1010" s="3">
        <v>149.0</v>
      </c>
      <c r="C1010" s="7" t="s">
        <v>1037</v>
      </c>
      <c r="D1010" s="8" t="str">
        <f>IFERROR(__xludf.DUMMYFUNCTION("GOOGLETRANSLATE(C1010, ""en"", ""pt"")"),"cacto")</f>
        <v>cacto</v>
      </c>
      <c r="E1010" s="8" t="str">
        <f>IFERROR(__xludf.DUMMYFUNCTION("GOOGLETRANSLATE(C1010, ""en"", ""es"")"),"cactus")</f>
        <v>cactus</v>
      </c>
      <c r="F1010" s="8" t="str">
        <f>IFERROR(__xludf.DUMMYFUNCTION("GOOGLETRANSLATE(C1010, ""en"", ""fr"")"),"cactus")</f>
        <v>cactus</v>
      </c>
      <c r="G1010" s="8" t="str">
        <f>IFERROR(__xludf.DUMMYFUNCTION("GOOGLETRANSLATE(C1010, ""en"", ""de"")"),"Kaktus")</f>
        <v>Kaktus</v>
      </c>
      <c r="H1010" s="8" t="str">
        <f>IFERROR(__xludf.DUMMYFUNCTION("GOOGLETRANSLATE(C1010, ""en"", ""ru"")"),"кактус")</f>
        <v>кактус</v>
      </c>
      <c r="I1010" s="8" t="str">
        <f>IFERROR(__xludf.DUMMYFUNCTION("GOOGLETRANSLATE(C1010, ""en"", ""ar"")"),"صبار")</f>
        <v>صبار</v>
      </c>
      <c r="J1010" s="8"/>
      <c r="K1010" s="7" t="str">
        <f>IFERROR(__xludf.DUMMYFUNCTION("CONCAT(REGEXREPLACE(C1010,""[ ,]+"",""_""),"".mp3"")"),"cactus.mp3")</f>
        <v>cactus.mp3</v>
      </c>
      <c r="M1010" s="4" t="s">
        <v>10</v>
      </c>
    </row>
    <row r="1011" ht="15.75" customHeight="1">
      <c r="A1011" s="1">
        <v>2379.0</v>
      </c>
      <c r="B1011" s="3">
        <v>149.0</v>
      </c>
      <c r="C1011" s="7" t="s">
        <v>1038</v>
      </c>
      <c r="D1011" s="8" t="str">
        <f>IFERROR(__xludf.DUMMYFUNCTION("GOOGLETRANSLATE(C1011, ""en"", ""pt"")"),"aloe vera")</f>
        <v>aloe vera</v>
      </c>
      <c r="E1011" s="8" t="str">
        <f>IFERROR(__xludf.DUMMYFUNCTION("GOOGLETRANSLATE(C1011, ""en"", ""es"")"),"aloe vera")</f>
        <v>aloe vera</v>
      </c>
      <c r="F1011" s="8" t="str">
        <f>IFERROR(__xludf.DUMMYFUNCTION("GOOGLETRANSLATE(C1011, ""en"", ""fr"")"),"aloès")</f>
        <v>aloès</v>
      </c>
      <c r="G1011" s="8" t="str">
        <f>IFERROR(__xludf.DUMMYFUNCTION("GOOGLETRANSLATE(C1011, ""en"", ""de"")"),"Aloe Vera")</f>
        <v>Aloe Vera</v>
      </c>
      <c r="H1011" s="8" t="str">
        <f>IFERROR(__xludf.DUMMYFUNCTION("GOOGLETRANSLATE(C1011, ""en"", ""ru"")"),"алоэ вера")</f>
        <v>алоэ вера</v>
      </c>
      <c r="I1011" s="8" t="str">
        <f>IFERROR(__xludf.DUMMYFUNCTION("GOOGLETRANSLATE(C1011, ""en"", ""ar"")"),"الصبار")</f>
        <v>الصبار</v>
      </c>
      <c r="J1011" s="8"/>
      <c r="K1011" s="7" t="str">
        <f>IFERROR(__xludf.DUMMYFUNCTION("CONCAT(REGEXREPLACE(C1011,""[ ,]+"",""_""),"".mp3"")"),"aloe_vera.mp3")</f>
        <v>aloe_vera.mp3</v>
      </c>
      <c r="M1011" s="4" t="s">
        <v>10</v>
      </c>
    </row>
    <row r="1012" ht="15.75" customHeight="1">
      <c r="A1012" s="1">
        <v>2380.0</v>
      </c>
      <c r="B1012" s="3">
        <v>149.0</v>
      </c>
      <c r="C1012" s="7" t="s">
        <v>1039</v>
      </c>
      <c r="D1012" s="8" t="str">
        <f>IFERROR(__xludf.DUMMYFUNCTION("GOOGLETRANSLATE(C1012, ""en"", ""pt"")"),"agave")</f>
        <v>agave</v>
      </c>
      <c r="E1012" s="8" t="str">
        <f>IFERROR(__xludf.DUMMYFUNCTION("GOOGLETRANSLATE(C1012, ""en"", ""es"")"),"agave")</f>
        <v>agave</v>
      </c>
      <c r="F1012" s="8" t="str">
        <f>IFERROR(__xludf.DUMMYFUNCTION("GOOGLETRANSLATE(C1012, ""en"", ""fr"")"),"agave")</f>
        <v>agave</v>
      </c>
      <c r="G1012" s="8" t="str">
        <f>IFERROR(__xludf.DUMMYFUNCTION("GOOGLETRANSLATE(C1012, ""en"", ""de"")"),"Agave")</f>
        <v>Agave</v>
      </c>
      <c r="H1012" s="8" t="str">
        <f>IFERROR(__xludf.DUMMYFUNCTION("GOOGLETRANSLATE(C1012, ""en"", ""ru"")"),"агава")</f>
        <v>агава</v>
      </c>
      <c r="I1012" s="8" t="str">
        <f>IFERROR(__xludf.DUMMYFUNCTION("GOOGLETRANSLATE(C1012, ""en"", ""ar"")"),"الأغاف")</f>
        <v>الأغاف</v>
      </c>
      <c r="J1012" s="8"/>
      <c r="K1012" s="7" t="str">
        <f>IFERROR(__xludf.DUMMYFUNCTION("CONCAT(REGEXREPLACE(C1012,""[ ,]+"",""_""),"".mp3"")"),"agave.mp3")</f>
        <v>agave.mp3</v>
      </c>
      <c r="M1012" s="4" t="s">
        <v>10</v>
      </c>
    </row>
    <row r="1013" ht="15.75" customHeight="1">
      <c r="A1013" s="1">
        <v>2381.0</v>
      </c>
      <c r="B1013" s="3">
        <v>149.0</v>
      </c>
      <c r="C1013" s="7" t="s">
        <v>1040</v>
      </c>
      <c r="D1013" s="8" t="str">
        <f>IFERROR(__xludf.DUMMYFUNCTION("GOOGLETRANSLATE(C1013, ""en"", ""pt"")"),"suculenta")</f>
        <v>suculenta</v>
      </c>
      <c r="E1013" s="8" t="str">
        <f>IFERROR(__xludf.DUMMYFUNCTION("GOOGLETRANSLATE(C1013, ""en"", ""es"")"),"suculento")</f>
        <v>suculento</v>
      </c>
      <c r="F1013" s="8" t="str">
        <f>IFERROR(__xludf.DUMMYFUNCTION("GOOGLETRANSLATE(C1013, ""en"", ""fr"")"),"succulent")</f>
        <v>succulent</v>
      </c>
      <c r="G1013" s="8" t="str">
        <f>IFERROR(__xludf.DUMMYFUNCTION("GOOGLETRANSLATE(C1013, ""en"", ""de"")"),"saftig")</f>
        <v>saftig</v>
      </c>
      <c r="H1013" s="8" t="str">
        <f>IFERROR(__xludf.DUMMYFUNCTION("GOOGLETRANSLATE(C1013, ""en"", ""ru"")"),"суккулент")</f>
        <v>суккулент</v>
      </c>
      <c r="I1013" s="8" t="str">
        <f>IFERROR(__xludf.DUMMYFUNCTION("GOOGLETRANSLATE(C1013, ""en"", ""ar"")"),"عصاري")</f>
        <v>عصاري</v>
      </c>
      <c r="J1013" s="8"/>
      <c r="K1013" s="7" t="str">
        <f>IFERROR(__xludf.DUMMYFUNCTION("CONCAT(REGEXREPLACE(C1013,""[ ,]+"",""_""),"".mp3"")"),"succulent.mp3")</f>
        <v>succulent.mp3</v>
      </c>
      <c r="M1013" s="4" t="s">
        <v>10</v>
      </c>
    </row>
    <row r="1014" ht="15.75" customHeight="1">
      <c r="A1014" s="1">
        <v>2382.0</v>
      </c>
      <c r="B1014" s="3">
        <v>149.0</v>
      </c>
      <c r="C1014" s="7" t="s">
        <v>1041</v>
      </c>
      <c r="D1014" s="8" t="str">
        <f>IFERROR(__xludf.DUMMYFUNCTION("GOOGLETRANSLATE(C1014, ""en"", ""pt"")"),"planta jade")</f>
        <v>planta jade</v>
      </c>
      <c r="E1014" s="8" t="str">
        <f>IFERROR(__xludf.DUMMYFUNCTION("GOOGLETRANSLATE(C1014, ""en"", ""es"")"),"planta de jade")</f>
        <v>planta de jade</v>
      </c>
      <c r="F1014" s="8" t="str">
        <f>IFERROR(__xludf.DUMMYFUNCTION("GOOGLETRANSLATE(C1014, ""en"", ""fr"")"),"plante de jade")</f>
        <v>plante de jade</v>
      </c>
      <c r="G1014" s="8" t="str">
        <f>IFERROR(__xludf.DUMMYFUNCTION("GOOGLETRANSLATE(C1014, ""en"", ""de"")"),"Jade-Pflanze")</f>
        <v>Jade-Pflanze</v>
      </c>
      <c r="H1014" s="8" t="str">
        <f>IFERROR(__xludf.DUMMYFUNCTION("GOOGLETRANSLATE(C1014, ""en"", ""ru"")"),"нефритовое растение")</f>
        <v>нефритовое растение</v>
      </c>
      <c r="I1014" s="8" t="str">
        <f>IFERROR(__xludf.DUMMYFUNCTION("GOOGLETRANSLATE(C1014, ""en"", ""ar"")"),"نبات اليشم")</f>
        <v>نبات اليشم</v>
      </c>
      <c r="J1014" s="8"/>
      <c r="K1014" s="7" t="str">
        <f>IFERROR(__xludf.DUMMYFUNCTION("CONCAT(REGEXREPLACE(C1014,""[ ,]+"",""_""),"".mp3"")"),"jade_plant.mp3")</f>
        <v>jade_plant.mp3</v>
      </c>
      <c r="M1014" s="4" t="s">
        <v>10</v>
      </c>
    </row>
    <row r="1015" ht="15.75" customHeight="1">
      <c r="A1015" s="1">
        <v>2383.0</v>
      </c>
      <c r="B1015" s="3">
        <v>149.0</v>
      </c>
      <c r="C1015" s="7" t="s">
        <v>1042</v>
      </c>
      <c r="D1015" s="8" t="str">
        <f>IFERROR(__xludf.DUMMYFUNCTION("GOOGLETRANSLATE(C1015, ""en"", ""pt"")"),"lírio d'água")</f>
        <v>lírio d'água</v>
      </c>
      <c r="E1015" s="8" t="str">
        <f>IFERROR(__xludf.DUMMYFUNCTION("GOOGLETRANSLATE(C1015, ""en"", ""es"")"),"nenúfar")</f>
        <v>nenúfar</v>
      </c>
      <c r="F1015" s="8" t="str">
        <f>IFERROR(__xludf.DUMMYFUNCTION("GOOGLETRANSLATE(C1015, ""en"", ""fr"")"),"nénuphar")</f>
        <v>nénuphar</v>
      </c>
      <c r="G1015" s="8" t="str">
        <f>IFERROR(__xludf.DUMMYFUNCTION("GOOGLETRANSLATE(C1015, ""en"", ""de"")"),"Seerose")</f>
        <v>Seerose</v>
      </c>
      <c r="H1015" s="8" t="str">
        <f>IFERROR(__xludf.DUMMYFUNCTION("GOOGLETRANSLATE(C1015, ""en"", ""ru"")"),"кувшинка")</f>
        <v>кувшинка</v>
      </c>
      <c r="I1015" s="8" t="str">
        <f>IFERROR(__xludf.DUMMYFUNCTION("GOOGLETRANSLATE(C1015, ""en"", ""ar"")"),"زنبق الماء")</f>
        <v>زنبق الماء</v>
      </c>
      <c r="J1015" s="8"/>
      <c r="K1015" s="7" t="str">
        <f>IFERROR(__xludf.DUMMYFUNCTION("CONCAT(REGEXREPLACE(C1015,""[ ,]+"",""_""),"".mp3"")"),"water_lily.mp3")</f>
        <v>water_lily.mp3</v>
      </c>
      <c r="M1015" s="4" t="s">
        <v>10</v>
      </c>
    </row>
    <row r="1016" ht="15.75" customHeight="1">
      <c r="A1016" s="1">
        <v>2384.0</v>
      </c>
      <c r="B1016" s="3">
        <v>149.0</v>
      </c>
      <c r="C1016" s="7" t="s">
        <v>1043</v>
      </c>
      <c r="D1016" s="8" t="str">
        <f>IFERROR(__xludf.DUMMYFUNCTION("GOOGLETRANSLATE(C1016, ""en"", ""pt"")"),"lótus")</f>
        <v>lótus</v>
      </c>
      <c r="E1016" s="8" t="str">
        <f>IFERROR(__xludf.DUMMYFUNCTION("GOOGLETRANSLATE(C1016, ""en"", ""es"")"),"loto")</f>
        <v>loto</v>
      </c>
      <c r="F1016" s="8" t="str">
        <f>IFERROR(__xludf.DUMMYFUNCTION("GOOGLETRANSLATE(C1016, ""en"", ""fr"")"),"lotus")</f>
        <v>lotus</v>
      </c>
      <c r="G1016" s="8" t="str">
        <f>IFERROR(__xludf.DUMMYFUNCTION("GOOGLETRANSLATE(C1016, ""en"", ""de"")"),"Lotus")</f>
        <v>Lotus</v>
      </c>
      <c r="H1016" s="8" t="str">
        <f>IFERROR(__xludf.DUMMYFUNCTION("GOOGLETRANSLATE(C1016, ""en"", ""ru"")"),"лотос")</f>
        <v>лотос</v>
      </c>
      <c r="I1016" s="8" t="str">
        <f>IFERROR(__xludf.DUMMYFUNCTION("GOOGLETRANSLATE(C1016, ""en"", ""ar"")"),"زهرة اللوتس")</f>
        <v>زهرة اللوتس</v>
      </c>
      <c r="J1016" s="8"/>
      <c r="K1016" s="7" t="str">
        <f>IFERROR(__xludf.DUMMYFUNCTION("CONCAT(REGEXREPLACE(C1016,""[ ,]+"",""_""),"".mp3"")"),"lotus.mp3")</f>
        <v>lotus.mp3</v>
      </c>
      <c r="M1016" s="4" t="s">
        <v>10</v>
      </c>
    </row>
    <row r="1017" ht="15.75" customHeight="1">
      <c r="A1017" s="1">
        <v>2385.0</v>
      </c>
      <c r="B1017" s="3">
        <v>149.0</v>
      </c>
      <c r="C1017" s="7" t="s">
        <v>1044</v>
      </c>
      <c r="D1017" s="8" t="str">
        <f>IFERROR(__xludf.DUMMYFUNCTION("GOOGLETRANSLATE(C1017, ""en"", ""pt"")"),"cana")</f>
        <v>cana</v>
      </c>
      <c r="E1017" s="8" t="str">
        <f>IFERROR(__xludf.DUMMYFUNCTION("GOOGLETRANSLATE(C1017, ""en"", ""es"")"),"caña")</f>
        <v>caña</v>
      </c>
      <c r="F1017" s="8" t="str">
        <f>IFERROR(__xludf.DUMMYFUNCTION("GOOGLETRANSLATE(C1017, ""en"", ""fr"")"),"roseau")</f>
        <v>roseau</v>
      </c>
      <c r="G1017" s="8" t="str">
        <f>IFERROR(__xludf.DUMMYFUNCTION("GOOGLETRANSLATE(C1017, ""en"", ""de"")"),"Schilf")</f>
        <v>Schilf</v>
      </c>
      <c r="H1017" s="8" t="str">
        <f>IFERROR(__xludf.DUMMYFUNCTION("GOOGLETRANSLATE(C1017, ""en"", ""ru"")"),"тростник")</f>
        <v>тростник</v>
      </c>
      <c r="I1017" s="8" t="str">
        <f>IFERROR(__xludf.DUMMYFUNCTION("GOOGLETRANSLATE(C1017, ""en"", ""ar"")"),"قصبة")</f>
        <v>قصبة</v>
      </c>
      <c r="J1017" s="8"/>
      <c r="K1017" s="7" t="str">
        <f>IFERROR(__xludf.DUMMYFUNCTION("CONCAT(REGEXREPLACE(C1017,""[ ,]+"",""_""),"".mp3"")"),"reed.mp3")</f>
        <v>reed.mp3</v>
      </c>
      <c r="M1017" s="4" t="s">
        <v>10</v>
      </c>
    </row>
    <row r="1018" ht="15.75" customHeight="1">
      <c r="A1018" s="1">
        <v>2386.0</v>
      </c>
      <c r="B1018" s="3">
        <v>149.0</v>
      </c>
      <c r="C1018" s="7" t="s">
        <v>1045</v>
      </c>
      <c r="D1018" s="8" t="str">
        <f>IFERROR(__xludf.DUMMYFUNCTION("GOOGLETRANSLATE(C1018, ""en"", ""pt"")"),"taboa")</f>
        <v>taboa</v>
      </c>
      <c r="E1018" s="8" t="str">
        <f>IFERROR(__xludf.DUMMYFUNCTION("GOOGLETRANSLATE(C1018, ""en"", ""es"")"),"espadaña")</f>
        <v>espadaña</v>
      </c>
      <c r="F1018" s="8" t="str">
        <f>IFERROR(__xludf.DUMMYFUNCTION("GOOGLETRANSLATE(C1018, ""en"", ""fr"")"),"quenouille")</f>
        <v>quenouille</v>
      </c>
      <c r="G1018" s="8" t="str">
        <f>IFERROR(__xludf.DUMMYFUNCTION("GOOGLETRANSLATE(C1018, ""en"", ""de"")"),"Rohrkolben")</f>
        <v>Rohrkolben</v>
      </c>
      <c r="H1018" s="8" t="str">
        <f>IFERROR(__xludf.DUMMYFUNCTION("GOOGLETRANSLATE(C1018, ""en"", ""ru"")"),"рогоз")</f>
        <v>рогоз</v>
      </c>
      <c r="I1018" s="8" t="str">
        <f>IFERROR(__xludf.DUMMYFUNCTION("GOOGLETRANSLATE(C1018, ""en"", ""ar"")"),"نبات البردي")</f>
        <v>نبات البردي</v>
      </c>
      <c r="J1018" s="8"/>
      <c r="K1018" s="7" t="str">
        <f>IFERROR(__xludf.DUMMYFUNCTION("CONCAT(REGEXREPLACE(C1018,""[ ,]+"",""_""),"".mp3"")"),"cattail.mp3")</f>
        <v>cattail.mp3</v>
      </c>
      <c r="M1018" s="4" t="s">
        <v>10</v>
      </c>
    </row>
    <row r="1019" ht="15.75" customHeight="1">
      <c r="A1019" s="1">
        <v>2387.0</v>
      </c>
      <c r="B1019" s="3">
        <v>149.0</v>
      </c>
      <c r="C1019" s="7" t="s">
        <v>1046</v>
      </c>
      <c r="D1019" s="8" t="str">
        <f>IFERROR(__xludf.DUMMYFUNCTION("GOOGLETRANSLATE(C1019, ""en"", ""pt"")"),"vegetal")</f>
        <v>vegetal</v>
      </c>
      <c r="E1019" s="8" t="str">
        <f>IFERROR(__xludf.DUMMYFUNCTION("GOOGLETRANSLATE(C1019, ""en"", ""es"")"),"verdura")</f>
        <v>verdura</v>
      </c>
      <c r="F1019" s="8" t="str">
        <f>IFERROR(__xludf.DUMMYFUNCTION("GOOGLETRANSLATE(C1019, ""en"", ""fr"")"),"légume")</f>
        <v>légume</v>
      </c>
      <c r="G1019" s="8" t="str">
        <f>IFERROR(__xludf.DUMMYFUNCTION("GOOGLETRANSLATE(C1019, ""en"", ""de"")"),"Gemüse")</f>
        <v>Gemüse</v>
      </c>
      <c r="H1019" s="8" t="str">
        <f>IFERROR(__xludf.DUMMYFUNCTION("GOOGLETRANSLATE(C1019, ""en"", ""ru"")"),"овощ")</f>
        <v>овощ</v>
      </c>
      <c r="I1019" s="8" t="str">
        <f>IFERROR(__xludf.DUMMYFUNCTION("GOOGLETRANSLATE(C1019, ""en"", ""ar"")"),"خضار")</f>
        <v>خضار</v>
      </c>
      <c r="J1019" s="8"/>
      <c r="K1019" s="7" t="str">
        <f>IFERROR(__xludf.DUMMYFUNCTION("CONCAT(REGEXREPLACE(C1019,""[ ,]+"",""_""),"".mp3"")"),"vegetable.mp3")</f>
        <v>vegetable.mp3</v>
      </c>
      <c r="M1019" s="4" t="s">
        <v>10</v>
      </c>
    </row>
    <row r="1020" ht="15.75" customHeight="1">
      <c r="A1020" s="1">
        <v>2388.0</v>
      </c>
      <c r="B1020" s="3">
        <v>149.0</v>
      </c>
      <c r="C1020" s="7" t="s">
        <v>1047</v>
      </c>
      <c r="D1020" s="8" t="str">
        <f>IFERROR(__xludf.DUMMYFUNCTION("GOOGLETRANSLATE(C1020, ""en"", ""pt"")"),"planta frutífera")</f>
        <v>planta frutífera</v>
      </c>
      <c r="E1020" s="8" t="str">
        <f>IFERROR(__xludf.DUMMYFUNCTION("GOOGLETRANSLATE(C1020, ""en"", ""es"")"),"planta frutal")</f>
        <v>planta frutal</v>
      </c>
      <c r="F1020" s="8" t="str">
        <f>IFERROR(__xludf.DUMMYFUNCTION("GOOGLETRANSLATE(C1020, ""en"", ""fr"")"),"plante fruitière")</f>
        <v>plante fruitière</v>
      </c>
      <c r="G1020" s="8" t="str">
        <f>IFERROR(__xludf.DUMMYFUNCTION("GOOGLETRANSLATE(C1020, ""en"", ""de"")"),"Obstpflanze")</f>
        <v>Obstpflanze</v>
      </c>
      <c r="H1020" s="8" t="str">
        <f>IFERROR(__xludf.DUMMYFUNCTION("GOOGLETRANSLATE(C1020, ""en"", ""ru"")"),"плодовое растение")</f>
        <v>плодовое растение</v>
      </c>
      <c r="I1020" s="8" t="str">
        <f>IFERROR(__xludf.DUMMYFUNCTION("GOOGLETRANSLATE(C1020, ""en"", ""ar"")"),"نبات فاكهة")</f>
        <v>نبات فاكهة</v>
      </c>
      <c r="J1020" s="8"/>
      <c r="K1020" s="7" t="str">
        <f>IFERROR(__xludf.DUMMYFUNCTION("CONCAT(REGEXREPLACE(C1020,""[ ,]+"",""_""),"".mp3"")"),"fruit_plant.mp3")</f>
        <v>fruit_plant.mp3</v>
      </c>
      <c r="M1020" s="4" t="s">
        <v>10</v>
      </c>
    </row>
    <row r="1021" ht="15.75" customHeight="1">
      <c r="A1021" s="1">
        <v>2389.0</v>
      </c>
      <c r="B1021" s="3">
        <v>149.0</v>
      </c>
      <c r="C1021" s="7" t="s">
        <v>1048</v>
      </c>
      <c r="D1021" s="8" t="str">
        <f>IFERROR(__xludf.DUMMYFUNCTION("GOOGLETRANSLATE(C1021, ""en"", ""pt"")"),"cortar")</f>
        <v>cortar</v>
      </c>
      <c r="E1021" s="8" t="str">
        <f>IFERROR(__xludf.DUMMYFUNCTION("GOOGLETRANSLATE(C1021, ""en"", ""es"")"),"cultivo")</f>
        <v>cultivo</v>
      </c>
      <c r="F1021" s="8" t="str">
        <f>IFERROR(__xludf.DUMMYFUNCTION("GOOGLETRANSLATE(C1021, ""en"", ""fr"")"),"recadrer")</f>
        <v>recadrer</v>
      </c>
      <c r="G1021" s="8" t="str">
        <f>IFERROR(__xludf.DUMMYFUNCTION("GOOGLETRANSLATE(C1021, ""en"", ""de"")"),"Ernte")</f>
        <v>Ernte</v>
      </c>
      <c r="H1021" s="8" t="str">
        <f>IFERROR(__xludf.DUMMYFUNCTION("GOOGLETRANSLATE(C1021, ""en"", ""ru"")"),"обрезать")</f>
        <v>обрезать</v>
      </c>
      <c r="I1021" s="8" t="str">
        <f>IFERROR(__xludf.DUMMYFUNCTION("GOOGLETRANSLATE(C1021, ""en"", ""ar"")"),"اقتصاص")</f>
        <v>اقتصاص</v>
      </c>
      <c r="J1021" s="8"/>
      <c r="K1021" s="7" t="str">
        <f>IFERROR(__xludf.DUMMYFUNCTION("CONCAT(REGEXREPLACE(C1021,""[ ,]+"",""_""),"".mp3"")"),"crop.mp3")</f>
        <v>crop.mp3</v>
      </c>
      <c r="M1021" s="4" t="s">
        <v>10</v>
      </c>
    </row>
    <row r="1022" ht="15.75" customHeight="1">
      <c r="A1022" s="1">
        <v>2390.0</v>
      </c>
      <c r="B1022" s="3">
        <v>149.0</v>
      </c>
      <c r="C1022" s="7" t="s">
        <v>1023</v>
      </c>
      <c r="D1022" s="8" t="str">
        <f>IFERROR(__xludf.DUMMYFUNCTION("GOOGLETRANSLATE(C1022, ""en"", ""pt"")"),"trigo")</f>
        <v>trigo</v>
      </c>
      <c r="E1022" s="8" t="str">
        <f>IFERROR(__xludf.DUMMYFUNCTION("GOOGLETRANSLATE(C1022, ""en"", ""es"")"),"trigo")</f>
        <v>trigo</v>
      </c>
      <c r="F1022" s="8" t="str">
        <f>IFERROR(__xludf.DUMMYFUNCTION("GOOGLETRANSLATE(C1022, ""en"", ""fr"")"),"blé")</f>
        <v>blé</v>
      </c>
      <c r="G1022" s="8" t="str">
        <f>IFERROR(__xludf.DUMMYFUNCTION("GOOGLETRANSLATE(C1022, ""en"", ""de"")"),"Weizen")</f>
        <v>Weizen</v>
      </c>
      <c r="H1022" s="8" t="str">
        <f>IFERROR(__xludf.DUMMYFUNCTION("GOOGLETRANSLATE(C1022, ""en"", ""ru"")"),"пшеница")</f>
        <v>пшеница</v>
      </c>
      <c r="I1022" s="8" t="str">
        <f>IFERROR(__xludf.DUMMYFUNCTION("GOOGLETRANSLATE(C1022, ""en"", ""ar"")"),"قمح")</f>
        <v>قمح</v>
      </c>
      <c r="J1022" s="8"/>
      <c r="K1022" s="7" t="str">
        <f>IFERROR(__xludf.DUMMYFUNCTION("CONCAT(REGEXREPLACE(C1022,""[ ,]+"",""_""),"".mp3"")"),"wheat.mp3")</f>
        <v>wheat.mp3</v>
      </c>
      <c r="M1022" s="4" t="s">
        <v>10</v>
      </c>
    </row>
    <row r="1023" ht="15.75" customHeight="1">
      <c r="A1023" s="1">
        <v>2391.0</v>
      </c>
      <c r="B1023" s="3">
        <v>149.0</v>
      </c>
      <c r="C1023" s="7" t="s">
        <v>1025</v>
      </c>
      <c r="D1023" s="8" t="str">
        <f>IFERROR(__xludf.DUMMYFUNCTION("GOOGLETRANSLATE(C1023, ""en"", ""pt"")"),"milho")</f>
        <v>milho</v>
      </c>
      <c r="E1023" s="8" t="str">
        <f>IFERROR(__xludf.DUMMYFUNCTION("GOOGLETRANSLATE(C1023, ""en"", ""es"")"),"maíz")</f>
        <v>maíz</v>
      </c>
      <c r="F1023" s="8" t="str">
        <f>IFERROR(__xludf.DUMMYFUNCTION("GOOGLETRANSLATE(C1023, ""en"", ""fr"")"),"maïs")</f>
        <v>maïs</v>
      </c>
      <c r="G1023" s="8" t="str">
        <f>IFERROR(__xludf.DUMMYFUNCTION("GOOGLETRANSLATE(C1023, ""en"", ""de"")"),"Mais")</f>
        <v>Mais</v>
      </c>
      <c r="H1023" s="8" t="str">
        <f>IFERROR(__xludf.DUMMYFUNCTION("GOOGLETRANSLATE(C1023, ""en"", ""ru"")"),"кукуруза")</f>
        <v>кукуруза</v>
      </c>
      <c r="I1023" s="8" t="str">
        <f>IFERROR(__xludf.DUMMYFUNCTION("GOOGLETRANSLATE(C1023, ""en"", ""ar"")"),"حبوب ذرة")</f>
        <v>حبوب ذرة</v>
      </c>
      <c r="J1023" s="8"/>
      <c r="K1023" s="7" t="str">
        <f>IFERROR(__xludf.DUMMYFUNCTION("CONCAT(REGEXREPLACE(C1023,""[ ,]+"",""_""),"".mp3"")"),"corn.mp3")</f>
        <v>corn.mp3</v>
      </c>
      <c r="M1023" s="4" t="s">
        <v>10</v>
      </c>
    </row>
    <row r="1024" ht="15.75" customHeight="1">
      <c r="A1024" s="1">
        <v>2392.0</v>
      </c>
      <c r="B1024" s="3">
        <v>149.0</v>
      </c>
      <c r="C1024" s="7" t="s">
        <v>125</v>
      </c>
      <c r="D1024" s="8" t="str">
        <f>IFERROR(__xludf.DUMMYFUNCTION("GOOGLETRANSLATE(C1024, ""en"", ""pt"")"),"batata")</f>
        <v>batata</v>
      </c>
      <c r="E1024" s="8" t="str">
        <f>IFERROR(__xludf.DUMMYFUNCTION("GOOGLETRANSLATE(C1024, ""en"", ""es"")"),"papa")</f>
        <v>papa</v>
      </c>
      <c r="F1024" s="8" t="str">
        <f>IFERROR(__xludf.DUMMYFUNCTION("GOOGLETRANSLATE(C1024, ""en"", ""fr"")"),"pomme de terre")</f>
        <v>pomme de terre</v>
      </c>
      <c r="G1024" s="8" t="str">
        <f>IFERROR(__xludf.DUMMYFUNCTION("GOOGLETRANSLATE(C1024, ""en"", ""de"")"),"Kartoffel")</f>
        <v>Kartoffel</v>
      </c>
      <c r="H1024" s="8" t="str">
        <f>IFERROR(__xludf.DUMMYFUNCTION("GOOGLETRANSLATE(C1024, ""en"", ""ru"")"),"картофель")</f>
        <v>картофель</v>
      </c>
      <c r="I1024" s="8" t="str">
        <f>IFERROR(__xludf.DUMMYFUNCTION("GOOGLETRANSLATE(C1024, ""en"", ""ar"")"),"البطاطس")</f>
        <v>البطاطس</v>
      </c>
      <c r="J1024" s="8"/>
      <c r="K1024" s="7" t="str">
        <f>IFERROR(__xludf.DUMMYFUNCTION("CONCAT(REGEXREPLACE(C1024,""[ ,]+"",""_""),"".mp3"")"),"potato.mp3")</f>
        <v>potato.mp3</v>
      </c>
      <c r="M1024" s="4" t="s">
        <v>10</v>
      </c>
    </row>
    <row r="1025" ht="15.75" customHeight="1">
      <c r="A1025" s="1">
        <v>2393.0</v>
      </c>
      <c r="B1025" s="3">
        <v>149.0</v>
      </c>
      <c r="C1025" s="7" t="s">
        <v>142</v>
      </c>
      <c r="D1025" s="8" t="str">
        <f>IFERROR(__xludf.DUMMYFUNCTION("GOOGLETRANSLATE(C1025, ""en"", ""pt"")"),"tomate")</f>
        <v>tomate</v>
      </c>
      <c r="E1025" s="8" t="str">
        <f>IFERROR(__xludf.DUMMYFUNCTION("GOOGLETRANSLATE(C1025, ""en"", ""es"")"),"tomate")</f>
        <v>tomate</v>
      </c>
      <c r="F1025" s="8" t="str">
        <f>IFERROR(__xludf.DUMMYFUNCTION("GOOGLETRANSLATE(C1025, ""en"", ""fr"")"),"tomate")</f>
        <v>tomate</v>
      </c>
      <c r="G1025" s="8" t="str">
        <f>IFERROR(__xludf.DUMMYFUNCTION("GOOGLETRANSLATE(C1025, ""en"", ""de"")"),"Tomate")</f>
        <v>Tomate</v>
      </c>
      <c r="H1025" s="8" t="str">
        <f>IFERROR(__xludf.DUMMYFUNCTION("GOOGLETRANSLATE(C1025, ""en"", ""ru"")"),"помидор")</f>
        <v>помидор</v>
      </c>
      <c r="I1025" s="8" t="str">
        <f>IFERROR(__xludf.DUMMYFUNCTION("GOOGLETRANSLATE(C1025, ""en"", ""ar"")"),"طماطم")</f>
        <v>طماطم</v>
      </c>
      <c r="J1025" s="8"/>
      <c r="K1025" s="7" t="str">
        <f>IFERROR(__xludf.DUMMYFUNCTION("CONCAT(REGEXREPLACE(C1025,""[ ,]+"",""_""),"".mp3"")"),"tomato.mp3")</f>
        <v>tomato.mp3</v>
      </c>
      <c r="M1025" s="4" t="s">
        <v>10</v>
      </c>
    </row>
    <row r="1026" ht="15.75" customHeight="1">
      <c r="A1026" s="1">
        <v>2394.0</v>
      </c>
      <c r="B1026" s="3">
        <v>149.0</v>
      </c>
      <c r="C1026" s="7" t="s">
        <v>124</v>
      </c>
      <c r="D1026" s="8" t="str">
        <f>IFERROR(__xludf.DUMMYFUNCTION("GOOGLETRANSLATE(C1026, ""en"", ""pt"")"),"cenoura")</f>
        <v>cenoura</v>
      </c>
      <c r="E1026" s="8" t="str">
        <f>IFERROR(__xludf.DUMMYFUNCTION("GOOGLETRANSLATE(C1026, ""en"", ""es"")"),"zanahoria")</f>
        <v>zanahoria</v>
      </c>
      <c r="F1026" s="8" t="str">
        <f>IFERROR(__xludf.DUMMYFUNCTION("GOOGLETRANSLATE(C1026, ""en"", ""fr"")"),"carotte")</f>
        <v>carotte</v>
      </c>
      <c r="G1026" s="8" t="str">
        <f>IFERROR(__xludf.DUMMYFUNCTION("GOOGLETRANSLATE(C1026, ""en"", ""de"")"),"Karotte")</f>
        <v>Karotte</v>
      </c>
      <c r="H1026" s="8" t="str">
        <f>IFERROR(__xludf.DUMMYFUNCTION("GOOGLETRANSLATE(C1026, ""en"", ""ru"")"),"морковь")</f>
        <v>морковь</v>
      </c>
      <c r="I1026" s="8" t="str">
        <f>IFERROR(__xludf.DUMMYFUNCTION("GOOGLETRANSLATE(C1026, ""en"", ""ar"")"),"جزرة")</f>
        <v>جزرة</v>
      </c>
      <c r="J1026" s="8"/>
      <c r="K1026" s="7" t="str">
        <f>IFERROR(__xludf.DUMMYFUNCTION("CONCAT(REGEXREPLACE(C1026,""[ ,]+"",""_""),"".mp3"")"),"carrot.mp3")</f>
        <v>carrot.mp3</v>
      </c>
      <c r="M1026" s="4" t="s">
        <v>10</v>
      </c>
    </row>
    <row r="1027" ht="15.75" customHeight="1">
      <c r="A1027" s="1">
        <v>2395.0</v>
      </c>
      <c r="B1027" s="3">
        <v>149.0</v>
      </c>
      <c r="C1027" s="7" t="s">
        <v>130</v>
      </c>
      <c r="D1027" s="8" t="str">
        <f>IFERROR(__xludf.DUMMYFUNCTION("GOOGLETRANSLATE(C1027, ""en"", ""pt"")"),"alface")</f>
        <v>alface</v>
      </c>
      <c r="E1027" s="8" t="str">
        <f>IFERROR(__xludf.DUMMYFUNCTION("GOOGLETRANSLATE(C1027, ""en"", ""es"")"),"lechuga")</f>
        <v>lechuga</v>
      </c>
      <c r="F1027" s="8" t="str">
        <f>IFERROR(__xludf.DUMMYFUNCTION("GOOGLETRANSLATE(C1027, ""en"", ""fr"")"),"laitue")</f>
        <v>laitue</v>
      </c>
      <c r="G1027" s="8" t="str">
        <f>IFERROR(__xludf.DUMMYFUNCTION("GOOGLETRANSLATE(C1027, ""en"", ""de"")"),"Kopfsalat")</f>
        <v>Kopfsalat</v>
      </c>
      <c r="H1027" s="8" t="str">
        <f>IFERROR(__xludf.DUMMYFUNCTION("GOOGLETRANSLATE(C1027, ""en"", ""ru"")"),"латук")</f>
        <v>латук</v>
      </c>
      <c r="I1027" s="8" t="str">
        <f>IFERROR(__xludf.DUMMYFUNCTION("GOOGLETRANSLATE(C1027, ""en"", ""ar"")"),"خَسّ")</f>
        <v>خَسّ</v>
      </c>
      <c r="J1027" s="8"/>
      <c r="K1027" s="7" t="str">
        <f>IFERROR(__xludf.DUMMYFUNCTION("CONCAT(REGEXREPLACE(C1027,""[ ,]+"",""_""),"".mp3"")"),"lettuce.mp3")</f>
        <v>lettuce.mp3</v>
      </c>
      <c r="M1027" s="4" t="s">
        <v>10</v>
      </c>
    </row>
    <row r="1028" ht="15.75" customHeight="1">
      <c r="A1028" s="1">
        <v>2396.0</v>
      </c>
      <c r="B1028" s="3">
        <v>149.0</v>
      </c>
      <c r="C1028" s="7" t="s">
        <v>131</v>
      </c>
      <c r="D1028" s="8" t="str">
        <f>IFERROR(__xludf.DUMMYFUNCTION("GOOGLETRANSLATE(C1028, ""en"", ""pt"")"),"espinafre")</f>
        <v>espinafre</v>
      </c>
      <c r="E1028" s="8" t="str">
        <f>IFERROR(__xludf.DUMMYFUNCTION("GOOGLETRANSLATE(C1028, ""en"", ""es"")"),"espinaca")</f>
        <v>espinaca</v>
      </c>
      <c r="F1028" s="8" t="str">
        <f>IFERROR(__xludf.DUMMYFUNCTION("GOOGLETRANSLATE(C1028, ""en"", ""fr"")"),"épinard")</f>
        <v>épinard</v>
      </c>
      <c r="G1028" s="8" t="str">
        <f>IFERROR(__xludf.DUMMYFUNCTION("GOOGLETRANSLATE(C1028, ""en"", ""de"")"),"Spinat")</f>
        <v>Spinat</v>
      </c>
      <c r="H1028" s="8" t="str">
        <f>IFERROR(__xludf.DUMMYFUNCTION("GOOGLETRANSLATE(C1028, ""en"", ""ru"")"),"шпинат")</f>
        <v>шпинат</v>
      </c>
      <c r="I1028" s="8" t="str">
        <f>IFERROR(__xludf.DUMMYFUNCTION("GOOGLETRANSLATE(C1028, ""en"", ""ar"")"),"سبانخ")</f>
        <v>سبانخ</v>
      </c>
      <c r="J1028" s="8"/>
      <c r="K1028" s="7" t="str">
        <f>IFERROR(__xludf.DUMMYFUNCTION("CONCAT(REGEXREPLACE(C1028,""[ ,]+"",""_""),"".mp3"")"),"spinach.mp3")</f>
        <v>spinach.mp3</v>
      </c>
      <c r="M1028" s="4" t="s">
        <v>10</v>
      </c>
    </row>
    <row r="1029" ht="15.75" customHeight="1">
      <c r="A1029" s="1">
        <v>2397.0</v>
      </c>
      <c r="B1029" s="3">
        <v>149.0</v>
      </c>
      <c r="C1029" s="7" t="s">
        <v>138</v>
      </c>
      <c r="D1029" s="8" t="str">
        <f>IFERROR(__xludf.DUMMYFUNCTION("GOOGLETRANSLATE(C1029, ""en"", ""pt"")"),"cebola")</f>
        <v>cebola</v>
      </c>
      <c r="E1029" s="8" t="str">
        <f>IFERROR(__xludf.DUMMYFUNCTION("GOOGLETRANSLATE(C1029, ""en"", ""es"")"),"cebolla")</f>
        <v>cebolla</v>
      </c>
      <c r="F1029" s="8" t="str">
        <f>IFERROR(__xludf.DUMMYFUNCTION("GOOGLETRANSLATE(C1029, ""en"", ""fr"")"),"oignon")</f>
        <v>oignon</v>
      </c>
      <c r="G1029" s="8" t="str">
        <f>IFERROR(__xludf.DUMMYFUNCTION("GOOGLETRANSLATE(C1029, ""en"", ""de"")"),"Zwiebel")</f>
        <v>Zwiebel</v>
      </c>
      <c r="H1029" s="8" t="str">
        <f>IFERROR(__xludf.DUMMYFUNCTION("GOOGLETRANSLATE(C1029, ""en"", ""ru"")"),"лук")</f>
        <v>лук</v>
      </c>
      <c r="I1029" s="8" t="str">
        <f>IFERROR(__xludf.DUMMYFUNCTION("GOOGLETRANSLATE(C1029, ""en"", ""ar"")"),"البصل")</f>
        <v>البصل</v>
      </c>
      <c r="J1029" s="8"/>
      <c r="K1029" s="7" t="str">
        <f>IFERROR(__xludf.DUMMYFUNCTION("CONCAT(REGEXREPLACE(C1029,""[ ,]+"",""_""),"".mp3"")"),"onion.mp3")</f>
        <v>onion.mp3</v>
      </c>
      <c r="M1029" s="4" t="s">
        <v>10</v>
      </c>
    </row>
    <row r="1030" ht="15.75" customHeight="1">
      <c r="A1030" s="1">
        <v>2398.0</v>
      </c>
      <c r="B1030" s="3">
        <v>149.0</v>
      </c>
      <c r="C1030" s="7" t="s">
        <v>139</v>
      </c>
      <c r="D1030" s="8" t="str">
        <f>IFERROR(__xludf.DUMMYFUNCTION("GOOGLETRANSLATE(C1030, ""en"", ""pt"")"),"alho")</f>
        <v>alho</v>
      </c>
      <c r="E1030" s="8" t="str">
        <f>IFERROR(__xludf.DUMMYFUNCTION("GOOGLETRANSLATE(C1030, ""en"", ""es"")"),"ajo")</f>
        <v>ajo</v>
      </c>
      <c r="F1030" s="8" t="str">
        <f>IFERROR(__xludf.DUMMYFUNCTION("GOOGLETRANSLATE(C1030, ""en"", ""fr"")"),"ail")</f>
        <v>ail</v>
      </c>
      <c r="G1030" s="8" t="str">
        <f>IFERROR(__xludf.DUMMYFUNCTION("GOOGLETRANSLATE(C1030, ""en"", ""de"")"),"Knoblauch")</f>
        <v>Knoblauch</v>
      </c>
      <c r="H1030" s="8" t="str">
        <f>IFERROR(__xludf.DUMMYFUNCTION("GOOGLETRANSLATE(C1030, ""en"", ""ru"")"),"чеснок")</f>
        <v>чеснок</v>
      </c>
      <c r="I1030" s="8" t="str">
        <f>IFERROR(__xludf.DUMMYFUNCTION("GOOGLETRANSLATE(C1030, ""en"", ""ar"")"),"ثوم")</f>
        <v>ثوم</v>
      </c>
      <c r="J1030" s="8"/>
      <c r="K1030" s="7" t="str">
        <f>IFERROR(__xludf.DUMMYFUNCTION("CONCAT(REGEXREPLACE(C1030,""[ ,]+"",""_""),"".mp3"")"),"garlic.mp3")</f>
        <v>garlic.mp3</v>
      </c>
      <c r="M1030" s="4" t="s">
        <v>10</v>
      </c>
    </row>
    <row r="1031" ht="15.75" customHeight="1">
      <c r="A1031" s="1">
        <v>2399.0</v>
      </c>
      <c r="B1031" s="3">
        <v>149.0</v>
      </c>
      <c r="C1031" s="7" t="s">
        <v>1049</v>
      </c>
      <c r="D1031" s="8" t="str">
        <f>IFERROR(__xludf.DUMMYFUNCTION("GOOGLETRANSLATE(C1031, ""en"", ""pt"")"),"raiz")</f>
        <v>raiz</v>
      </c>
      <c r="E1031" s="8" t="str">
        <f>IFERROR(__xludf.DUMMYFUNCTION("GOOGLETRANSLATE(C1031, ""en"", ""es"")"),"raíz")</f>
        <v>raíz</v>
      </c>
      <c r="F1031" s="8" t="str">
        <f>IFERROR(__xludf.DUMMYFUNCTION("GOOGLETRANSLATE(C1031, ""en"", ""fr"")"),"racine")</f>
        <v>racine</v>
      </c>
      <c r="G1031" s="8" t="str">
        <f>IFERROR(__xludf.DUMMYFUNCTION("GOOGLETRANSLATE(C1031, ""en"", ""de"")"),"Wurzel")</f>
        <v>Wurzel</v>
      </c>
      <c r="H1031" s="8" t="str">
        <f>IFERROR(__xludf.DUMMYFUNCTION("GOOGLETRANSLATE(C1031, ""en"", ""ru"")"),"корень")</f>
        <v>корень</v>
      </c>
      <c r="I1031" s="8" t="str">
        <f>IFERROR(__xludf.DUMMYFUNCTION("GOOGLETRANSLATE(C1031, ""en"", ""ar"")"),"جذر")</f>
        <v>جذر</v>
      </c>
      <c r="J1031" s="8"/>
      <c r="K1031" s="7" t="str">
        <f>IFERROR(__xludf.DUMMYFUNCTION("CONCAT(REGEXREPLACE(C1031,""[ ,]+"",""_""),"".mp3"")"),"root.mp3")</f>
        <v>root.mp3</v>
      </c>
      <c r="M1031" s="4" t="s">
        <v>10</v>
      </c>
    </row>
    <row r="1032" ht="15.75" customHeight="1">
      <c r="A1032" s="1">
        <v>2400.0</v>
      </c>
      <c r="B1032" s="3">
        <v>149.0</v>
      </c>
      <c r="C1032" s="7" t="s">
        <v>1050</v>
      </c>
      <c r="D1032" s="8" t="str">
        <f>IFERROR(__xludf.DUMMYFUNCTION("GOOGLETRANSLATE(C1032, ""en"", ""pt"")"),"tronco")</f>
        <v>tronco</v>
      </c>
      <c r="E1032" s="8" t="str">
        <f>IFERROR(__xludf.DUMMYFUNCTION("GOOGLETRANSLATE(C1032, ""en"", ""es"")"),"provenir")</f>
        <v>provenir</v>
      </c>
      <c r="F1032" s="8" t="str">
        <f>IFERROR(__xludf.DUMMYFUNCTION("GOOGLETRANSLATE(C1032, ""en"", ""fr"")"),"tige")</f>
        <v>tige</v>
      </c>
      <c r="G1032" s="8" t="str">
        <f>IFERROR(__xludf.DUMMYFUNCTION("GOOGLETRANSLATE(C1032, ""en"", ""de"")"),"Stängel")</f>
        <v>Stängel</v>
      </c>
      <c r="H1032" s="8" t="str">
        <f>IFERROR(__xludf.DUMMYFUNCTION("GOOGLETRANSLATE(C1032, ""en"", ""ru"")"),"корень")</f>
        <v>корень</v>
      </c>
      <c r="I1032" s="8" t="str">
        <f>IFERROR(__xludf.DUMMYFUNCTION("GOOGLETRANSLATE(C1032, ""en"", ""ar"")"),"ينبع")</f>
        <v>ينبع</v>
      </c>
      <c r="J1032" s="8"/>
      <c r="K1032" s="7" t="str">
        <f>IFERROR(__xludf.DUMMYFUNCTION("CONCAT(REGEXREPLACE(C1032,""[ ,]+"",""_""),"".mp3"")"),"stem.mp3")</f>
        <v>stem.mp3</v>
      </c>
      <c r="M1032" s="4" t="s">
        <v>10</v>
      </c>
    </row>
    <row r="1033" ht="15.75" customHeight="1">
      <c r="A1033" s="1">
        <v>2401.0</v>
      </c>
      <c r="B1033" s="3">
        <v>149.0</v>
      </c>
      <c r="C1033" s="7" t="s">
        <v>1051</v>
      </c>
      <c r="D1033" s="8" t="str">
        <f>IFERROR(__xludf.DUMMYFUNCTION("GOOGLETRANSLATE(C1033, ""en"", ""pt"")"),"talo")</f>
        <v>talo</v>
      </c>
      <c r="E1033" s="8" t="str">
        <f>IFERROR(__xludf.DUMMYFUNCTION("GOOGLETRANSLATE(C1033, ""en"", ""es"")"),"acechar")</f>
        <v>acechar</v>
      </c>
      <c r="F1033" s="8" t="str">
        <f>IFERROR(__xludf.DUMMYFUNCTION("GOOGLETRANSLATE(C1033, ""en"", ""fr"")"),"tige")</f>
        <v>tige</v>
      </c>
      <c r="G1033" s="8" t="str">
        <f>IFERROR(__xludf.DUMMYFUNCTION("GOOGLETRANSLATE(C1033, ""en"", ""de"")"),"Stengel")</f>
        <v>Stengel</v>
      </c>
      <c r="H1033" s="8" t="str">
        <f>IFERROR(__xludf.DUMMYFUNCTION("GOOGLETRANSLATE(C1033, ""en"", ""ru"")"),"стебель")</f>
        <v>стебель</v>
      </c>
      <c r="I1033" s="8" t="str">
        <f>IFERROR(__xludf.DUMMYFUNCTION("GOOGLETRANSLATE(C1033, ""en"", ""ar"")"),"ساق")</f>
        <v>ساق</v>
      </c>
      <c r="J1033" s="8"/>
      <c r="K1033" s="7" t="str">
        <f>IFERROR(__xludf.DUMMYFUNCTION("CONCAT(REGEXREPLACE(C1033,""[ ,]+"",""_""),"".mp3"")"),"stalk.mp3")</f>
        <v>stalk.mp3</v>
      </c>
      <c r="M1033" s="4" t="s">
        <v>10</v>
      </c>
    </row>
    <row r="1034" ht="15.75" customHeight="1">
      <c r="A1034" s="1">
        <v>2402.0</v>
      </c>
      <c r="B1034" s="3">
        <v>149.0</v>
      </c>
      <c r="C1034" s="7" t="s">
        <v>1052</v>
      </c>
      <c r="D1034" s="8" t="str">
        <f>IFERROR(__xludf.DUMMYFUNCTION("GOOGLETRANSLATE(C1034, ""en"", ""pt"")"),"porta-malas")</f>
        <v>porta-malas</v>
      </c>
      <c r="E1034" s="8" t="str">
        <f>IFERROR(__xludf.DUMMYFUNCTION("GOOGLETRANSLATE(C1034, ""en"", ""es"")"),"trompa")</f>
        <v>trompa</v>
      </c>
      <c r="F1034" s="8" t="str">
        <f>IFERROR(__xludf.DUMMYFUNCTION("GOOGLETRANSLATE(C1034, ""en"", ""fr"")"),"tronc")</f>
        <v>tronc</v>
      </c>
      <c r="G1034" s="8" t="str">
        <f>IFERROR(__xludf.DUMMYFUNCTION("GOOGLETRANSLATE(C1034, ""en"", ""de"")"),"Stamm")</f>
        <v>Stamm</v>
      </c>
      <c r="H1034" s="8" t="str">
        <f>IFERROR(__xludf.DUMMYFUNCTION("GOOGLETRANSLATE(C1034, ""en"", ""ru"")"),"ствол")</f>
        <v>ствол</v>
      </c>
      <c r="I1034" s="8" t="str">
        <f>IFERROR(__xludf.DUMMYFUNCTION("GOOGLETRANSLATE(C1034, ""en"", ""ar"")"),"صُندُوق")</f>
        <v>صُندُوق</v>
      </c>
      <c r="J1034" s="8"/>
      <c r="K1034" s="7" t="str">
        <f>IFERROR(__xludf.DUMMYFUNCTION("CONCAT(REGEXREPLACE(C1034,""[ ,]+"",""_""),"".mp3"")"),"trunk.mp3")</f>
        <v>trunk.mp3</v>
      </c>
      <c r="M1034" s="4" t="s">
        <v>10</v>
      </c>
    </row>
    <row r="1035" ht="15.75" customHeight="1">
      <c r="A1035" s="1">
        <v>2403.0</v>
      </c>
      <c r="B1035" s="3">
        <v>149.0</v>
      </c>
      <c r="C1035" s="7" t="s">
        <v>1053</v>
      </c>
      <c r="D1035" s="8" t="str">
        <f>IFERROR(__xludf.DUMMYFUNCTION("GOOGLETRANSLATE(C1035, ""en"", ""pt"")"),"filial")</f>
        <v>filial</v>
      </c>
      <c r="E1035" s="8" t="str">
        <f>IFERROR(__xludf.DUMMYFUNCTION("GOOGLETRANSLATE(C1035, ""en"", ""es"")"),"rama")</f>
        <v>rama</v>
      </c>
      <c r="F1035" s="8" t="str">
        <f>IFERROR(__xludf.DUMMYFUNCTION("GOOGLETRANSLATE(C1035, ""en"", ""fr"")"),"bifurquer")</f>
        <v>bifurquer</v>
      </c>
      <c r="G1035" s="8" t="str">
        <f>IFERROR(__xludf.DUMMYFUNCTION("GOOGLETRANSLATE(C1035, ""en"", ""de"")"),"Zweig")</f>
        <v>Zweig</v>
      </c>
      <c r="H1035" s="8" t="str">
        <f>IFERROR(__xludf.DUMMYFUNCTION("GOOGLETRANSLATE(C1035, ""en"", ""ru"")"),"ветвь")</f>
        <v>ветвь</v>
      </c>
      <c r="I1035" s="8" t="str">
        <f>IFERROR(__xludf.DUMMYFUNCTION("GOOGLETRANSLATE(C1035, ""en"", ""ar"")"),"فرع")</f>
        <v>فرع</v>
      </c>
      <c r="J1035" s="8"/>
      <c r="K1035" s="7" t="str">
        <f>IFERROR(__xludf.DUMMYFUNCTION("CONCAT(REGEXREPLACE(C1035,""[ ,]+"",""_""),"".mp3"")"),"branch.mp3")</f>
        <v>branch.mp3</v>
      </c>
      <c r="M1035" s="4" t="s">
        <v>10</v>
      </c>
    </row>
    <row r="1036" ht="15.75" customHeight="1">
      <c r="A1036" s="1">
        <v>2404.0</v>
      </c>
      <c r="B1036" s="3">
        <v>149.0</v>
      </c>
      <c r="C1036" s="7" t="s">
        <v>1054</v>
      </c>
      <c r="D1036" s="8" t="str">
        <f>IFERROR(__xludf.DUMMYFUNCTION("GOOGLETRANSLATE(C1036, ""en"", ""pt"")"),"galho")</f>
        <v>galho</v>
      </c>
      <c r="E1036" s="8" t="str">
        <f>IFERROR(__xludf.DUMMYFUNCTION("GOOGLETRANSLATE(C1036, ""en"", ""es"")"),"ramita")</f>
        <v>ramita</v>
      </c>
      <c r="F1036" s="8" t="str">
        <f>IFERROR(__xludf.DUMMYFUNCTION("GOOGLETRANSLATE(C1036, ""en"", ""fr"")"),"brindille")</f>
        <v>brindille</v>
      </c>
      <c r="G1036" s="8" t="str">
        <f>IFERROR(__xludf.DUMMYFUNCTION("GOOGLETRANSLATE(C1036, ""en"", ""de"")"),"Zweig")</f>
        <v>Zweig</v>
      </c>
      <c r="H1036" s="8" t="str">
        <f>IFERROR(__xludf.DUMMYFUNCTION("GOOGLETRANSLATE(C1036, ""en"", ""ru"")"),"ветка")</f>
        <v>ветка</v>
      </c>
      <c r="I1036" s="8" t="str">
        <f>IFERROR(__xludf.DUMMYFUNCTION("GOOGLETRANSLATE(C1036, ""en"", ""ar"")"),"غصين")</f>
        <v>غصين</v>
      </c>
      <c r="J1036" s="8"/>
      <c r="K1036" s="7" t="str">
        <f>IFERROR(__xludf.DUMMYFUNCTION("CONCAT(REGEXREPLACE(C1036,""[ ,]+"",""_""),"".mp3"")"),"twig.mp3")</f>
        <v>twig.mp3</v>
      </c>
      <c r="M1036" s="4" t="s">
        <v>10</v>
      </c>
    </row>
    <row r="1037" ht="15.75" customHeight="1">
      <c r="A1037" s="1">
        <v>2405.0</v>
      </c>
      <c r="B1037" s="3">
        <v>149.0</v>
      </c>
      <c r="C1037" s="7" t="s">
        <v>1055</v>
      </c>
      <c r="D1037" s="8" t="str">
        <f>IFERROR(__xludf.DUMMYFUNCTION("GOOGLETRANSLATE(C1037, ""en"", ""pt"")"),"folha")</f>
        <v>folha</v>
      </c>
      <c r="E1037" s="8" t="str">
        <f>IFERROR(__xludf.DUMMYFUNCTION("GOOGLETRANSLATE(C1037, ""en"", ""es"")"),"hoja")</f>
        <v>hoja</v>
      </c>
      <c r="F1037" s="8" t="str">
        <f>IFERROR(__xludf.DUMMYFUNCTION("GOOGLETRANSLATE(C1037, ""en"", ""fr"")"),"feuille")</f>
        <v>feuille</v>
      </c>
      <c r="G1037" s="8" t="str">
        <f>IFERROR(__xludf.DUMMYFUNCTION("GOOGLETRANSLATE(C1037, ""en"", ""de"")"),"Blatt")</f>
        <v>Blatt</v>
      </c>
      <c r="H1037" s="8" t="str">
        <f>IFERROR(__xludf.DUMMYFUNCTION("GOOGLETRANSLATE(C1037, ""en"", ""ru"")"),"лист")</f>
        <v>лист</v>
      </c>
      <c r="I1037" s="8" t="str">
        <f>IFERROR(__xludf.DUMMYFUNCTION("GOOGLETRANSLATE(C1037, ""en"", ""ar"")"),"ورقة")</f>
        <v>ورقة</v>
      </c>
      <c r="J1037" s="8"/>
      <c r="K1037" s="7" t="str">
        <f>IFERROR(__xludf.DUMMYFUNCTION("CONCAT(REGEXREPLACE(C1037,""[ ,]+"",""_""),"".mp3"")"),"leaf.mp3")</f>
        <v>leaf.mp3</v>
      </c>
      <c r="M1037" s="4" t="s">
        <v>10</v>
      </c>
    </row>
    <row r="1038" ht="15.75" customHeight="1">
      <c r="A1038" s="1">
        <v>2406.0</v>
      </c>
      <c r="B1038" s="3">
        <v>149.0</v>
      </c>
      <c r="C1038" s="7" t="s">
        <v>1056</v>
      </c>
      <c r="D1038" s="8" t="str">
        <f>IFERROR(__xludf.DUMMYFUNCTION("GOOGLETRANSLATE(C1038, ""en"", ""pt"")"),"folhas")</f>
        <v>folhas</v>
      </c>
      <c r="E1038" s="8" t="str">
        <f>IFERROR(__xludf.DUMMYFUNCTION("GOOGLETRANSLATE(C1038, ""en"", ""es"")"),"hojas")</f>
        <v>hojas</v>
      </c>
      <c r="F1038" s="8" t="str">
        <f>IFERROR(__xludf.DUMMYFUNCTION("GOOGLETRANSLATE(C1038, ""en"", ""fr"")"),"feuilles")</f>
        <v>feuilles</v>
      </c>
      <c r="G1038" s="8" t="str">
        <f>IFERROR(__xludf.DUMMYFUNCTION("GOOGLETRANSLATE(C1038, ""en"", ""de"")"),"Blätter")</f>
        <v>Blätter</v>
      </c>
      <c r="H1038" s="8" t="str">
        <f>IFERROR(__xludf.DUMMYFUNCTION("GOOGLETRANSLATE(C1038, ""en"", ""ru"")"),"листья")</f>
        <v>листья</v>
      </c>
      <c r="I1038" s="8" t="str">
        <f>IFERROR(__xludf.DUMMYFUNCTION("GOOGLETRANSLATE(C1038, ""en"", ""ar"")"),"أوراق")</f>
        <v>أوراق</v>
      </c>
      <c r="J1038" s="8"/>
      <c r="K1038" s="7" t="str">
        <f>IFERROR(__xludf.DUMMYFUNCTION("CONCAT(REGEXREPLACE(C1038,""[ ,]+"",""_""),"".mp3"")"),"leaves.mp3")</f>
        <v>leaves.mp3</v>
      </c>
      <c r="M1038" s="4" t="s">
        <v>10</v>
      </c>
    </row>
    <row r="1039" ht="15.75" customHeight="1">
      <c r="A1039" s="1">
        <v>2407.0</v>
      </c>
      <c r="B1039" s="3">
        <v>149.0</v>
      </c>
      <c r="C1039" s="7" t="s">
        <v>1057</v>
      </c>
      <c r="D1039" s="8" t="str">
        <f>IFERROR(__xludf.DUMMYFUNCTION("GOOGLETRANSLATE(C1039, ""en"", ""pt"")"),"botão")</f>
        <v>botão</v>
      </c>
      <c r="E1039" s="8" t="str">
        <f>IFERROR(__xludf.DUMMYFUNCTION("GOOGLETRANSLATE(C1039, ""en"", ""es"")"),"brote")</f>
        <v>brote</v>
      </c>
      <c r="F1039" s="8" t="str">
        <f>IFERROR(__xludf.DUMMYFUNCTION("GOOGLETRANSLATE(C1039, ""en"", ""fr"")"),"bourgeon")</f>
        <v>bourgeon</v>
      </c>
      <c r="G1039" s="8" t="str">
        <f>IFERROR(__xludf.DUMMYFUNCTION("GOOGLETRANSLATE(C1039, ""en"", ""de"")"),"Knospe")</f>
        <v>Knospe</v>
      </c>
      <c r="H1039" s="8" t="str">
        <f>IFERROR(__xludf.DUMMYFUNCTION("GOOGLETRANSLATE(C1039, ""en"", ""ru"")"),"бутон")</f>
        <v>бутон</v>
      </c>
      <c r="I1039" s="8" t="str">
        <f>IFERROR(__xludf.DUMMYFUNCTION("GOOGLETRANSLATE(C1039, ""en"", ""ar"")"),"برعم")</f>
        <v>برعم</v>
      </c>
      <c r="J1039" s="8"/>
      <c r="K1039" s="7" t="str">
        <f>IFERROR(__xludf.DUMMYFUNCTION("CONCAT(REGEXREPLACE(C1039,""[ ,]+"",""_""),"".mp3"")"),"bud.mp3")</f>
        <v>bud.mp3</v>
      </c>
      <c r="M1039" s="4" t="s">
        <v>10</v>
      </c>
    </row>
    <row r="1040" ht="15.75" customHeight="1">
      <c r="A1040" s="1">
        <v>2408.0</v>
      </c>
      <c r="B1040" s="3">
        <v>149.0</v>
      </c>
      <c r="C1040" s="7" t="s">
        <v>1058</v>
      </c>
      <c r="D1040" s="8" t="str">
        <f>IFERROR(__xludf.DUMMYFUNCTION("GOOGLETRANSLATE(C1040, ""en"", ""pt"")"),"flor")</f>
        <v>flor</v>
      </c>
      <c r="E1040" s="8" t="str">
        <f>IFERROR(__xludf.DUMMYFUNCTION("GOOGLETRANSLATE(C1040, ""en"", ""es"")"),"flor")</f>
        <v>flor</v>
      </c>
      <c r="F1040" s="8" t="str">
        <f>IFERROR(__xludf.DUMMYFUNCTION("GOOGLETRANSLATE(C1040, ""en"", ""fr"")"),"fleur")</f>
        <v>fleur</v>
      </c>
      <c r="G1040" s="8" t="str">
        <f>IFERROR(__xludf.DUMMYFUNCTION("GOOGLETRANSLATE(C1040, ""en"", ""de"")"),"Blume")</f>
        <v>Blume</v>
      </c>
      <c r="H1040" s="8" t="str">
        <f>IFERROR(__xludf.DUMMYFUNCTION("GOOGLETRANSLATE(C1040, ""en"", ""ru"")"),"цветок")</f>
        <v>цветок</v>
      </c>
      <c r="I1040" s="8" t="str">
        <f>IFERROR(__xludf.DUMMYFUNCTION("GOOGLETRANSLATE(C1040, ""en"", ""ar"")"),"ورد")</f>
        <v>ورد</v>
      </c>
      <c r="J1040" s="8"/>
      <c r="K1040" s="7" t="str">
        <f>IFERROR(__xludf.DUMMYFUNCTION("CONCAT(REGEXREPLACE(C1040,""[ ,]+"",""_""),"".mp3"")"),"flower.mp3")</f>
        <v>flower.mp3</v>
      </c>
      <c r="M1040" s="4" t="s">
        <v>10</v>
      </c>
    </row>
    <row r="1041" ht="15.75" customHeight="1">
      <c r="A1041" s="1">
        <v>2409.0</v>
      </c>
      <c r="B1041" s="3">
        <v>149.0</v>
      </c>
      <c r="C1041" s="7" t="s">
        <v>1059</v>
      </c>
      <c r="D1041" s="8" t="str">
        <f>IFERROR(__xludf.DUMMYFUNCTION("GOOGLETRANSLATE(C1041, ""en"", ""pt"")"),"pétala")</f>
        <v>pétala</v>
      </c>
      <c r="E1041" s="8" t="str">
        <f>IFERROR(__xludf.DUMMYFUNCTION("GOOGLETRANSLATE(C1041, ""en"", ""es"")"),"pétalo")</f>
        <v>pétalo</v>
      </c>
      <c r="F1041" s="8" t="str">
        <f>IFERROR(__xludf.DUMMYFUNCTION("GOOGLETRANSLATE(C1041, ""en"", ""fr"")"),"pétale")</f>
        <v>pétale</v>
      </c>
      <c r="G1041" s="8" t="str">
        <f>IFERROR(__xludf.DUMMYFUNCTION("GOOGLETRANSLATE(C1041, ""en"", ""de"")"),"Blütenblatt")</f>
        <v>Blütenblatt</v>
      </c>
      <c r="H1041" s="8" t="str">
        <f>IFERROR(__xludf.DUMMYFUNCTION("GOOGLETRANSLATE(C1041, ""en"", ""ru"")"),"лепесток")</f>
        <v>лепесток</v>
      </c>
      <c r="I1041" s="8" t="str">
        <f>IFERROR(__xludf.DUMMYFUNCTION("GOOGLETRANSLATE(C1041, ""en"", ""ar"")"),"بتلة")</f>
        <v>بتلة</v>
      </c>
      <c r="J1041" s="8"/>
      <c r="K1041" s="7" t="str">
        <f>IFERROR(__xludf.DUMMYFUNCTION("CONCAT(REGEXREPLACE(C1041,""[ ,]+"",""_""),"".mp3"")"),"petal.mp3")</f>
        <v>petal.mp3</v>
      </c>
      <c r="M1041" s="4" t="s">
        <v>10</v>
      </c>
    </row>
    <row r="1042" ht="15.75" customHeight="1">
      <c r="A1042" s="1">
        <v>2410.0</v>
      </c>
      <c r="B1042" s="3">
        <v>149.0</v>
      </c>
      <c r="C1042" s="7" t="s">
        <v>1060</v>
      </c>
      <c r="D1042" s="8" t="str">
        <f>IFERROR(__xludf.DUMMYFUNCTION("GOOGLETRANSLATE(C1042, ""en"", ""pt"")"),"semente")</f>
        <v>semente</v>
      </c>
      <c r="E1042" s="8" t="str">
        <f>IFERROR(__xludf.DUMMYFUNCTION("GOOGLETRANSLATE(C1042, ""en"", ""es"")"),"semilla")</f>
        <v>semilla</v>
      </c>
      <c r="F1042" s="8" t="str">
        <f>IFERROR(__xludf.DUMMYFUNCTION("GOOGLETRANSLATE(C1042, ""en"", ""fr"")"),"graine")</f>
        <v>graine</v>
      </c>
      <c r="G1042" s="8" t="str">
        <f>IFERROR(__xludf.DUMMYFUNCTION("GOOGLETRANSLATE(C1042, ""en"", ""de"")"),"Samen")</f>
        <v>Samen</v>
      </c>
      <c r="H1042" s="8" t="str">
        <f>IFERROR(__xludf.DUMMYFUNCTION("GOOGLETRANSLATE(C1042, ""en"", ""ru"")"),"семя")</f>
        <v>семя</v>
      </c>
      <c r="I1042" s="8" t="str">
        <f>IFERROR(__xludf.DUMMYFUNCTION("GOOGLETRANSLATE(C1042, ""en"", ""ar"")"),"بذور")</f>
        <v>بذور</v>
      </c>
      <c r="J1042" s="8"/>
      <c r="K1042" s="7" t="str">
        <f>IFERROR(__xludf.DUMMYFUNCTION("CONCAT(REGEXREPLACE(C1042,""[ ,]+"",""_""),"".mp3"")"),"seed.mp3")</f>
        <v>seed.mp3</v>
      </c>
      <c r="M1042" s="4" t="s">
        <v>10</v>
      </c>
    </row>
    <row r="1043" ht="15.75" customHeight="1">
      <c r="A1043" s="1">
        <v>2411.0</v>
      </c>
      <c r="B1043" s="3">
        <v>149.0</v>
      </c>
      <c r="C1043" s="7" t="s">
        <v>1061</v>
      </c>
      <c r="D1043" s="8" t="str">
        <f>IFERROR(__xludf.DUMMYFUNCTION("GOOGLETRANSLATE(C1043, ""en"", ""pt"")"),"fruta")</f>
        <v>fruta</v>
      </c>
      <c r="E1043" s="8" t="str">
        <f>IFERROR(__xludf.DUMMYFUNCTION("GOOGLETRANSLATE(C1043, ""en"", ""es"")"),"fruta")</f>
        <v>fruta</v>
      </c>
      <c r="F1043" s="8" t="str">
        <f>IFERROR(__xludf.DUMMYFUNCTION("GOOGLETRANSLATE(C1043, ""en"", ""fr"")"),"fruit")</f>
        <v>fruit</v>
      </c>
      <c r="G1043" s="8" t="str">
        <f>IFERROR(__xludf.DUMMYFUNCTION("GOOGLETRANSLATE(C1043, ""en"", ""de"")"),"Obst")</f>
        <v>Obst</v>
      </c>
      <c r="H1043" s="8" t="str">
        <f>IFERROR(__xludf.DUMMYFUNCTION("GOOGLETRANSLATE(C1043, ""en"", ""ru"")"),"фрукты")</f>
        <v>фрукты</v>
      </c>
      <c r="I1043" s="8" t="str">
        <f>IFERROR(__xludf.DUMMYFUNCTION("GOOGLETRANSLATE(C1043, ""en"", ""ar"")"),"فاكهة")</f>
        <v>فاكهة</v>
      </c>
      <c r="J1043" s="8"/>
      <c r="K1043" s="7" t="str">
        <f>IFERROR(__xludf.DUMMYFUNCTION("CONCAT(REGEXREPLACE(C1043,""[ ,]+"",""_""),"".mp3"")"),"fruit.mp3")</f>
        <v>fruit.mp3</v>
      </c>
      <c r="M1043" s="4" t="s">
        <v>10</v>
      </c>
    </row>
    <row r="1044" ht="15.75" customHeight="1">
      <c r="A1044" s="1">
        <v>2412.0</v>
      </c>
      <c r="B1044" s="3">
        <v>149.0</v>
      </c>
      <c r="C1044" s="7" t="s">
        <v>1062</v>
      </c>
      <c r="D1044" s="8" t="str">
        <f>IFERROR(__xludf.DUMMYFUNCTION("GOOGLETRANSLATE(C1044, ""en"", ""pt"")"),"latido")</f>
        <v>latido</v>
      </c>
      <c r="E1044" s="8" t="str">
        <f>IFERROR(__xludf.DUMMYFUNCTION("GOOGLETRANSLATE(C1044, ""en"", ""es"")"),"ladrar")</f>
        <v>ladrar</v>
      </c>
      <c r="F1044" s="8" t="str">
        <f>IFERROR(__xludf.DUMMYFUNCTION("GOOGLETRANSLATE(C1044, ""en"", ""fr"")"),"aboyer")</f>
        <v>aboyer</v>
      </c>
      <c r="G1044" s="8" t="str">
        <f>IFERROR(__xludf.DUMMYFUNCTION("GOOGLETRANSLATE(C1044, ""en"", ""de"")"),"bellen")</f>
        <v>bellen</v>
      </c>
      <c r="H1044" s="8" t="str">
        <f>IFERROR(__xludf.DUMMYFUNCTION("GOOGLETRANSLATE(C1044, ""en"", ""ru"")"),"лаять")</f>
        <v>лаять</v>
      </c>
      <c r="I1044" s="8" t="str">
        <f>IFERROR(__xludf.DUMMYFUNCTION("GOOGLETRANSLATE(C1044, ""en"", ""ar"")"),"نباح")</f>
        <v>نباح</v>
      </c>
      <c r="J1044" s="8"/>
      <c r="K1044" s="7" t="str">
        <f>IFERROR(__xludf.DUMMYFUNCTION("CONCAT(REGEXREPLACE(C1044,""[ ,]+"",""_""),"".mp3"")"),"bark.mp3")</f>
        <v>bark.mp3</v>
      </c>
      <c r="M1044" s="4" t="s">
        <v>10</v>
      </c>
    </row>
    <row r="1045" ht="15.75" customHeight="1">
      <c r="A1045" s="1">
        <v>2413.0</v>
      </c>
      <c r="B1045" s="3">
        <v>149.0</v>
      </c>
      <c r="C1045" s="7" t="s">
        <v>1063</v>
      </c>
      <c r="D1045" s="8" t="str">
        <f>IFERROR(__xludf.DUMMYFUNCTION("GOOGLETRANSLATE(C1045, ""en"", ""pt"")"),"espinho")</f>
        <v>espinho</v>
      </c>
      <c r="E1045" s="8" t="str">
        <f>IFERROR(__xludf.DUMMYFUNCTION("GOOGLETRANSLATE(C1045, ""en"", ""es"")"),"espina")</f>
        <v>espina</v>
      </c>
      <c r="F1045" s="8" t="str">
        <f>IFERROR(__xludf.DUMMYFUNCTION("GOOGLETRANSLATE(C1045, ""en"", ""fr"")"),"épine")</f>
        <v>épine</v>
      </c>
      <c r="G1045" s="8" t="str">
        <f>IFERROR(__xludf.DUMMYFUNCTION("GOOGLETRANSLATE(C1045, ""en"", ""de"")"),"Dorn")</f>
        <v>Dorn</v>
      </c>
      <c r="H1045" s="8" t="str">
        <f>IFERROR(__xludf.DUMMYFUNCTION("GOOGLETRANSLATE(C1045, ""en"", ""ru"")"),"шип")</f>
        <v>шип</v>
      </c>
      <c r="I1045" s="8" t="str">
        <f>IFERROR(__xludf.DUMMYFUNCTION("GOOGLETRANSLATE(C1045, ""en"", ""ar"")"),"شوكة")</f>
        <v>شوكة</v>
      </c>
      <c r="J1045" s="8"/>
      <c r="K1045" s="7" t="str">
        <f>IFERROR(__xludf.DUMMYFUNCTION("CONCAT(REGEXREPLACE(C1045,""[ ,]+"",""_""),"".mp3"")"),"thorn.mp3")</f>
        <v>thorn.mp3</v>
      </c>
      <c r="M1045" s="4" t="s">
        <v>10</v>
      </c>
    </row>
    <row r="1046" ht="15.75" customHeight="1">
      <c r="A1046" s="1">
        <v>2414.0</v>
      </c>
      <c r="B1046" s="3">
        <v>150.0</v>
      </c>
      <c r="C1046" s="7" t="s">
        <v>1064</v>
      </c>
      <c r="D1046" s="8" t="str">
        <f>IFERROR(__xludf.DUMMYFUNCTION("GOOGLETRANSLATE(C1046, ""en"", ""pt"")"),"contador")</f>
        <v>contador</v>
      </c>
      <c r="E1046" s="8" t="str">
        <f>IFERROR(__xludf.DUMMYFUNCTION("GOOGLETRANSLATE(C1046, ""en"", ""es"")"),"contador")</f>
        <v>contador</v>
      </c>
      <c r="F1046" s="8" t="str">
        <f>IFERROR(__xludf.DUMMYFUNCTION("GOOGLETRANSLATE(C1046, ""en"", ""fr"")"),"comptable")</f>
        <v>comptable</v>
      </c>
      <c r="G1046" s="8" t="str">
        <f>IFERROR(__xludf.DUMMYFUNCTION("GOOGLETRANSLATE(C1046, ""en"", ""de"")"),"Buchhalter")</f>
        <v>Buchhalter</v>
      </c>
      <c r="H1046" s="8" t="str">
        <f>IFERROR(__xludf.DUMMYFUNCTION("GOOGLETRANSLATE(C1046, ""en"", ""ru"")"),"бухгалтер")</f>
        <v>бухгалтер</v>
      </c>
      <c r="I1046" s="8" t="str">
        <f>IFERROR(__xludf.DUMMYFUNCTION("GOOGLETRANSLATE(C1046, ""en"", ""ar"")"),"محاسب")</f>
        <v>محاسب</v>
      </c>
      <c r="J1046" s="8"/>
      <c r="K1046" s="7" t="str">
        <f>IFERROR(__xludf.DUMMYFUNCTION("CONCAT(REGEXREPLACE(C1046,""[ ,]+"",""_""),"".mp3"")"),"accountant.mp3")</f>
        <v>accountant.mp3</v>
      </c>
      <c r="M1046" s="4" t="s">
        <v>10</v>
      </c>
    </row>
    <row r="1047" ht="15.75" customHeight="1">
      <c r="A1047" s="1">
        <v>2415.0</v>
      </c>
      <c r="B1047" s="3">
        <v>150.0</v>
      </c>
      <c r="C1047" s="7" t="s">
        <v>1065</v>
      </c>
      <c r="D1047" s="8" t="str">
        <f>IFERROR(__xludf.DUMMYFUNCTION("GOOGLETRANSLATE(C1047, ""en"", ""pt"")"),"auditor")</f>
        <v>auditor</v>
      </c>
      <c r="E1047" s="8" t="str">
        <f>IFERROR(__xludf.DUMMYFUNCTION("GOOGLETRANSLATE(C1047, ""en"", ""es"")"),"auditor")</f>
        <v>auditor</v>
      </c>
      <c r="F1047" s="8" t="str">
        <f>IFERROR(__xludf.DUMMYFUNCTION("GOOGLETRANSLATE(C1047, ""en"", ""fr"")"),"auditeur")</f>
        <v>auditeur</v>
      </c>
      <c r="G1047" s="8" t="str">
        <f>IFERROR(__xludf.DUMMYFUNCTION("GOOGLETRANSLATE(C1047, ""en"", ""de"")"),"Prüfer")</f>
        <v>Prüfer</v>
      </c>
      <c r="H1047" s="8" t="str">
        <f>IFERROR(__xludf.DUMMYFUNCTION("GOOGLETRANSLATE(C1047, ""en"", ""ru"")"),"аудитор")</f>
        <v>аудитор</v>
      </c>
      <c r="I1047" s="8" t="str">
        <f>IFERROR(__xludf.DUMMYFUNCTION("GOOGLETRANSLATE(C1047, ""en"", ""ar"")"),"مدقق حسابات")</f>
        <v>مدقق حسابات</v>
      </c>
      <c r="J1047" s="8"/>
      <c r="K1047" s="7" t="str">
        <f>IFERROR(__xludf.DUMMYFUNCTION("CONCAT(REGEXREPLACE(C1047,""[ ,]+"",""_""),"".mp3"")"),"auditor.mp3")</f>
        <v>auditor.mp3</v>
      </c>
      <c r="M1047" s="4" t="s">
        <v>10</v>
      </c>
    </row>
    <row r="1048" ht="15.75" customHeight="1">
      <c r="A1048" s="1">
        <v>2416.0</v>
      </c>
      <c r="B1048" s="3">
        <v>150.0</v>
      </c>
      <c r="C1048" s="7" t="s">
        <v>1066</v>
      </c>
      <c r="D1048" s="8" t="str">
        <f>IFERROR(__xludf.DUMMYFUNCTION("GOOGLETRANSLATE(C1048, ""en"", ""pt"")"),"analista de negócios")</f>
        <v>analista de negócios</v>
      </c>
      <c r="E1048" s="8" t="str">
        <f>IFERROR(__xludf.DUMMYFUNCTION("GOOGLETRANSLATE(C1048, ""en"", ""es"")"),"analista de negocios")</f>
        <v>analista de negocios</v>
      </c>
      <c r="F1048" s="8" t="str">
        <f>IFERROR(__xludf.DUMMYFUNCTION("GOOGLETRANSLATE(C1048, ""en"", ""fr"")"),"analyste d'affaires")</f>
        <v>analyste d'affaires</v>
      </c>
      <c r="G1048" s="8" t="str">
        <f>IFERROR(__xludf.DUMMYFUNCTION("GOOGLETRANSLATE(C1048, ""en"", ""de"")"),"Business-Analyst")</f>
        <v>Business-Analyst</v>
      </c>
      <c r="H1048" s="8" t="str">
        <f>IFERROR(__xludf.DUMMYFUNCTION("GOOGLETRANSLATE(C1048, ""en"", ""ru"")"),"бизнес-аналитик")</f>
        <v>бизнес-аналитик</v>
      </c>
      <c r="I1048" s="8" t="str">
        <f>IFERROR(__xludf.DUMMYFUNCTION("GOOGLETRANSLATE(C1048, ""en"", ""ar"")"),"محلل أعمال")</f>
        <v>محلل أعمال</v>
      </c>
      <c r="J1048" s="8"/>
      <c r="K1048" s="7" t="str">
        <f>IFERROR(__xludf.DUMMYFUNCTION("CONCAT(REGEXREPLACE(C1048,""[ ,]+"",""_""),"".mp3"")"),"business_analyst.mp3")</f>
        <v>business_analyst.mp3</v>
      </c>
      <c r="M1048" s="4" t="s">
        <v>10</v>
      </c>
    </row>
    <row r="1049" ht="15.75" customHeight="1">
      <c r="A1049" s="1">
        <v>2417.0</v>
      </c>
      <c r="B1049" s="3">
        <v>150.0</v>
      </c>
      <c r="C1049" s="7" t="s">
        <v>1067</v>
      </c>
      <c r="D1049" s="8" t="str">
        <f>IFERROR(__xludf.DUMMYFUNCTION("GOOGLETRANSLATE(C1049, ""en"", ""pt"")"),"proprietário de empresa")</f>
        <v>proprietário de empresa</v>
      </c>
      <c r="E1049" s="8" t="str">
        <f>IFERROR(__xludf.DUMMYFUNCTION("GOOGLETRANSLATE(C1049, ""en"", ""es"")"),"propietario de negocio")</f>
        <v>propietario de negocio</v>
      </c>
      <c r="F1049" s="8" t="str">
        <f>IFERROR(__xludf.DUMMYFUNCTION("GOOGLETRANSLATE(C1049, ""en"", ""fr"")"),"propriétaire d'entreprise")</f>
        <v>propriétaire d'entreprise</v>
      </c>
      <c r="G1049" s="8" t="str">
        <f>IFERROR(__xludf.DUMMYFUNCTION("GOOGLETRANSLATE(C1049, ""en"", ""de"")"),"Geschäftsinhaber")</f>
        <v>Geschäftsinhaber</v>
      </c>
      <c r="H1049" s="8" t="str">
        <f>IFERROR(__xludf.DUMMYFUNCTION("GOOGLETRANSLATE(C1049, ""en"", ""ru"")"),"владелец бизнеса")</f>
        <v>владелец бизнеса</v>
      </c>
      <c r="I1049" s="8" t="str">
        <f>IFERROR(__xludf.DUMMYFUNCTION("GOOGLETRANSLATE(C1049, ""en"", ""ar"")"),"صاحب عمل")</f>
        <v>صاحب عمل</v>
      </c>
      <c r="J1049" s="8"/>
      <c r="K1049" s="7" t="str">
        <f>IFERROR(__xludf.DUMMYFUNCTION("CONCAT(REGEXREPLACE(C1049,""[ ,]+"",""_""),"".mp3"")"),"business_owner.mp3")</f>
        <v>business_owner.mp3</v>
      </c>
      <c r="M1049" s="4" t="s">
        <v>10</v>
      </c>
    </row>
    <row r="1050" ht="15.75" customHeight="1">
      <c r="A1050" s="1">
        <v>2418.0</v>
      </c>
      <c r="B1050" s="3">
        <v>150.0</v>
      </c>
      <c r="C1050" s="7" t="s">
        <v>1068</v>
      </c>
      <c r="D1050" s="8" t="str">
        <f>IFERROR(__xludf.DUMMYFUNCTION("GOOGLETRANSLATE(C1050, ""en"", ""pt"")"),"empreendedor")</f>
        <v>empreendedor</v>
      </c>
      <c r="E1050" s="8" t="str">
        <f>IFERROR(__xludf.DUMMYFUNCTION("GOOGLETRANSLATE(C1050, ""en"", ""es"")"),"emprendedor")</f>
        <v>emprendedor</v>
      </c>
      <c r="F1050" s="8" t="str">
        <f>IFERROR(__xludf.DUMMYFUNCTION("GOOGLETRANSLATE(C1050, ""en"", ""fr"")"),"entrepreneur")</f>
        <v>entrepreneur</v>
      </c>
      <c r="G1050" s="8" t="str">
        <f>IFERROR(__xludf.DUMMYFUNCTION("GOOGLETRANSLATE(C1050, ""en"", ""de"")"),"Unternehmer")</f>
        <v>Unternehmer</v>
      </c>
      <c r="H1050" s="8" t="str">
        <f>IFERROR(__xludf.DUMMYFUNCTION("GOOGLETRANSLATE(C1050, ""en"", ""ru"")"),"предприниматель")</f>
        <v>предприниматель</v>
      </c>
      <c r="I1050" s="8" t="str">
        <f>IFERROR(__xludf.DUMMYFUNCTION("GOOGLETRANSLATE(C1050, ""en"", ""ar"")"),"مُقَاوِل")</f>
        <v>مُقَاوِل</v>
      </c>
      <c r="J1050" s="8"/>
      <c r="K1050" s="7" t="str">
        <f>IFERROR(__xludf.DUMMYFUNCTION("CONCAT(REGEXREPLACE(C1050,""[ ,]+"",""_""),"".mp3"")"),"entrepreneur.mp3")</f>
        <v>entrepreneur.mp3</v>
      </c>
      <c r="M1050" s="4" t="s">
        <v>10</v>
      </c>
    </row>
    <row r="1051" ht="15.75" customHeight="1">
      <c r="A1051" s="1">
        <v>2419.0</v>
      </c>
      <c r="B1051" s="3">
        <v>150.0</v>
      </c>
      <c r="C1051" s="7" t="s">
        <v>1069</v>
      </c>
      <c r="D1051" s="8" t="str">
        <f>IFERROR(__xludf.DUMMYFUNCTION("GOOGLETRANSLATE(C1051, ""en"", ""pt"")"),"gerente")</f>
        <v>gerente</v>
      </c>
      <c r="E1051" s="8" t="str">
        <f>IFERROR(__xludf.DUMMYFUNCTION("GOOGLETRANSLATE(C1051, ""en"", ""es"")"),"gerente")</f>
        <v>gerente</v>
      </c>
      <c r="F1051" s="8" t="str">
        <f>IFERROR(__xludf.DUMMYFUNCTION("GOOGLETRANSLATE(C1051, ""en"", ""fr"")"),"directeur")</f>
        <v>directeur</v>
      </c>
      <c r="G1051" s="8" t="str">
        <f>IFERROR(__xludf.DUMMYFUNCTION("GOOGLETRANSLATE(C1051, ""en"", ""de"")"),"Manager")</f>
        <v>Manager</v>
      </c>
      <c r="H1051" s="8" t="str">
        <f>IFERROR(__xludf.DUMMYFUNCTION("GOOGLETRANSLATE(C1051, ""en"", ""ru"")"),"менеджер")</f>
        <v>менеджер</v>
      </c>
      <c r="I1051" s="8" t="str">
        <f>IFERROR(__xludf.DUMMYFUNCTION("GOOGLETRANSLATE(C1051, ""en"", ""ar"")"),"مدير")</f>
        <v>مدير</v>
      </c>
      <c r="J1051" s="8"/>
      <c r="K1051" s="7" t="str">
        <f>IFERROR(__xludf.DUMMYFUNCTION("CONCAT(REGEXREPLACE(C1051,""[ ,]+"",""_""),"".mp3"")"),"manager.mp3")</f>
        <v>manager.mp3</v>
      </c>
      <c r="M1051" s="4" t="s">
        <v>10</v>
      </c>
    </row>
    <row r="1052" ht="15.75" customHeight="1">
      <c r="A1052" s="1">
        <v>2420.0</v>
      </c>
      <c r="B1052" s="3">
        <v>150.0</v>
      </c>
      <c r="C1052" s="7" t="s">
        <v>1070</v>
      </c>
      <c r="D1052" s="8" t="str">
        <f>IFERROR(__xludf.DUMMYFUNCTION("GOOGLETRANSLATE(C1052, ""en"", ""pt"")"),"gerente de marketing")</f>
        <v>gerente de marketing</v>
      </c>
      <c r="E1052" s="8" t="str">
        <f>IFERROR(__xludf.DUMMYFUNCTION("GOOGLETRANSLATE(C1052, ""en"", ""es"")"),"gerente de marketing")</f>
        <v>gerente de marketing</v>
      </c>
      <c r="F1052" s="8" t="str">
        <f>IFERROR(__xludf.DUMMYFUNCTION("GOOGLETRANSLATE(C1052, ""en"", ""fr"")"),"responsable marketing")</f>
        <v>responsable marketing</v>
      </c>
      <c r="G1052" s="8" t="str">
        <f>IFERROR(__xludf.DUMMYFUNCTION("GOOGLETRANSLATE(C1052, ""en"", ""de"")"),"Marketingmanager")</f>
        <v>Marketingmanager</v>
      </c>
      <c r="H1052" s="8" t="str">
        <f>IFERROR(__xludf.DUMMYFUNCTION("GOOGLETRANSLATE(C1052, ""en"", ""ru"")"),"менеджер по маркетингу")</f>
        <v>менеджер по маркетингу</v>
      </c>
      <c r="I1052" s="8" t="str">
        <f>IFERROR(__xludf.DUMMYFUNCTION("GOOGLETRANSLATE(C1052, ""en"", ""ar"")"),"مدير التسويق")</f>
        <v>مدير التسويق</v>
      </c>
      <c r="J1052" s="8"/>
      <c r="K1052" s="7" t="str">
        <f>IFERROR(__xludf.DUMMYFUNCTION("CONCAT(REGEXREPLACE(C1052,""[ ,]+"",""_""),"".mp3"")"),"marketing_manager.mp3")</f>
        <v>marketing_manager.mp3</v>
      </c>
      <c r="M1052" s="4" t="s">
        <v>10</v>
      </c>
    </row>
    <row r="1053" ht="15.75" customHeight="1">
      <c r="A1053" s="1">
        <v>2421.0</v>
      </c>
      <c r="B1053" s="3">
        <v>150.0</v>
      </c>
      <c r="C1053" s="7" t="s">
        <v>1071</v>
      </c>
      <c r="D1053" s="8" t="str">
        <f>IFERROR(__xludf.DUMMYFUNCTION("GOOGLETRANSLATE(C1053, ""en"", ""pt"")"),"gestor de projeto")</f>
        <v>gestor de projeto</v>
      </c>
      <c r="E1053" s="8" t="str">
        <f>IFERROR(__xludf.DUMMYFUNCTION("GOOGLETRANSLATE(C1053, ""en"", ""es"")"),"gerente de proyecto")</f>
        <v>gerente de proyecto</v>
      </c>
      <c r="F1053" s="8" t="str">
        <f>IFERROR(__xludf.DUMMYFUNCTION("GOOGLETRANSLATE(C1053, ""en"", ""fr"")"),"chef de projet")</f>
        <v>chef de projet</v>
      </c>
      <c r="G1053" s="8" t="str">
        <f>IFERROR(__xludf.DUMMYFUNCTION("GOOGLETRANSLATE(C1053, ""en"", ""de"")"),"Projektmanager")</f>
        <v>Projektmanager</v>
      </c>
      <c r="H1053" s="8" t="str">
        <f>IFERROR(__xludf.DUMMYFUNCTION("GOOGLETRANSLATE(C1053, ""en"", ""ru"")"),"руководитель проекта")</f>
        <v>руководитель проекта</v>
      </c>
      <c r="I1053" s="8" t="str">
        <f>IFERROR(__xludf.DUMMYFUNCTION("GOOGLETRANSLATE(C1053, ""en"", ""ar"")"),"مدير المشروع")</f>
        <v>مدير المشروع</v>
      </c>
      <c r="J1053" s="8"/>
      <c r="K1053" s="7" t="str">
        <f>IFERROR(__xludf.DUMMYFUNCTION("CONCAT(REGEXREPLACE(C1053,""[ ,]+"",""_""),"".mp3"")"),"project_manager.mp3")</f>
        <v>project_manager.mp3</v>
      </c>
      <c r="M1053" s="4" t="s">
        <v>10</v>
      </c>
    </row>
    <row r="1054" ht="15.75" customHeight="1">
      <c r="A1054" s="1">
        <v>2422.0</v>
      </c>
      <c r="B1054" s="3">
        <v>150.0</v>
      </c>
      <c r="C1054" s="7" t="s">
        <v>1072</v>
      </c>
      <c r="D1054" s="8" t="str">
        <f>IFERROR(__xludf.DUMMYFUNCTION("GOOGLETRANSLATE(C1054, ""en"", ""pt"")"),"gerente de produto")</f>
        <v>gerente de produto</v>
      </c>
      <c r="E1054" s="8" t="str">
        <f>IFERROR(__xludf.DUMMYFUNCTION("GOOGLETRANSLATE(C1054, ""en"", ""es"")"),"gerente de producto")</f>
        <v>gerente de producto</v>
      </c>
      <c r="F1054" s="8" t="str">
        <f>IFERROR(__xludf.DUMMYFUNCTION("GOOGLETRANSLATE(C1054, ""en"", ""fr"")"),"chef de produit")</f>
        <v>chef de produit</v>
      </c>
      <c r="G1054" s="8" t="str">
        <f>IFERROR(__xludf.DUMMYFUNCTION("GOOGLETRANSLATE(C1054, ""en"", ""de"")"),"Produktmanager")</f>
        <v>Produktmanager</v>
      </c>
      <c r="H1054" s="8" t="str">
        <f>IFERROR(__xludf.DUMMYFUNCTION("GOOGLETRANSLATE(C1054, ""en"", ""ru"")"),"менеджер по продукту")</f>
        <v>менеджер по продукту</v>
      </c>
      <c r="I1054" s="8" t="str">
        <f>IFERROR(__xludf.DUMMYFUNCTION("GOOGLETRANSLATE(C1054, ""en"", ""ar"")"),"مدير المنتج")</f>
        <v>مدير المنتج</v>
      </c>
      <c r="J1054" s="8"/>
      <c r="K1054" s="7" t="str">
        <f>IFERROR(__xludf.DUMMYFUNCTION("CONCAT(REGEXREPLACE(C1054,""[ ,]+"",""_""),"".mp3"")"),"product_manager.mp3")</f>
        <v>product_manager.mp3</v>
      </c>
      <c r="M1054" s="4" t="s">
        <v>10</v>
      </c>
    </row>
    <row r="1055" ht="15.75" customHeight="1">
      <c r="A1055" s="1">
        <v>2423.0</v>
      </c>
      <c r="B1055" s="3">
        <v>150.0</v>
      </c>
      <c r="C1055" s="7" t="s">
        <v>1073</v>
      </c>
      <c r="D1055" s="8" t="str">
        <f>IFERROR(__xludf.DUMMYFUNCTION("GOOGLETRANSLATE(C1055, ""en"", ""pt"")"),"gerente de operações")</f>
        <v>gerente de operações</v>
      </c>
      <c r="E1055" s="8" t="str">
        <f>IFERROR(__xludf.DUMMYFUNCTION("GOOGLETRANSLATE(C1055, ""en"", ""es"")"),"gerente de operaciones")</f>
        <v>gerente de operaciones</v>
      </c>
      <c r="F1055" s="8" t="str">
        <f>IFERROR(__xludf.DUMMYFUNCTION("GOOGLETRANSLATE(C1055, ""en"", ""fr"")"),"responsable des opérations")</f>
        <v>responsable des opérations</v>
      </c>
      <c r="G1055" s="8" t="str">
        <f>IFERROR(__xludf.DUMMYFUNCTION("GOOGLETRANSLATE(C1055, ""en"", ""de"")"),"Betriebsleiter")</f>
        <v>Betriebsleiter</v>
      </c>
      <c r="H1055" s="8" t="str">
        <f>IFERROR(__xludf.DUMMYFUNCTION("GOOGLETRANSLATE(C1055, ""en"", ""ru"")"),"операционный менеджер")</f>
        <v>операционный менеджер</v>
      </c>
      <c r="I1055" s="8" t="str">
        <f>IFERROR(__xludf.DUMMYFUNCTION("GOOGLETRANSLATE(C1055, ""en"", ""ar"")"),"مدير العمليات")</f>
        <v>مدير العمليات</v>
      </c>
      <c r="J1055" s="8"/>
      <c r="K1055" s="7" t="str">
        <f>IFERROR(__xludf.DUMMYFUNCTION("CONCAT(REGEXREPLACE(C1055,""[ ,]+"",""_""),"".mp3"")"),"operations_manager.mp3")</f>
        <v>operations_manager.mp3</v>
      </c>
      <c r="M1055" s="4" t="s">
        <v>10</v>
      </c>
    </row>
    <row r="1056" ht="15.75" customHeight="1">
      <c r="A1056" s="1">
        <v>2424.0</v>
      </c>
      <c r="B1056" s="3">
        <v>150.0</v>
      </c>
      <c r="C1056" s="7" t="s">
        <v>1074</v>
      </c>
      <c r="D1056" s="8" t="str">
        <f>IFERROR(__xludf.DUMMYFUNCTION("GOOGLETRANSLATE(C1056, ""en"", ""pt"")"),"gerente de recursos humanos")</f>
        <v>gerente de recursos humanos</v>
      </c>
      <c r="E1056" s="8" t="str">
        <f>IFERROR(__xludf.DUMMYFUNCTION("GOOGLETRANSLATE(C1056, ""en"", ""es"")"),"gerente de recursos humanos")</f>
        <v>gerente de recursos humanos</v>
      </c>
      <c r="F1056" s="8" t="str">
        <f>IFERROR(__xludf.DUMMYFUNCTION("GOOGLETRANSLATE(C1056, ""en"", ""fr"")"),"responsable des ressources humaines")</f>
        <v>responsable des ressources humaines</v>
      </c>
      <c r="G1056" s="8" t="str">
        <f>IFERROR(__xludf.DUMMYFUNCTION("GOOGLETRANSLATE(C1056, ""en"", ""de"")"),"Personalmanager")</f>
        <v>Personalmanager</v>
      </c>
      <c r="H1056" s="8" t="str">
        <f>IFERROR(__xludf.DUMMYFUNCTION("GOOGLETRANSLATE(C1056, ""en"", ""ru"")"),"менеджер по персоналу")</f>
        <v>менеджер по персоналу</v>
      </c>
      <c r="I1056" s="8" t="str">
        <f>IFERROR(__xludf.DUMMYFUNCTION("GOOGLETRANSLATE(C1056, ""en"", ""ar"")"),"مدير الموارد البشرية")</f>
        <v>مدير الموارد البشرية</v>
      </c>
      <c r="J1056" s="8"/>
      <c r="K1056" s="7" t="str">
        <f>IFERROR(__xludf.DUMMYFUNCTION("CONCAT(REGEXREPLACE(C1056,""[ ,]+"",""_""),"".mp3"")"),"human_resources_manager.mp3")</f>
        <v>human_resources_manager.mp3</v>
      </c>
      <c r="M1056" s="4" t="s">
        <v>10</v>
      </c>
    </row>
    <row r="1057" ht="15.75" customHeight="1">
      <c r="A1057" s="1">
        <v>2425.0</v>
      </c>
      <c r="B1057" s="3">
        <v>150.0</v>
      </c>
      <c r="C1057" s="7" t="s">
        <v>1075</v>
      </c>
      <c r="D1057" s="8" t="str">
        <f>IFERROR(__xludf.DUMMYFUNCTION("GOOGLETRANSLATE(C1057, ""en"", ""pt"")"),"funcionário de escritório")</f>
        <v>funcionário de escritório</v>
      </c>
      <c r="E1057" s="8" t="str">
        <f>IFERROR(__xludf.DUMMYFUNCTION("GOOGLETRANSLATE(C1057, ""en"", ""es"")"),"empleado de oficina")</f>
        <v>empleado de oficina</v>
      </c>
      <c r="F1057" s="8" t="str">
        <f>IFERROR(__xludf.DUMMYFUNCTION("GOOGLETRANSLATE(C1057, ""en"", ""fr"")"),"employé de bureau")</f>
        <v>employé de bureau</v>
      </c>
      <c r="G1057" s="8" t="str">
        <f>IFERROR(__xludf.DUMMYFUNCTION("GOOGLETRANSLATE(C1057, ""en"", ""de"")"),"Büroangestellte")</f>
        <v>Büroangestellte</v>
      </c>
      <c r="H1057" s="8" t="str">
        <f>IFERROR(__xludf.DUMMYFUNCTION("GOOGLETRANSLATE(C1057, ""en"", ""ru"")"),"офисный работник")</f>
        <v>офисный работник</v>
      </c>
      <c r="I1057" s="8" t="str">
        <f>IFERROR(__xludf.DUMMYFUNCTION("GOOGLETRANSLATE(C1057, ""en"", ""ar"")"),"موظف مكتبي")</f>
        <v>موظف مكتبي</v>
      </c>
      <c r="J1057" s="8"/>
      <c r="K1057" s="7" t="str">
        <f>IFERROR(__xludf.DUMMYFUNCTION("CONCAT(REGEXREPLACE(C1057,""[ ,]+"",""_""),"".mp3"")"),"office_worker.mp3")</f>
        <v>office_worker.mp3</v>
      </c>
      <c r="M1057" s="4" t="s">
        <v>10</v>
      </c>
    </row>
    <row r="1058" ht="15.75" customHeight="1">
      <c r="A1058" s="1">
        <v>2426.0</v>
      </c>
      <c r="B1058" s="3">
        <v>150.0</v>
      </c>
      <c r="C1058" s="7" t="s">
        <v>1076</v>
      </c>
      <c r="D1058" s="8" t="str">
        <f>IFERROR(__xludf.DUMMYFUNCTION("GOOGLETRANSLATE(C1058, ""en"", ""pt"")"),"recepcionista")</f>
        <v>recepcionista</v>
      </c>
      <c r="E1058" s="8" t="str">
        <f>IFERROR(__xludf.DUMMYFUNCTION("GOOGLETRANSLATE(C1058, ""en"", ""es"")"),"recepcionista")</f>
        <v>recepcionista</v>
      </c>
      <c r="F1058" s="8" t="str">
        <f>IFERROR(__xludf.DUMMYFUNCTION("GOOGLETRANSLATE(C1058, ""en"", ""fr"")"),"réceptionniste")</f>
        <v>réceptionniste</v>
      </c>
      <c r="G1058" s="8" t="str">
        <f>IFERROR(__xludf.DUMMYFUNCTION("GOOGLETRANSLATE(C1058, ""en"", ""de"")"),"Rezeptionistin")</f>
        <v>Rezeptionistin</v>
      </c>
      <c r="H1058" s="8" t="str">
        <f>IFERROR(__xludf.DUMMYFUNCTION("GOOGLETRANSLATE(C1058, ""en"", ""ru"")"),"администратор")</f>
        <v>администратор</v>
      </c>
      <c r="I1058" s="8" t="str">
        <f>IFERROR(__xludf.DUMMYFUNCTION("GOOGLETRANSLATE(C1058, ""en"", ""ar"")"),"موظف الاستقبال")</f>
        <v>موظف الاستقبال</v>
      </c>
      <c r="J1058" s="8"/>
      <c r="K1058" s="7" t="str">
        <f>IFERROR(__xludf.DUMMYFUNCTION("CONCAT(REGEXREPLACE(C1058,""[ ,]+"",""_""),"".mp3"")"),"receptionist.mp3")</f>
        <v>receptionist.mp3</v>
      </c>
      <c r="M1058" s="4" t="s">
        <v>10</v>
      </c>
    </row>
    <row r="1059" ht="15.75" customHeight="1">
      <c r="A1059" s="1">
        <v>2427.0</v>
      </c>
      <c r="B1059" s="3">
        <v>150.0</v>
      </c>
      <c r="C1059" s="7" t="s">
        <v>1077</v>
      </c>
      <c r="D1059" s="8" t="str">
        <f>IFERROR(__xludf.DUMMYFUNCTION("GOOGLETRANSLATE(C1059, ""en"", ""pt"")"),"secretário")</f>
        <v>secretário</v>
      </c>
      <c r="E1059" s="8" t="str">
        <f>IFERROR(__xludf.DUMMYFUNCTION("GOOGLETRANSLATE(C1059, ""en"", ""es"")"),"secretario")</f>
        <v>secretario</v>
      </c>
      <c r="F1059" s="8" t="str">
        <f>IFERROR(__xludf.DUMMYFUNCTION("GOOGLETRANSLATE(C1059, ""en"", ""fr"")"),"secrétaire")</f>
        <v>secrétaire</v>
      </c>
      <c r="G1059" s="8" t="str">
        <f>IFERROR(__xludf.DUMMYFUNCTION("GOOGLETRANSLATE(C1059, ""en"", ""de"")"),"Sekretär")</f>
        <v>Sekretär</v>
      </c>
      <c r="H1059" s="8" t="str">
        <f>IFERROR(__xludf.DUMMYFUNCTION("GOOGLETRANSLATE(C1059, ""en"", ""ru"")"),"секретарь")</f>
        <v>секретарь</v>
      </c>
      <c r="I1059" s="8" t="str">
        <f>IFERROR(__xludf.DUMMYFUNCTION("GOOGLETRANSLATE(C1059, ""en"", ""ar"")"),"سكرتيرة")</f>
        <v>سكرتيرة</v>
      </c>
      <c r="J1059" s="8"/>
      <c r="K1059" s="7" t="str">
        <f>IFERROR(__xludf.DUMMYFUNCTION("CONCAT(REGEXREPLACE(C1059,""[ ,]+"",""_""),"".mp3"")"),"secretary.mp3")</f>
        <v>secretary.mp3</v>
      </c>
      <c r="M1059" s="4" t="s">
        <v>10</v>
      </c>
    </row>
    <row r="1060" ht="15.75" customHeight="1">
      <c r="A1060" s="1">
        <v>2428.0</v>
      </c>
      <c r="B1060" s="3">
        <v>150.0</v>
      </c>
      <c r="C1060" s="7" t="s">
        <v>1078</v>
      </c>
      <c r="D1060" s="8" t="str">
        <f>IFERROR(__xludf.DUMMYFUNCTION("GOOGLETRANSLATE(C1060, ""en"", ""pt"")"),"Auxiliar Administrativo")</f>
        <v>Auxiliar Administrativo</v>
      </c>
      <c r="E1060" s="8" t="str">
        <f>IFERROR(__xludf.DUMMYFUNCTION("GOOGLETRANSLATE(C1060, ""en"", ""es"")"),"Ayudante Administrativo")</f>
        <v>Ayudante Administrativo</v>
      </c>
      <c r="F1060" s="8" t="str">
        <f>IFERROR(__xludf.DUMMYFUNCTION("GOOGLETRANSLATE(C1060, ""en"", ""fr"")"),"adjointe administrative")</f>
        <v>adjointe administrative</v>
      </c>
      <c r="G1060" s="8" t="str">
        <f>IFERROR(__xludf.DUMMYFUNCTION("GOOGLETRANSLATE(C1060, ""en"", ""de"")"),"Verwaltungsassistent")</f>
        <v>Verwaltungsassistent</v>
      </c>
      <c r="H1060" s="8" t="str">
        <f>IFERROR(__xludf.DUMMYFUNCTION("GOOGLETRANSLATE(C1060, ""en"", ""ru"")"),"административный помощник")</f>
        <v>административный помощник</v>
      </c>
      <c r="I1060" s="8" t="str">
        <f>IFERROR(__xludf.DUMMYFUNCTION("GOOGLETRANSLATE(C1060, ""en"", ""ar"")"),"مساعد إداري")</f>
        <v>مساعد إداري</v>
      </c>
      <c r="J1060" s="8"/>
      <c r="K1060" s="7" t="str">
        <f>IFERROR(__xludf.DUMMYFUNCTION("CONCAT(REGEXREPLACE(C1060,""[ ,]+"",""_""),"".mp3"")"),"administrative_assistant.mp3")</f>
        <v>administrative_assistant.mp3</v>
      </c>
      <c r="M1060" s="4" t="s">
        <v>10</v>
      </c>
    </row>
    <row r="1061" ht="15.75" customHeight="1">
      <c r="A1061" s="1">
        <v>2429.0</v>
      </c>
      <c r="B1061" s="3">
        <v>150.0</v>
      </c>
      <c r="C1061" s="7" t="s">
        <v>1079</v>
      </c>
      <c r="D1061" s="8" t="str">
        <f>IFERROR(__xludf.DUMMYFUNCTION("GOOGLETRANSLATE(C1061, ""en"", ""pt"")"),"executivo")</f>
        <v>executivo</v>
      </c>
      <c r="E1061" s="8" t="str">
        <f>IFERROR(__xludf.DUMMYFUNCTION("GOOGLETRANSLATE(C1061, ""en"", ""es"")"),"ejecutivo")</f>
        <v>ejecutivo</v>
      </c>
      <c r="F1061" s="8" t="str">
        <f>IFERROR(__xludf.DUMMYFUNCTION("GOOGLETRANSLATE(C1061, ""en"", ""fr"")"),"exécutif")</f>
        <v>exécutif</v>
      </c>
      <c r="G1061" s="8" t="str">
        <f>IFERROR(__xludf.DUMMYFUNCTION("GOOGLETRANSLATE(C1061, ""en"", ""de"")"),"Führungskraft")</f>
        <v>Führungskraft</v>
      </c>
      <c r="H1061" s="8" t="str">
        <f>IFERROR(__xludf.DUMMYFUNCTION("GOOGLETRANSLATE(C1061, ""en"", ""ru"")"),"исполнительный")</f>
        <v>исполнительный</v>
      </c>
      <c r="I1061" s="8" t="str">
        <f>IFERROR(__xludf.DUMMYFUNCTION("GOOGLETRANSLATE(C1061, ""en"", ""ar"")"),"تنفيذي")</f>
        <v>تنفيذي</v>
      </c>
      <c r="J1061" s="8"/>
      <c r="K1061" s="7" t="str">
        <f>IFERROR(__xludf.DUMMYFUNCTION("CONCAT(REGEXREPLACE(C1061,""[ ,]+"",""_""),"".mp3"")"),"executive.mp3")</f>
        <v>executive.mp3</v>
      </c>
      <c r="M1061" s="4" t="s">
        <v>10</v>
      </c>
    </row>
    <row r="1062" ht="15.75" customHeight="1">
      <c r="A1062" s="1">
        <v>2430.0</v>
      </c>
      <c r="B1062" s="3">
        <v>150.0</v>
      </c>
      <c r="C1062" s="7" t="s">
        <v>1080</v>
      </c>
      <c r="D1062" s="8" t="str">
        <f>IFERROR(__xludf.DUMMYFUNCTION("GOOGLETRANSLATE(C1062, ""en"", ""pt"")"),"consultor")</f>
        <v>consultor</v>
      </c>
      <c r="E1062" s="8" t="str">
        <f>IFERROR(__xludf.DUMMYFUNCTION("GOOGLETRANSLATE(C1062, ""en"", ""es"")"),"consultor")</f>
        <v>consultor</v>
      </c>
      <c r="F1062" s="8" t="str">
        <f>IFERROR(__xludf.DUMMYFUNCTION("GOOGLETRANSLATE(C1062, ""en"", ""fr"")"),"consultant")</f>
        <v>consultant</v>
      </c>
      <c r="G1062" s="8" t="str">
        <f>IFERROR(__xludf.DUMMYFUNCTION("GOOGLETRANSLATE(C1062, ""en"", ""de"")"),"Berater")</f>
        <v>Berater</v>
      </c>
      <c r="H1062" s="8" t="str">
        <f>IFERROR(__xludf.DUMMYFUNCTION("GOOGLETRANSLATE(C1062, ""en"", ""ru"")"),"консультант")</f>
        <v>консультант</v>
      </c>
      <c r="I1062" s="8" t="str">
        <f>IFERROR(__xludf.DUMMYFUNCTION("GOOGLETRANSLATE(C1062, ""en"", ""ar"")"),"مستشار")</f>
        <v>مستشار</v>
      </c>
      <c r="J1062" s="8"/>
      <c r="K1062" s="7" t="str">
        <f>IFERROR(__xludf.DUMMYFUNCTION("CONCAT(REGEXREPLACE(C1062,""[ ,]+"",""_""),"".mp3"")"),"consultant.mp3")</f>
        <v>consultant.mp3</v>
      </c>
      <c r="M1062" s="4" t="s">
        <v>10</v>
      </c>
    </row>
    <row r="1063" ht="15.75" customHeight="1">
      <c r="A1063" s="1">
        <v>2431.0</v>
      </c>
      <c r="B1063" s="3">
        <v>150.0</v>
      </c>
      <c r="C1063" s="7" t="s">
        <v>1081</v>
      </c>
      <c r="D1063" s="8" t="str">
        <f>IFERROR(__xludf.DUMMYFUNCTION("GOOGLETRANSLATE(C1063, ""en"", ""pt"")"),"consultor financeiro")</f>
        <v>consultor financeiro</v>
      </c>
      <c r="E1063" s="8" t="str">
        <f>IFERROR(__xludf.DUMMYFUNCTION("GOOGLETRANSLATE(C1063, ""en"", ""es"")"),"asesor financiero")</f>
        <v>asesor financiero</v>
      </c>
      <c r="F1063" s="8" t="str">
        <f>IFERROR(__xludf.DUMMYFUNCTION("GOOGLETRANSLATE(C1063, ""en"", ""fr"")"),"conseiller financier")</f>
        <v>conseiller financier</v>
      </c>
      <c r="G1063" s="8" t="str">
        <f>IFERROR(__xludf.DUMMYFUNCTION("GOOGLETRANSLATE(C1063, ""en"", ""de"")"),"Finanzberater")</f>
        <v>Finanzberater</v>
      </c>
      <c r="H1063" s="8" t="str">
        <f>IFERROR(__xludf.DUMMYFUNCTION("GOOGLETRANSLATE(C1063, ""en"", ""ru"")"),"финансовый консультант")</f>
        <v>финансовый консультант</v>
      </c>
      <c r="I1063" s="8" t="str">
        <f>IFERROR(__xludf.DUMMYFUNCTION("GOOGLETRANSLATE(C1063, ""en"", ""ar"")"),"مستشار مالي")</f>
        <v>مستشار مالي</v>
      </c>
      <c r="J1063" s="8"/>
      <c r="K1063" s="7" t="str">
        <f>IFERROR(__xludf.DUMMYFUNCTION("CONCAT(REGEXREPLACE(C1063,""[ ,]+"",""_""),"".mp3"")"),"financial_advisor.mp3")</f>
        <v>financial_advisor.mp3</v>
      </c>
      <c r="M1063" s="4" t="s">
        <v>10</v>
      </c>
    </row>
    <row r="1064" ht="15.75" customHeight="1">
      <c r="A1064" s="1">
        <v>2432.0</v>
      </c>
      <c r="B1064" s="3">
        <v>150.0</v>
      </c>
      <c r="C1064" s="7" t="s">
        <v>1082</v>
      </c>
      <c r="D1064" s="8" t="str">
        <f>IFERROR(__xludf.DUMMYFUNCTION("GOOGLETRANSLATE(C1064, ""en"", ""pt"")"),"banqueiro de investimentos")</f>
        <v>banqueiro de investimentos</v>
      </c>
      <c r="E1064" s="8" t="str">
        <f>IFERROR(__xludf.DUMMYFUNCTION("GOOGLETRANSLATE(C1064, ""en"", ""es"")"),"banquero de inversiones")</f>
        <v>banquero de inversiones</v>
      </c>
      <c r="F1064" s="8" t="str">
        <f>IFERROR(__xludf.DUMMYFUNCTION("GOOGLETRANSLATE(C1064, ""en"", ""fr"")"),"banquier d'affaires")</f>
        <v>banquier d'affaires</v>
      </c>
      <c r="G1064" s="8" t="str">
        <f>IFERROR(__xludf.DUMMYFUNCTION("GOOGLETRANSLATE(C1064, ""en"", ""de"")"),"Investmentbanker")</f>
        <v>Investmentbanker</v>
      </c>
      <c r="H1064" s="8" t="str">
        <f>IFERROR(__xludf.DUMMYFUNCTION("GOOGLETRANSLATE(C1064, ""en"", ""ru"")"),"инвестиционный банкир")</f>
        <v>инвестиционный банкир</v>
      </c>
      <c r="I1064" s="8" t="str">
        <f>IFERROR(__xludf.DUMMYFUNCTION("GOOGLETRANSLATE(C1064, ""en"", ""ar"")"),"مصرفي استثماري")</f>
        <v>مصرفي استثماري</v>
      </c>
      <c r="J1064" s="8"/>
      <c r="K1064" s="7" t="str">
        <f>IFERROR(__xludf.DUMMYFUNCTION("CONCAT(REGEXREPLACE(C1064,""[ ,]+"",""_""),"".mp3"")"),"investment_banker.mp3")</f>
        <v>investment_banker.mp3</v>
      </c>
      <c r="M1064" s="4" t="s">
        <v>10</v>
      </c>
    </row>
    <row r="1065" ht="15.75" customHeight="1">
      <c r="A1065" s="1">
        <v>2433.0</v>
      </c>
      <c r="B1065" s="3">
        <v>150.0</v>
      </c>
      <c r="C1065" s="7" t="s">
        <v>1083</v>
      </c>
      <c r="D1065" s="8" t="str">
        <f>IFERROR(__xludf.DUMMYFUNCTION("GOOGLETRANSLATE(C1065, ""en"", ""pt"")"),"agente de seguros")</f>
        <v>agente de seguros</v>
      </c>
      <c r="E1065" s="8" t="str">
        <f>IFERROR(__xludf.DUMMYFUNCTION("GOOGLETRANSLATE(C1065, ""en"", ""es"")"),"agente de seguros")</f>
        <v>agente de seguros</v>
      </c>
      <c r="F1065" s="8" t="str">
        <f>IFERROR(__xludf.DUMMYFUNCTION("GOOGLETRANSLATE(C1065, ""en"", ""fr"")"),"agent d'assurance")</f>
        <v>agent d'assurance</v>
      </c>
      <c r="G1065" s="8" t="str">
        <f>IFERROR(__xludf.DUMMYFUNCTION("GOOGLETRANSLATE(C1065, ""en"", ""de"")"),"Versicherungsvertreter")</f>
        <v>Versicherungsvertreter</v>
      </c>
      <c r="H1065" s="8" t="str">
        <f>IFERROR(__xludf.DUMMYFUNCTION("GOOGLETRANSLATE(C1065, ""en"", ""ru"")"),"страховой агент")</f>
        <v>страховой агент</v>
      </c>
      <c r="I1065" s="8" t="str">
        <f>IFERROR(__xludf.DUMMYFUNCTION("GOOGLETRANSLATE(C1065, ""en"", ""ar"")"),"وكيل تأمين")</f>
        <v>وكيل تأمين</v>
      </c>
      <c r="J1065" s="8"/>
      <c r="K1065" s="7" t="str">
        <f>IFERROR(__xludf.DUMMYFUNCTION("CONCAT(REGEXREPLACE(C1065,""[ ,]+"",""_""),"".mp3"")"),"insurance_agent.mp3")</f>
        <v>insurance_agent.mp3</v>
      </c>
      <c r="M1065" s="4" t="s">
        <v>10</v>
      </c>
    </row>
    <row r="1066" ht="15.75" customHeight="1">
      <c r="A1066" s="1">
        <v>2434.0</v>
      </c>
      <c r="B1066" s="3">
        <v>150.0</v>
      </c>
      <c r="C1066" s="7" t="s">
        <v>1084</v>
      </c>
      <c r="D1066" s="8" t="str">
        <f>IFERROR(__xludf.DUMMYFUNCTION("GOOGLETRANSLATE(C1066, ""en"", ""pt"")"),"corretor de imóveis")</f>
        <v>corretor de imóveis</v>
      </c>
      <c r="E1066" s="8" t="str">
        <f>IFERROR(__xludf.DUMMYFUNCTION("GOOGLETRANSLATE(C1066, ""en"", ""es"")"),"agente inmobiliario")</f>
        <v>agente inmobiliario</v>
      </c>
      <c r="F1066" s="8" t="str">
        <f>IFERROR(__xludf.DUMMYFUNCTION("GOOGLETRANSLATE(C1066, ""en"", ""fr"")"),"agent immobilier")</f>
        <v>agent immobilier</v>
      </c>
      <c r="G1066" s="8" t="str">
        <f>IFERROR(__xludf.DUMMYFUNCTION("GOOGLETRANSLATE(C1066, ""en"", ""de"")"),"Immobilienmakler")</f>
        <v>Immobilienmakler</v>
      </c>
      <c r="H1066" s="8" t="str">
        <f>IFERROR(__xludf.DUMMYFUNCTION("GOOGLETRANSLATE(C1066, ""en"", ""ru"")"),"агент по недвижимости")</f>
        <v>агент по недвижимости</v>
      </c>
      <c r="I1066" s="8" t="str">
        <f>IFERROR(__xludf.DUMMYFUNCTION("GOOGLETRANSLATE(C1066, ""en"", ""ar"")"),"وكيل عقاري")</f>
        <v>وكيل عقاري</v>
      </c>
      <c r="J1066" s="8"/>
      <c r="K1066" s="7" t="str">
        <f>IFERROR(__xludf.DUMMYFUNCTION("CONCAT(REGEXREPLACE(C1066,""[ ,]+"",""_""),"".mp3"")"),"real_estate_agent.mp3")</f>
        <v>real_estate_agent.mp3</v>
      </c>
      <c r="M1066" s="4" t="s">
        <v>10</v>
      </c>
    </row>
    <row r="1067" ht="15.75" customHeight="1">
      <c r="A1067" s="1">
        <v>2435.0</v>
      </c>
      <c r="B1067" s="3">
        <v>150.0</v>
      </c>
      <c r="C1067" s="7" t="s">
        <v>1085</v>
      </c>
      <c r="D1067" s="8" t="str">
        <f>IFERROR(__xludf.DUMMYFUNCTION("GOOGLETRANSLATE(C1067, ""en"", ""pt"")"),"representante de vendas")</f>
        <v>representante de vendas</v>
      </c>
      <c r="E1067" s="8" t="str">
        <f>IFERROR(__xludf.DUMMYFUNCTION("GOOGLETRANSLATE(C1067, ""en"", ""es"")"),"Representante de ventas")</f>
        <v>Representante de ventas</v>
      </c>
      <c r="F1067" s="8" t="str">
        <f>IFERROR(__xludf.DUMMYFUNCTION("GOOGLETRANSLATE(C1067, ""en"", ""fr"")"),"représentant des ventes")</f>
        <v>représentant des ventes</v>
      </c>
      <c r="G1067" s="8" t="str">
        <f>IFERROR(__xludf.DUMMYFUNCTION("GOOGLETRANSLATE(C1067, ""en"", ""de"")"),"Außendienstmitarbeiter")</f>
        <v>Außendienstmitarbeiter</v>
      </c>
      <c r="H1067" s="8" t="str">
        <f>IFERROR(__xludf.DUMMYFUNCTION("GOOGLETRANSLATE(C1067, ""en"", ""ru"")"),"торговый представитель")</f>
        <v>торговый представитель</v>
      </c>
      <c r="I1067" s="8" t="str">
        <f>IFERROR(__xludf.DUMMYFUNCTION("GOOGLETRANSLATE(C1067, ""en"", ""ar"")"),"مندوب مبيعات")</f>
        <v>مندوب مبيعات</v>
      </c>
      <c r="J1067" s="8"/>
      <c r="K1067" s="7" t="str">
        <f>IFERROR(__xludf.DUMMYFUNCTION("CONCAT(REGEXREPLACE(C1067,""[ ,]+"",""_""),"".mp3"")"),"sales_representative.mp3")</f>
        <v>sales_representative.mp3</v>
      </c>
      <c r="M1067" s="4" t="s">
        <v>10</v>
      </c>
    </row>
    <row r="1068" ht="15.75" customHeight="1">
      <c r="A1068" s="1">
        <v>2436.0</v>
      </c>
      <c r="B1068" s="3">
        <v>150.0</v>
      </c>
      <c r="C1068" s="7" t="s">
        <v>1086</v>
      </c>
      <c r="D1068" s="8" t="str">
        <f>IFERROR(__xludf.DUMMYFUNCTION("GOOGLETRANSLATE(C1068, ""en"", ""pt"")"),"vendedor")</f>
        <v>vendedor</v>
      </c>
      <c r="E1068" s="8" t="str">
        <f>IFERROR(__xludf.DUMMYFUNCTION("GOOGLETRANSLATE(C1068, ""en"", ""es"")"),"vendedor")</f>
        <v>vendedor</v>
      </c>
      <c r="F1068" s="8" t="str">
        <f>IFERROR(__xludf.DUMMYFUNCTION("GOOGLETRANSLATE(C1068, ""en"", ""fr"")"),"vendeur")</f>
        <v>vendeur</v>
      </c>
      <c r="G1068" s="8" t="str">
        <f>IFERROR(__xludf.DUMMYFUNCTION("GOOGLETRANSLATE(C1068, ""en"", ""de"")"),"Verkäufer")</f>
        <v>Verkäufer</v>
      </c>
      <c r="H1068" s="8" t="str">
        <f>IFERROR(__xludf.DUMMYFUNCTION("GOOGLETRANSLATE(C1068, ""en"", ""ru"")"),"продавец")</f>
        <v>продавец</v>
      </c>
      <c r="I1068" s="8" t="str">
        <f>IFERROR(__xludf.DUMMYFUNCTION("GOOGLETRANSLATE(C1068, ""en"", ""ar"")"),"بائع")</f>
        <v>بائع</v>
      </c>
      <c r="J1068" s="8"/>
      <c r="K1068" s="7" t="str">
        <f>IFERROR(__xludf.DUMMYFUNCTION("CONCAT(REGEXREPLACE(C1068,""[ ,]+"",""_""),"".mp3"")"),"salesperson.mp3")</f>
        <v>salesperson.mp3</v>
      </c>
      <c r="M1068" s="4" t="s">
        <v>10</v>
      </c>
    </row>
    <row r="1069" ht="15.75" customHeight="1">
      <c r="A1069" s="1">
        <v>2437.0</v>
      </c>
      <c r="B1069" s="3">
        <v>150.0</v>
      </c>
      <c r="C1069" s="7" t="s">
        <v>1087</v>
      </c>
      <c r="D1069" s="8" t="str">
        <f>IFERROR(__xludf.DUMMYFUNCTION("GOOGLETRANSLATE(C1069, ""en"", ""pt"")"),"professor")</f>
        <v>professor</v>
      </c>
      <c r="E1069" s="8" t="str">
        <f>IFERROR(__xludf.DUMMYFUNCTION("GOOGLETRANSLATE(C1069, ""en"", ""es"")"),"maestro")</f>
        <v>maestro</v>
      </c>
      <c r="F1069" s="8" t="str">
        <f>IFERROR(__xludf.DUMMYFUNCTION("GOOGLETRANSLATE(C1069, ""en"", ""fr"")"),"professeur")</f>
        <v>professeur</v>
      </c>
      <c r="G1069" s="8" t="str">
        <f>IFERROR(__xludf.DUMMYFUNCTION("GOOGLETRANSLATE(C1069, ""en"", ""de"")"),"Lehrer")</f>
        <v>Lehrer</v>
      </c>
      <c r="H1069" s="8" t="str">
        <f>IFERROR(__xludf.DUMMYFUNCTION("GOOGLETRANSLATE(C1069, ""en"", ""ru"")"),"учитель")</f>
        <v>учитель</v>
      </c>
      <c r="I1069" s="8" t="str">
        <f>IFERROR(__xludf.DUMMYFUNCTION("GOOGLETRANSLATE(C1069, ""en"", ""ar"")"),"مدرس")</f>
        <v>مدرس</v>
      </c>
      <c r="J1069" s="8"/>
      <c r="K1069" s="7" t="str">
        <f>IFERROR(__xludf.DUMMYFUNCTION("CONCAT(REGEXREPLACE(C1069,""[ ,]+"",""_""),"".mp3"")"),"teacher.mp3")</f>
        <v>teacher.mp3</v>
      </c>
      <c r="M1069" s="4" t="s">
        <v>10</v>
      </c>
    </row>
    <row r="1070" ht="15.75" customHeight="1">
      <c r="A1070" s="1">
        <v>2438.0</v>
      </c>
      <c r="B1070" s="3">
        <v>150.0</v>
      </c>
      <c r="C1070" s="7" t="s">
        <v>1088</v>
      </c>
      <c r="D1070" s="8" t="str">
        <f>IFERROR(__xludf.DUMMYFUNCTION("GOOGLETRANSLATE(C1070, ""en"", ""pt"")"),"professor")</f>
        <v>professor</v>
      </c>
      <c r="E1070" s="8" t="str">
        <f>IFERROR(__xludf.DUMMYFUNCTION("GOOGLETRANSLATE(C1070, ""en"", ""es"")"),"profesor")</f>
        <v>profesor</v>
      </c>
      <c r="F1070" s="8" t="str">
        <f>IFERROR(__xludf.DUMMYFUNCTION("GOOGLETRANSLATE(C1070, ""en"", ""fr"")"),"professeur")</f>
        <v>professeur</v>
      </c>
      <c r="G1070" s="8" t="str">
        <f>IFERROR(__xludf.DUMMYFUNCTION("GOOGLETRANSLATE(C1070, ""en"", ""de"")"),"Professor")</f>
        <v>Professor</v>
      </c>
      <c r="H1070" s="8" t="str">
        <f>IFERROR(__xludf.DUMMYFUNCTION("GOOGLETRANSLATE(C1070, ""en"", ""ru"")"),"профессор")</f>
        <v>профессор</v>
      </c>
      <c r="I1070" s="8" t="str">
        <f>IFERROR(__xludf.DUMMYFUNCTION("GOOGLETRANSLATE(C1070, ""en"", ""ar"")"),"أستاذ")</f>
        <v>أستاذ</v>
      </c>
      <c r="J1070" s="8"/>
      <c r="K1070" s="7" t="str">
        <f>IFERROR(__xludf.DUMMYFUNCTION("CONCAT(REGEXREPLACE(C1070,""[ ,]+"",""_""),"".mp3"")"),"professor.mp3")</f>
        <v>professor.mp3</v>
      </c>
      <c r="M1070" s="4" t="s">
        <v>10</v>
      </c>
    </row>
    <row r="1071" ht="15.75" customHeight="1">
      <c r="A1071" s="1">
        <v>2439.0</v>
      </c>
      <c r="B1071" s="3">
        <v>150.0</v>
      </c>
      <c r="C1071" s="7" t="s">
        <v>1089</v>
      </c>
      <c r="D1071" s="8" t="str">
        <f>IFERROR(__xludf.DUMMYFUNCTION("GOOGLETRANSLATE(C1071, ""en"", ""pt"")"),"conferencista")</f>
        <v>conferencista</v>
      </c>
      <c r="E1071" s="8" t="str">
        <f>IFERROR(__xludf.DUMMYFUNCTION("GOOGLETRANSLATE(C1071, ""en"", ""es"")"),"profesor")</f>
        <v>profesor</v>
      </c>
      <c r="F1071" s="8" t="str">
        <f>IFERROR(__xludf.DUMMYFUNCTION("GOOGLETRANSLATE(C1071, ""en"", ""fr"")"),"conférencier")</f>
        <v>conférencier</v>
      </c>
      <c r="G1071" s="8" t="str">
        <f>IFERROR(__xludf.DUMMYFUNCTION("GOOGLETRANSLATE(C1071, ""en"", ""de"")"),"Dozent")</f>
        <v>Dozent</v>
      </c>
      <c r="H1071" s="8" t="str">
        <f>IFERROR(__xludf.DUMMYFUNCTION("GOOGLETRANSLATE(C1071, ""en"", ""ru"")"),"лектор")</f>
        <v>лектор</v>
      </c>
      <c r="I1071" s="8" t="str">
        <f>IFERROR(__xludf.DUMMYFUNCTION("GOOGLETRANSLATE(C1071, ""en"", ""ar"")"),"محاضر")</f>
        <v>محاضر</v>
      </c>
      <c r="J1071" s="8"/>
      <c r="K1071" s="7" t="str">
        <f>IFERROR(__xludf.DUMMYFUNCTION("CONCAT(REGEXREPLACE(C1071,""[ ,]+"",""_""),"".mp3"")"),"lecturer.mp3")</f>
        <v>lecturer.mp3</v>
      </c>
      <c r="M1071" s="4" t="s">
        <v>10</v>
      </c>
    </row>
    <row r="1072" ht="15.75" customHeight="1">
      <c r="A1072" s="1">
        <v>2440.0</v>
      </c>
      <c r="B1072" s="3">
        <v>150.0</v>
      </c>
      <c r="C1072" s="7" t="s">
        <v>1090</v>
      </c>
      <c r="D1072" s="8" t="str">
        <f>IFERROR(__xludf.DUMMYFUNCTION("GOOGLETRANSLATE(C1072, ""en"", ""pt"")"),"tutor")</f>
        <v>tutor</v>
      </c>
      <c r="E1072" s="8" t="str">
        <f>IFERROR(__xludf.DUMMYFUNCTION("GOOGLETRANSLATE(C1072, ""en"", ""es"")"),"tutor")</f>
        <v>tutor</v>
      </c>
      <c r="F1072" s="8" t="str">
        <f>IFERROR(__xludf.DUMMYFUNCTION("GOOGLETRANSLATE(C1072, ""en"", ""fr"")"),"tuteur")</f>
        <v>tuteur</v>
      </c>
      <c r="G1072" s="8" t="str">
        <f>IFERROR(__xludf.DUMMYFUNCTION("GOOGLETRANSLATE(C1072, ""en"", ""de"")"),"Tutor")</f>
        <v>Tutor</v>
      </c>
      <c r="H1072" s="8" t="str">
        <f>IFERROR(__xludf.DUMMYFUNCTION("GOOGLETRANSLATE(C1072, ""en"", ""ru"")"),"репетитор")</f>
        <v>репетитор</v>
      </c>
      <c r="I1072" s="8" t="str">
        <f>IFERROR(__xludf.DUMMYFUNCTION("GOOGLETRANSLATE(C1072, ""en"", ""ar"")"),"مدرس خاص")</f>
        <v>مدرس خاص</v>
      </c>
      <c r="J1072" s="8"/>
      <c r="K1072" s="7" t="str">
        <f>IFERROR(__xludf.DUMMYFUNCTION("CONCAT(REGEXREPLACE(C1072,""[ ,]+"",""_""),"".mp3"")"),"tutor.mp3")</f>
        <v>tutor.mp3</v>
      </c>
      <c r="M1072" s="4" t="s">
        <v>10</v>
      </c>
    </row>
    <row r="1073" ht="15.75" customHeight="1">
      <c r="A1073" s="1">
        <v>2441.0</v>
      </c>
      <c r="B1073" s="3">
        <v>150.0</v>
      </c>
      <c r="C1073" s="7" t="s">
        <v>1091</v>
      </c>
      <c r="D1073" s="8" t="str">
        <f>IFERROR(__xludf.DUMMYFUNCTION("GOOGLETRANSLATE(C1073, ""en"", ""pt"")"),"instrutor")</f>
        <v>instrutor</v>
      </c>
      <c r="E1073" s="8" t="str">
        <f>IFERROR(__xludf.DUMMYFUNCTION("GOOGLETRANSLATE(C1073, ""en"", ""es"")"),"instructor")</f>
        <v>instructor</v>
      </c>
      <c r="F1073" s="8" t="str">
        <f>IFERROR(__xludf.DUMMYFUNCTION("GOOGLETRANSLATE(C1073, ""en"", ""fr"")"),"instructeur")</f>
        <v>instructeur</v>
      </c>
      <c r="G1073" s="8" t="str">
        <f>IFERROR(__xludf.DUMMYFUNCTION("GOOGLETRANSLATE(C1073, ""en"", ""de"")"),"Lehrer")</f>
        <v>Lehrer</v>
      </c>
      <c r="H1073" s="8" t="str">
        <f>IFERROR(__xludf.DUMMYFUNCTION("GOOGLETRANSLATE(C1073, ""en"", ""ru"")"),"инструктор")</f>
        <v>инструктор</v>
      </c>
      <c r="I1073" s="8" t="str">
        <f>IFERROR(__xludf.DUMMYFUNCTION("GOOGLETRANSLATE(C1073, ""en"", ""ar"")"),"مدرب")</f>
        <v>مدرب</v>
      </c>
      <c r="J1073" s="8"/>
      <c r="K1073" s="7" t="str">
        <f>IFERROR(__xludf.DUMMYFUNCTION("CONCAT(REGEXREPLACE(C1073,""[ ,]+"",""_""),"".mp3"")"),"instructor.mp3")</f>
        <v>instructor.mp3</v>
      </c>
      <c r="M1073" s="4" t="s">
        <v>10</v>
      </c>
    </row>
    <row r="1074" ht="15.75" customHeight="1">
      <c r="A1074" s="1">
        <v>2442.0</v>
      </c>
      <c r="B1074" s="3">
        <v>150.0</v>
      </c>
      <c r="C1074" s="7" t="s">
        <v>1092</v>
      </c>
      <c r="D1074" s="8" t="str">
        <f>IFERROR(__xludf.DUMMYFUNCTION("GOOGLETRANSLATE(C1074, ""en"", ""pt"")"),"assistente de ensino")</f>
        <v>assistente de ensino</v>
      </c>
      <c r="E1074" s="8" t="str">
        <f>IFERROR(__xludf.DUMMYFUNCTION("GOOGLETRANSLATE(C1074, ""en"", ""es"")"),"ayudante de cátedra")</f>
        <v>ayudante de cátedra</v>
      </c>
      <c r="F1074" s="8" t="str">
        <f>IFERROR(__xludf.DUMMYFUNCTION("GOOGLETRANSLATE(C1074, ""en"", ""fr"")"),"assistant d'enseignement")</f>
        <v>assistant d'enseignement</v>
      </c>
      <c r="G1074" s="8" t="str">
        <f>IFERROR(__xludf.DUMMYFUNCTION("GOOGLETRANSLATE(C1074, ""en"", ""de"")"),"Lehrassistent")</f>
        <v>Lehrassistent</v>
      </c>
      <c r="H1074" s="8" t="str">
        <f>IFERROR(__xludf.DUMMYFUNCTION("GOOGLETRANSLATE(C1074, ""en"", ""ru"")"),"ассистент преподавателя")</f>
        <v>ассистент преподавателя</v>
      </c>
      <c r="I1074" s="8" t="str">
        <f>IFERROR(__xludf.DUMMYFUNCTION("GOOGLETRANSLATE(C1074, ""en"", ""ar"")"),"مساعد تدريس")</f>
        <v>مساعد تدريس</v>
      </c>
      <c r="J1074" s="8"/>
      <c r="K1074" s="7" t="str">
        <f>IFERROR(__xludf.DUMMYFUNCTION("CONCAT(REGEXREPLACE(C1074,""[ ,]+"",""_""),"".mp3"")"),"teaching_assistant.mp3")</f>
        <v>teaching_assistant.mp3</v>
      </c>
      <c r="M1074" s="4" t="s">
        <v>10</v>
      </c>
    </row>
    <row r="1075" ht="15.75" customHeight="1">
      <c r="A1075" s="1">
        <v>2443.0</v>
      </c>
      <c r="B1075" s="3">
        <v>150.0</v>
      </c>
      <c r="C1075" s="7" t="s">
        <v>1093</v>
      </c>
      <c r="D1075" s="8" t="str">
        <f>IFERROR(__xludf.DUMMYFUNCTION("GOOGLETRANSLATE(C1075, ""en"", ""pt"")"),"diretor da escola")</f>
        <v>diretor da escola</v>
      </c>
      <c r="E1075" s="8" t="str">
        <f>IFERROR(__xludf.DUMMYFUNCTION("GOOGLETRANSLATE(C1075, ""en"", ""es"")"),"director de la escuela")</f>
        <v>director de la escuela</v>
      </c>
      <c r="F1075" s="8" t="str">
        <f>IFERROR(__xludf.DUMMYFUNCTION("GOOGLETRANSLATE(C1075, ""en"", ""fr"")"),"directeur d'école")</f>
        <v>directeur d'école</v>
      </c>
      <c r="G1075" s="8" t="str">
        <f>IFERROR(__xludf.DUMMYFUNCTION("GOOGLETRANSLATE(C1075, ""en"", ""de"")"),"Schulleiter")</f>
        <v>Schulleiter</v>
      </c>
      <c r="H1075" s="8" t="str">
        <f>IFERROR(__xludf.DUMMYFUNCTION("GOOGLETRANSLATE(C1075, ""en"", ""ru"")"),"директор школы")</f>
        <v>директор школы</v>
      </c>
      <c r="I1075" s="8" t="str">
        <f>IFERROR(__xludf.DUMMYFUNCTION("GOOGLETRANSLATE(C1075, ""en"", ""ar"")"),"مدير المدرسة")</f>
        <v>مدير المدرسة</v>
      </c>
      <c r="J1075" s="8"/>
      <c r="K1075" s="7" t="str">
        <f>IFERROR(__xludf.DUMMYFUNCTION("CONCAT(REGEXREPLACE(C1075,""[ ,]+"",""_""),"".mp3"")"),"school_principal.mp3")</f>
        <v>school_principal.mp3</v>
      </c>
      <c r="M1075" s="4" t="s">
        <v>10</v>
      </c>
    </row>
    <row r="1076" ht="15.75" customHeight="1">
      <c r="A1076" s="1">
        <v>2444.0</v>
      </c>
      <c r="B1076" s="3">
        <v>150.0</v>
      </c>
      <c r="C1076" s="7" t="s">
        <v>1094</v>
      </c>
      <c r="D1076" s="8" t="str">
        <f>IFERROR(__xludf.DUMMYFUNCTION("GOOGLETRANSLATE(C1076, ""en"", ""pt"")"),"pesquisador")</f>
        <v>pesquisador</v>
      </c>
      <c r="E1076" s="8" t="str">
        <f>IFERROR(__xludf.DUMMYFUNCTION("GOOGLETRANSLATE(C1076, ""en"", ""es"")"),"investigador")</f>
        <v>investigador</v>
      </c>
      <c r="F1076" s="8" t="str">
        <f>IFERROR(__xludf.DUMMYFUNCTION("GOOGLETRANSLATE(C1076, ""en"", ""fr"")"),"chercheur")</f>
        <v>chercheur</v>
      </c>
      <c r="G1076" s="8" t="str">
        <f>IFERROR(__xludf.DUMMYFUNCTION("GOOGLETRANSLATE(C1076, ""en"", ""de"")"),"Forscher")</f>
        <v>Forscher</v>
      </c>
      <c r="H1076" s="8" t="str">
        <f>IFERROR(__xludf.DUMMYFUNCTION("GOOGLETRANSLATE(C1076, ""en"", ""ru"")"),"исследователь")</f>
        <v>исследователь</v>
      </c>
      <c r="I1076" s="8" t="str">
        <f>IFERROR(__xludf.DUMMYFUNCTION("GOOGLETRANSLATE(C1076, ""en"", ""ar"")"),"الباحث")</f>
        <v>الباحث</v>
      </c>
      <c r="J1076" s="8"/>
      <c r="K1076" s="7" t="str">
        <f>IFERROR(__xludf.DUMMYFUNCTION("CONCAT(REGEXREPLACE(C1076,""[ ,]+"",""_""),"".mp3"")"),"researcher.mp3")</f>
        <v>researcher.mp3</v>
      </c>
      <c r="M1076" s="4" t="s">
        <v>10</v>
      </c>
    </row>
    <row r="1077" ht="15.75" customHeight="1">
      <c r="A1077" s="1">
        <v>2445.0</v>
      </c>
      <c r="B1077" s="3">
        <v>150.0</v>
      </c>
      <c r="C1077" s="7" t="s">
        <v>1095</v>
      </c>
      <c r="D1077" s="8" t="str">
        <f>IFERROR(__xludf.DUMMYFUNCTION("GOOGLETRANSLATE(C1077, ""en"", ""pt"")"),"acadêmico")</f>
        <v>acadêmico</v>
      </c>
      <c r="E1077" s="8" t="str">
        <f>IFERROR(__xludf.DUMMYFUNCTION("GOOGLETRANSLATE(C1077, ""en"", ""es"")"),"académico")</f>
        <v>académico</v>
      </c>
      <c r="F1077" s="8" t="str">
        <f>IFERROR(__xludf.DUMMYFUNCTION("GOOGLETRANSLATE(C1077, ""en"", ""fr"")"),"académique")</f>
        <v>académique</v>
      </c>
      <c r="G1077" s="8" t="str">
        <f>IFERROR(__xludf.DUMMYFUNCTION("GOOGLETRANSLATE(C1077, ""en"", ""de"")"),"akademisch")</f>
        <v>akademisch</v>
      </c>
      <c r="H1077" s="8" t="str">
        <f>IFERROR(__xludf.DUMMYFUNCTION("GOOGLETRANSLATE(C1077, ""en"", ""ru"")"),"академический")</f>
        <v>академический</v>
      </c>
      <c r="I1077" s="8" t="str">
        <f>IFERROR(__xludf.DUMMYFUNCTION("GOOGLETRANSLATE(C1077, ""en"", ""ar"")"),"أكاديمي")</f>
        <v>أكاديمي</v>
      </c>
      <c r="J1077" s="8"/>
      <c r="K1077" s="7" t="str">
        <f>IFERROR(__xludf.DUMMYFUNCTION("CONCAT(REGEXREPLACE(C1077,""[ ,]+"",""_""),"".mp3"")"),"academic.mp3")</f>
        <v>academic.mp3</v>
      </c>
      <c r="M1077" s="4" t="s">
        <v>10</v>
      </c>
    </row>
    <row r="1078" ht="15.75" customHeight="1">
      <c r="A1078" s="1">
        <v>2446.0</v>
      </c>
      <c r="B1078" s="3">
        <v>150.0</v>
      </c>
      <c r="C1078" s="7" t="s">
        <v>1096</v>
      </c>
      <c r="D1078" s="8" t="str">
        <f>IFERROR(__xludf.DUMMYFUNCTION("GOOGLETRANSLATE(C1078, ""en"", ""pt"")"),"bibliotecário")</f>
        <v>bibliotecário</v>
      </c>
      <c r="E1078" s="8" t="str">
        <f>IFERROR(__xludf.DUMMYFUNCTION("GOOGLETRANSLATE(C1078, ""en"", ""es"")"),"bibliotecario")</f>
        <v>bibliotecario</v>
      </c>
      <c r="F1078" s="8" t="str">
        <f>IFERROR(__xludf.DUMMYFUNCTION("GOOGLETRANSLATE(C1078, ""en"", ""fr"")"),"bibliothécaire")</f>
        <v>bibliothécaire</v>
      </c>
      <c r="G1078" s="8" t="str">
        <f>IFERROR(__xludf.DUMMYFUNCTION("GOOGLETRANSLATE(C1078, ""en"", ""de"")"),"Bibliothekar")</f>
        <v>Bibliothekar</v>
      </c>
      <c r="H1078" s="8" t="str">
        <f>IFERROR(__xludf.DUMMYFUNCTION("GOOGLETRANSLATE(C1078, ""en"", ""ru"")"),"библиотекарь")</f>
        <v>библиотекарь</v>
      </c>
      <c r="I1078" s="8" t="str">
        <f>IFERROR(__xludf.DUMMYFUNCTION("GOOGLETRANSLATE(C1078, ""en"", ""ar"")"),"أمين مكتبة")</f>
        <v>أمين مكتبة</v>
      </c>
      <c r="J1078" s="8"/>
      <c r="K1078" s="7" t="str">
        <f>IFERROR(__xludf.DUMMYFUNCTION("CONCAT(REGEXREPLACE(C1078,""[ ,]+"",""_""),"".mp3"")"),"librarian.mp3")</f>
        <v>librarian.mp3</v>
      </c>
      <c r="M1078" s="4" t="s">
        <v>10</v>
      </c>
    </row>
    <row r="1079" ht="15.75" customHeight="1">
      <c r="A1079" s="1">
        <v>2447.0</v>
      </c>
      <c r="B1079" s="3">
        <v>150.0</v>
      </c>
      <c r="C1079" s="7" t="s">
        <v>1097</v>
      </c>
      <c r="D1079" s="8" t="str">
        <f>IFERROR(__xludf.DUMMYFUNCTION("GOOGLETRANSLATE(C1079, ""en"", ""pt"")"),"arquivista")</f>
        <v>arquivista</v>
      </c>
      <c r="E1079" s="8" t="str">
        <f>IFERROR(__xludf.DUMMYFUNCTION("GOOGLETRANSLATE(C1079, ""en"", ""es"")"),"archivista")</f>
        <v>archivista</v>
      </c>
      <c r="F1079" s="8" t="str">
        <f>IFERROR(__xludf.DUMMYFUNCTION("GOOGLETRANSLATE(C1079, ""en"", ""fr"")"),"archiviste")</f>
        <v>archiviste</v>
      </c>
      <c r="G1079" s="8" t="str">
        <f>IFERROR(__xludf.DUMMYFUNCTION("GOOGLETRANSLATE(C1079, ""en"", ""de"")"),"Archivar")</f>
        <v>Archivar</v>
      </c>
      <c r="H1079" s="8" t="str">
        <f>IFERROR(__xludf.DUMMYFUNCTION("GOOGLETRANSLATE(C1079, ""en"", ""ru"")"),"архивариус")</f>
        <v>архивариус</v>
      </c>
      <c r="I1079" s="8" t="str">
        <f>IFERROR(__xludf.DUMMYFUNCTION("GOOGLETRANSLATE(C1079, ""en"", ""ar"")"),"أمين الأرشيف")</f>
        <v>أمين الأرشيف</v>
      </c>
      <c r="J1079" s="8"/>
      <c r="K1079" s="7" t="str">
        <f>IFERROR(__xludf.DUMMYFUNCTION("CONCAT(REGEXREPLACE(C1079,""[ ,]+"",""_""),"".mp3"")"),"archivist.mp3")</f>
        <v>archivist.mp3</v>
      </c>
      <c r="M1079" s="4" t="s">
        <v>10</v>
      </c>
    </row>
    <row r="1080" ht="15.75" customHeight="1">
      <c r="A1080" s="1">
        <v>2448.0</v>
      </c>
      <c r="B1080" s="3">
        <v>150.0</v>
      </c>
      <c r="C1080" s="7" t="s">
        <v>1098</v>
      </c>
      <c r="D1080" s="8" t="str">
        <f>IFERROR(__xludf.DUMMYFUNCTION("GOOGLETRANSLATE(C1080, ""en"", ""pt"")"),"doutor")</f>
        <v>doutor</v>
      </c>
      <c r="E1080" s="8" t="str">
        <f>IFERROR(__xludf.DUMMYFUNCTION("GOOGLETRANSLATE(C1080, ""en"", ""es"")"),"doctor")</f>
        <v>doctor</v>
      </c>
      <c r="F1080" s="8" t="str">
        <f>IFERROR(__xludf.DUMMYFUNCTION("GOOGLETRANSLATE(C1080, ""en"", ""fr"")"),"médecin")</f>
        <v>médecin</v>
      </c>
      <c r="G1080" s="8" t="str">
        <f>IFERROR(__xludf.DUMMYFUNCTION("GOOGLETRANSLATE(C1080, ""en"", ""de"")"),"Arzt")</f>
        <v>Arzt</v>
      </c>
      <c r="H1080" s="8" t="str">
        <f>IFERROR(__xludf.DUMMYFUNCTION("GOOGLETRANSLATE(C1080, ""en"", ""ru"")"),"врач")</f>
        <v>врач</v>
      </c>
      <c r="I1080" s="8" t="str">
        <f>IFERROR(__xludf.DUMMYFUNCTION("GOOGLETRANSLATE(C1080, ""en"", ""ar"")"),"طبيب")</f>
        <v>طبيب</v>
      </c>
      <c r="J1080" s="8"/>
      <c r="K1080" s="7" t="str">
        <f>IFERROR(__xludf.DUMMYFUNCTION("CONCAT(REGEXREPLACE(C1080,""[ ,]+"",""_""),"".mp3"")"),"doctor.mp3")</f>
        <v>doctor.mp3</v>
      </c>
      <c r="M1080" s="4" t="s">
        <v>10</v>
      </c>
    </row>
    <row r="1081" ht="15.75" customHeight="1">
      <c r="A1081" s="1">
        <v>2449.0</v>
      </c>
      <c r="B1081" s="3">
        <v>150.0</v>
      </c>
      <c r="C1081" s="7" t="s">
        <v>1099</v>
      </c>
      <c r="D1081" s="8" t="str">
        <f>IFERROR(__xludf.DUMMYFUNCTION("GOOGLETRANSLATE(C1081, ""en"", ""pt"")"),"médico")</f>
        <v>médico</v>
      </c>
      <c r="E1081" s="8" t="str">
        <f>IFERROR(__xludf.DUMMYFUNCTION("GOOGLETRANSLATE(C1081, ""en"", ""es"")"),"médico")</f>
        <v>médico</v>
      </c>
      <c r="F1081" s="8" t="str">
        <f>IFERROR(__xludf.DUMMYFUNCTION("GOOGLETRANSLATE(C1081, ""en"", ""fr"")"),"médecin")</f>
        <v>médecin</v>
      </c>
      <c r="G1081" s="8" t="str">
        <f>IFERROR(__xludf.DUMMYFUNCTION("GOOGLETRANSLATE(C1081, ""en"", ""de"")"),"Arzt")</f>
        <v>Arzt</v>
      </c>
      <c r="H1081" s="8" t="str">
        <f>IFERROR(__xludf.DUMMYFUNCTION("GOOGLETRANSLATE(C1081, ""en"", ""ru"")"),"врач")</f>
        <v>врач</v>
      </c>
      <c r="I1081" s="8" t="str">
        <f>IFERROR(__xludf.DUMMYFUNCTION("GOOGLETRANSLATE(C1081, ""en"", ""ar"")"),"طبيب")</f>
        <v>طبيب</v>
      </c>
      <c r="J1081" s="8"/>
      <c r="K1081" s="7" t="str">
        <f>IFERROR(__xludf.DUMMYFUNCTION("CONCAT(REGEXREPLACE(C1081,""[ ,]+"",""_""),"".mp3"")"),"physician.mp3")</f>
        <v>physician.mp3</v>
      </c>
      <c r="M1081" s="4" t="s">
        <v>10</v>
      </c>
    </row>
    <row r="1082" ht="15.75" customHeight="1">
      <c r="A1082" s="1">
        <v>2450.0</v>
      </c>
      <c r="B1082" s="3">
        <v>150.0</v>
      </c>
      <c r="C1082" s="7" t="s">
        <v>1100</v>
      </c>
      <c r="D1082" s="8" t="str">
        <f>IFERROR(__xludf.DUMMYFUNCTION("GOOGLETRANSLATE(C1082, ""en"", ""pt"")"),"cirurgião")</f>
        <v>cirurgião</v>
      </c>
      <c r="E1082" s="8" t="str">
        <f>IFERROR(__xludf.DUMMYFUNCTION("GOOGLETRANSLATE(C1082, ""en"", ""es"")"),"cirujano")</f>
        <v>cirujano</v>
      </c>
      <c r="F1082" s="8" t="str">
        <f>IFERROR(__xludf.DUMMYFUNCTION("GOOGLETRANSLATE(C1082, ""en"", ""fr"")"),"chirurgien")</f>
        <v>chirurgien</v>
      </c>
      <c r="G1082" s="8" t="str">
        <f>IFERROR(__xludf.DUMMYFUNCTION("GOOGLETRANSLATE(C1082, ""en"", ""de"")"),"Chirurg")</f>
        <v>Chirurg</v>
      </c>
      <c r="H1082" s="8" t="str">
        <f>IFERROR(__xludf.DUMMYFUNCTION("GOOGLETRANSLATE(C1082, ""en"", ""ru"")"),"хирург")</f>
        <v>хирург</v>
      </c>
      <c r="I1082" s="8" t="str">
        <f>IFERROR(__xludf.DUMMYFUNCTION("GOOGLETRANSLATE(C1082, ""en"", ""ar"")"),"الجراح")</f>
        <v>الجراح</v>
      </c>
      <c r="J1082" s="8"/>
      <c r="K1082" s="7" t="str">
        <f>IFERROR(__xludf.DUMMYFUNCTION("CONCAT(REGEXREPLACE(C1082,""[ ,]+"",""_""),"".mp3"")"),"surgeon.mp3")</f>
        <v>surgeon.mp3</v>
      </c>
      <c r="M1082" s="4" t="s">
        <v>10</v>
      </c>
    </row>
    <row r="1083" ht="15.75" customHeight="1">
      <c r="A1083" s="1">
        <v>2451.0</v>
      </c>
      <c r="B1083" s="3">
        <v>150.0</v>
      </c>
      <c r="C1083" s="7" t="s">
        <v>672</v>
      </c>
      <c r="D1083" s="8" t="str">
        <f>IFERROR(__xludf.DUMMYFUNCTION("GOOGLETRANSLATE(C1083, ""en"", ""pt"")"),"dentista")</f>
        <v>dentista</v>
      </c>
      <c r="E1083" s="8" t="str">
        <f>IFERROR(__xludf.DUMMYFUNCTION("GOOGLETRANSLATE(C1083, ""en"", ""es"")"),"dentista")</f>
        <v>dentista</v>
      </c>
      <c r="F1083" s="8" t="str">
        <f>IFERROR(__xludf.DUMMYFUNCTION("GOOGLETRANSLATE(C1083, ""en"", ""fr"")"),"dentiste")</f>
        <v>dentiste</v>
      </c>
      <c r="G1083" s="8" t="str">
        <f>IFERROR(__xludf.DUMMYFUNCTION("GOOGLETRANSLATE(C1083, ""en"", ""de"")"),"Zahnarzt")</f>
        <v>Zahnarzt</v>
      </c>
      <c r="H1083" s="8" t="str">
        <f>IFERROR(__xludf.DUMMYFUNCTION("GOOGLETRANSLATE(C1083, ""en"", ""ru"")"),"стоматолог")</f>
        <v>стоматолог</v>
      </c>
      <c r="I1083" s="8" t="str">
        <f>IFERROR(__xludf.DUMMYFUNCTION("GOOGLETRANSLATE(C1083, ""en"", ""ar"")"),"طبيب أسنان")</f>
        <v>طبيب أسنان</v>
      </c>
      <c r="J1083" s="8"/>
      <c r="K1083" s="7" t="str">
        <f>IFERROR(__xludf.DUMMYFUNCTION("CONCAT(REGEXREPLACE(C1083,""[ ,]+"",""_""),"".mp3"")"),"dentist.mp3")</f>
        <v>dentist.mp3</v>
      </c>
      <c r="M1083" s="4" t="s">
        <v>10</v>
      </c>
    </row>
    <row r="1084" ht="15.75" customHeight="1">
      <c r="A1084" s="1">
        <v>2452.0</v>
      </c>
      <c r="B1084" s="3">
        <v>150.0</v>
      </c>
      <c r="C1084" s="7" t="s">
        <v>1101</v>
      </c>
      <c r="D1084" s="8" t="str">
        <f>IFERROR(__xludf.DUMMYFUNCTION("GOOGLETRANSLATE(C1084, ""en"", ""pt"")"),"ortodontista")</f>
        <v>ortodontista</v>
      </c>
      <c r="E1084" s="8" t="str">
        <f>IFERROR(__xludf.DUMMYFUNCTION("GOOGLETRANSLATE(C1084, ""en"", ""es"")"),"ortodoncista")</f>
        <v>ortodoncista</v>
      </c>
      <c r="F1084" s="8" t="str">
        <f>IFERROR(__xludf.DUMMYFUNCTION("GOOGLETRANSLATE(C1084, ""en"", ""fr"")"),"orthodontiste")</f>
        <v>orthodontiste</v>
      </c>
      <c r="G1084" s="8" t="str">
        <f>IFERROR(__xludf.DUMMYFUNCTION("GOOGLETRANSLATE(C1084, ""en"", ""de"")"),"Kieferorthopäde")</f>
        <v>Kieferorthopäde</v>
      </c>
      <c r="H1084" s="8" t="str">
        <f>IFERROR(__xludf.DUMMYFUNCTION("GOOGLETRANSLATE(C1084, ""en"", ""ru"")"),"ортодонт")</f>
        <v>ортодонт</v>
      </c>
      <c r="I1084" s="8" t="str">
        <f>IFERROR(__xludf.DUMMYFUNCTION("GOOGLETRANSLATE(C1084, ""en"", ""ar"")"),"أخصائي تقويم الأسنان")</f>
        <v>أخصائي تقويم الأسنان</v>
      </c>
      <c r="J1084" s="8"/>
      <c r="K1084" s="7" t="str">
        <f>IFERROR(__xludf.DUMMYFUNCTION("CONCAT(REGEXREPLACE(C1084,""[ ,]+"",""_""),"".mp3"")"),"orthodontist.mp3")</f>
        <v>orthodontist.mp3</v>
      </c>
      <c r="M1084" s="4" t="s">
        <v>10</v>
      </c>
    </row>
    <row r="1085" ht="15.75" customHeight="1">
      <c r="A1085" s="1">
        <v>2453.0</v>
      </c>
      <c r="B1085" s="3">
        <v>150.0</v>
      </c>
      <c r="C1085" s="7" t="s">
        <v>1102</v>
      </c>
      <c r="D1085" s="8" t="str">
        <f>IFERROR(__xludf.DUMMYFUNCTION("GOOGLETRANSLATE(C1085, ""en"", ""pt"")"),"enfermeira")</f>
        <v>enfermeira</v>
      </c>
      <c r="E1085" s="8" t="str">
        <f>IFERROR(__xludf.DUMMYFUNCTION("GOOGLETRANSLATE(C1085, ""en"", ""es"")"),"enfermero")</f>
        <v>enfermero</v>
      </c>
      <c r="F1085" s="8" t="str">
        <f>IFERROR(__xludf.DUMMYFUNCTION("GOOGLETRANSLATE(C1085, ""en"", ""fr"")"),"infirmière")</f>
        <v>infirmière</v>
      </c>
      <c r="G1085" s="8" t="str">
        <f>IFERROR(__xludf.DUMMYFUNCTION("GOOGLETRANSLATE(C1085, ""en"", ""de"")"),"Krankenschwester")</f>
        <v>Krankenschwester</v>
      </c>
      <c r="H1085" s="8" t="str">
        <f>IFERROR(__xludf.DUMMYFUNCTION("GOOGLETRANSLATE(C1085, ""en"", ""ru"")"),"медсестра")</f>
        <v>медсестра</v>
      </c>
      <c r="I1085" s="8" t="str">
        <f>IFERROR(__xludf.DUMMYFUNCTION("GOOGLETRANSLATE(C1085, ""en"", ""ar"")"),"ممرضة")</f>
        <v>ممرضة</v>
      </c>
      <c r="J1085" s="8"/>
      <c r="K1085" s="7" t="str">
        <f>IFERROR(__xludf.DUMMYFUNCTION("CONCAT(REGEXREPLACE(C1085,""[ ,]+"",""_""),"".mp3"")"),"nurse.mp3")</f>
        <v>nurse.mp3</v>
      </c>
      <c r="M1085" s="4" t="s">
        <v>10</v>
      </c>
    </row>
    <row r="1086" ht="15.75" customHeight="1">
      <c r="A1086" s="1">
        <v>2454.0</v>
      </c>
      <c r="B1086" s="3">
        <v>150.0</v>
      </c>
      <c r="C1086" s="7" t="s">
        <v>1103</v>
      </c>
      <c r="D1086" s="8" t="str">
        <f>IFERROR(__xludf.DUMMYFUNCTION("GOOGLETRANSLATE(C1086, ""en"", ""pt"")"),"parteira")</f>
        <v>parteira</v>
      </c>
      <c r="E1086" s="8" t="str">
        <f>IFERROR(__xludf.DUMMYFUNCTION("GOOGLETRANSLATE(C1086, ""en"", ""es"")"),"partera")</f>
        <v>partera</v>
      </c>
      <c r="F1086" s="8" t="str">
        <f>IFERROR(__xludf.DUMMYFUNCTION("GOOGLETRANSLATE(C1086, ""en"", ""fr"")"),"sage-femme")</f>
        <v>sage-femme</v>
      </c>
      <c r="G1086" s="8" t="str">
        <f>IFERROR(__xludf.DUMMYFUNCTION("GOOGLETRANSLATE(C1086, ""en"", ""de"")"),"Hebamme")</f>
        <v>Hebamme</v>
      </c>
      <c r="H1086" s="8" t="str">
        <f>IFERROR(__xludf.DUMMYFUNCTION("GOOGLETRANSLATE(C1086, ""en"", ""ru"")"),"акушерка")</f>
        <v>акушерка</v>
      </c>
      <c r="I1086" s="8" t="str">
        <f>IFERROR(__xludf.DUMMYFUNCTION("GOOGLETRANSLATE(C1086, ""en"", ""ar"")"),"قابلة")</f>
        <v>قابلة</v>
      </c>
      <c r="J1086" s="8"/>
      <c r="K1086" s="7" t="str">
        <f>IFERROR(__xludf.DUMMYFUNCTION("CONCAT(REGEXREPLACE(C1086,""[ ,]+"",""_""),"".mp3"")"),"midwife.mp3")</f>
        <v>midwife.mp3</v>
      </c>
      <c r="M1086" s="4" t="s">
        <v>10</v>
      </c>
    </row>
    <row r="1087" ht="15.75" customHeight="1">
      <c r="A1087" s="1">
        <v>2455.0</v>
      </c>
      <c r="B1087" s="3">
        <v>150.0</v>
      </c>
      <c r="C1087" s="7" t="s">
        <v>1104</v>
      </c>
      <c r="D1087" s="8" t="str">
        <f>IFERROR(__xludf.DUMMYFUNCTION("GOOGLETRANSLATE(C1087, ""en"", ""pt"")"),"paramédico")</f>
        <v>paramédico</v>
      </c>
      <c r="E1087" s="8" t="str">
        <f>IFERROR(__xludf.DUMMYFUNCTION("GOOGLETRANSLATE(C1087, ""en"", ""es"")"),"paramédico")</f>
        <v>paramédico</v>
      </c>
      <c r="F1087" s="8" t="str">
        <f>IFERROR(__xludf.DUMMYFUNCTION("GOOGLETRANSLATE(C1087, ""en"", ""fr"")"),"paramédical")</f>
        <v>paramédical</v>
      </c>
      <c r="G1087" s="8" t="str">
        <f>IFERROR(__xludf.DUMMYFUNCTION("GOOGLETRANSLATE(C1087, ""en"", ""de"")"),"Sanitäter")</f>
        <v>Sanitäter</v>
      </c>
      <c r="H1087" s="8" t="str">
        <f>IFERROR(__xludf.DUMMYFUNCTION("GOOGLETRANSLATE(C1087, ""en"", ""ru"")"),"фельдшер")</f>
        <v>фельдшер</v>
      </c>
      <c r="I1087" s="8" t="str">
        <f>IFERROR(__xludf.DUMMYFUNCTION("GOOGLETRANSLATE(C1087, ""en"", ""ar"")"),"مسعف")</f>
        <v>مسعف</v>
      </c>
      <c r="J1087" s="8"/>
      <c r="K1087" s="7" t="str">
        <f>IFERROR(__xludf.DUMMYFUNCTION("CONCAT(REGEXREPLACE(C1087,""[ ,]+"",""_""),"".mp3"")"),"paramedic.mp3")</f>
        <v>paramedic.mp3</v>
      </c>
      <c r="M1087" s="4" t="s">
        <v>10</v>
      </c>
    </row>
    <row r="1088" ht="15.75" customHeight="1">
      <c r="A1088" s="1">
        <v>2456.0</v>
      </c>
      <c r="B1088" s="3">
        <v>150.0</v>
      </c>
      <c r="C1088" s="7" t="s">
        <v>1105</v>
      </c>
      <c r="D1088" s="8" t="str">
        <f>IFERROR(__xludf.DUMMYFUNCTION("GOOGLETRANSLATE(C1088, ""en"", ""pt"")"),"farmacêutico")</f>
        <v>farmacêutico</v>
      </c>
      <c r="E1088" s="8" t="str">
        <f>IFERROR(__xludf.DUMMYFUNCTION("GOOGLETRANSLATE(C1088, ""en"", ""es"")"),"farmacéutico")</f>
        <v>farmacéutico</v>
      </c>
      <c r="F1088" s="8" t="str">
        <f>IFERROR(__xludf.DUMMYFUNCTION("GOOGLETRANSLATE(C1088, ""en"", ""fr"")"),"pharmacien")</f>
        <v>pharmacien</v>
      </c>
      <c r="G1088" s="8" t="str">
        <f>IFERROR(__xludf.DUMMYFUNCTION("GOOGLETRANSLATE(C1088, ""en"", ""de"")"),"Apotheker")</f>
        <v>Apotheker</v>
      </c>
      <c r="H1088" s="8" t="str">
        <f>IFERROR(__xludf.DUMMYFUNCTION("GOOGLETRANSLATE(C1088, ""en"", ""ru"")"),"фармацевт")</f>
        <v>фармацевт</v>
      </c>
      <c r="I1088" s="8" t="str">
        <f>IFERROR(__xludf.DUMMYFUNCTION("GOOGLETRANSLATE(C1088, ""en"", ""ar"")"),"صيدلي")</f>
        <v>صيدلي</v>
      </c>
      <c r="J1088" s="8"/>
      <c r="K1088" s="7" t="str">
        <f>IFERROR(__xludf.DUMMYFUNCTION("CONCAT(REGEXREPLACE(C1088,""[ ,]+"",""_""),"".mp3"")"),"pharmacist.mp3")</f>
        <v>pharmacist.mp3</v>
      </c>
      <c r="M1088" s="4" t="s">
        <v>10</v>
      </c>
    </row>
    <row r="1089" ht="15.75" customHeight="1">
      <c r="A1089" s="1">
        <v>2457.0</v>
      </c>
      <c r="B1089" s="3">
        <v>150.0</v>
      </c>
      <c r="C1089" s="7" t="s">
        <v>1106</v>
      </c>
      <c r="D1089" s="8" t="str">
        <f>IFERROR(__xludf.DUMMYFUNCTION("GOOGLETRANSLATE(C1089, ""en"", ""pt"")"),"fisioterapeuta")</f>
        <v>fisioterapeuta</v>
      </c>
      <c r="E1089" s="8" t="str">
        <f>IFERROR(__xludf.DUMMYFUNCTION("GOOGLETRANSLATE(C1089, ""en"", ""es"")"),"fisioterapeuta")</f>
        <v>fisioterapeuta</v>
      </c>
      <c r="F1089" s="8" t="str">
        <f>IFERROR(__xludf.DUMMYFUNCTION("GOOGLETRANSLATE(C1089, ""en"", ""fr"")"),"physiothérapeute")</f>
        <v>physiothérapeute</v>
      </c>
      <c r="G1089" s="8" t="str">
        <f>IFERROR(__xludf.DUMMYFUNCTION("GOOGLETRANSLATE(C1089, ""en"", ""de"")"),"Physiotherapeut")</f>
        <v>Physiotherapeut</v>
      </c>
      <c r="H1089" s="8" t="str">
        <f>IFERROR(__xludf.DUMMYFUNCTION("GOOGLETRANSLATE(C1089, ""en"", ""ru"")"),"физиотерапевт")</f>
        <v>физиотерапевт</v>
      </c>
      <c r="I1089" s="8" t="str">
        <f>IFERROR(__xludf.DUMMYFUNCTION("GOOGLETRANSLATE(C1089, ""en"", ""ar"")"),"أخصائي العلاج الطبيعي")</f>
        <v>أخصائي العلاج الطبيعي</v>
      </c>
      <c r="J1089" s="8"/>
      <c r="K1089" s="7" t="str">
        <f>IFERROR(__xludf.DUMMYFUNCTION("CONCAT(REGEXREPLACE(C1089,""[ ,]+"",""_""),"".mp3"")"),"physiotherapist.mp3")</f>
        <v>physiotherapist.mp3</v>
      </c>
      <c r="M1089" s="4" t="s">
        <v>10</v>
      </c>
    </row>
    <row r="1090" ht="15.75" customHeight="1">
      <c r="A1090" s="1">
        <v>2458.0</v>
      </c>
      <c r="B1090" s="3">
        <v>150.0</v>
      </c>
      <c r="C1090" s="7" t="s">
        <v>1107</v>
      </c>
      <c r="D1090" s="8" t="str">
        <f>IFERROR(__xludf.DUMMYFUNCTION("GOOGLETRANSLATE(C1090, ""en"", ""pt"")"),"psicólogo")</f>
        <v>psicólogo</v>
      </c>
      <c r="E1090" s="8" t="str">
        <f>IFERROR(__xludf.DUMMYFUNCTION("GOOGLETRANSLATE(C1090, ""en"", ""es"")"),"psicólogo")</f>
        <v>psicólogo</v>
      </c>
      <c r="F1090" s="8" t="str">
        <f>IFERROR(__xludf.DUMMYFUNCTION("GOOGLETRANSLATE(C1090, ""en"", ""fr"")"),"psychologue")</f>
        <v>psychologue</v>
      </c>
      <c r="G1090" s="8" t="str">
        <f>IFERROR(__xludf.DUMMYFUNCTION("GOOGLETRANSLATE(C1090, ""en"", ""de"")"),"Psychologe")</f>
        <v>Psychologe</v>
      </c>
      <c r="H1090" s="8" t="str">
        <f>IFERROR(__xludf.DUMMYFUNCTION("GOOGLETRANSLATE(C1090, ""en"", ""ru"")"),"психолог")</f>
        <v>психолог</v>
      </c>
      <c r="I1090" s="8" t="str">
        <f>IFERROR(__xludf.DUMMYFUNCTION("GOOGLETRANSLATE(C1090, ""en"", ""ar"")"),"أخصائي نفسي")</f>
        <v>أخصائي نفسي</v>
      </c>
      <c r="J1090" s="8"/>
      <c r="K1090" s="7" t="str">
        <f>IFERROR(__xludf.DUMMYFUNCTION("CONCAT(REGEXREPLACE(C1090,""[ ,]+"",""_""),"".mp3"")"),"psychologist.mp3")</f>
        <v>psychologist.mp3</v>
      </c>
      <c r="M1090" s="4" t="s">
        <v>10</v>
      </c>
    </row>
    <row r="1091" ht="15.75" customHeight="1">
      <c r="A1091" s="1">
        <v>2459.0</v>
      </c>
      <c r="B1091" s="3">
        <v>150.0</v>
      </c>
      <c r="C1091" s="7" t="s">
        <v>1108</v>
      </c>
      <c r="D1091" s="8" t="str">
        <f>IFERROR(__xludf.DUMMYFUNCTION("GOOGLETRANSLATE(C1091, ""en"", ""pt"")"),"psiquiatra")</f>
        <v>psiquiatra</v>
      </c>
      <c r="E1091" s="8" t="str">
        <f>IFERROR(__xludf.DUMMYFUNCTION("GOOGLETRANSLATE(C1091, ""en"", ""es"")"),"psiquiatra")</f>
        <v>psiquiatra</v>
      </c>
      <c r="F1091" s="8" t="str">
        <f>IFERROR(__xludf.DUMMYFUNCTION("GOOGLETRANSLATE(C1091, ""en"", ""fr"")"),"psychiatre")</f>
        <v>psychiatre</v>
      </c>
      <c r="G1091" s="8" t="str">
        <f>IFERROR(__xludf.DUMMYFUNCTION("GOOGLETRANSLATE(C1091, ""en"", ""de"")"),"Psychiater")</f>
        <v>Psychiater</v>
      </c>
      <c r="H1091" s="8" t="str">
        <f>IFERROR(__xludf.DUMMYFUNCTION("GOOGLETRANSLATE(C1091, ""en"", ""ru"")"),"психиатр")</f>
        <v>психиатр</v>
      </c>
      <c r="I1091" s="8" t="str">
        <f>IFERROR(__xludf.DUMMYFUNCTION("GOOGLETRANSLATE(C1091, ""en"", ""ar"")"),"طبيب نفساني")</f>
        <v>طبيب نفساني</v>
      </c>
      <c r="J1091" s="8"/>
      <c r="K1091" s="7" t="str">
        <f>IFERROR(__xludf.DUMMYFUNCTION("CONCAT(REGEXREPLACE(C1091,""[ ,]+"",""_""),"".mp3"")"),"psychiatrist.mp3")</f>
        <v>psychiatrist.mp3</v>
      </c>
      <c r="M1091" s="4" t="s">
        <v>10</v>
      </c>
    </row>
    <row r="1092" ht="15.75" customHeight="1">
      <c r="A1092" s="1">
        <v>2460.0</v>
      </c>
      <c r="B1092" s="3">
        <v>150.0</v>
      </c>
      <c r="C1092" s="7" t="s">
        <v>1109</v>
      </c>
      <c r="D1092" s="8" t="str">
        <f>IFERROR(__xludf.DUMMYFUNCTION("GOOGLETRANSLATE(C1092, ""en"", ""pt"")"),"terapeuta")</f>
        <v>terapeuta</v>
      </c>
      <c r="E1092" s="8" t="str">
        <f>IFERROR(__xludf.DUMMYFUNCTION("GOOGLETRANSLATE(C1092, ""en"", ""es"")"),"terapeuta")</f>
        <v>terapeuta</v>
      </c>
      <c r="F1092" s="8" t="str">
        <f>IFERROR(__xludf.DUMMYFUNCTION("GOOGLETRANSLATE(C1092, ""en"", ""fr"")"),"thérapeute")</f>
        <v>thérapeute</v>
      </c>
      <c r="G1092" s="8" t="str">
        <f>IFERROR(__xludf.DUMMYFUNCTION("GOOGLETRANSLATE(C1092, ""en"", ""de"")"),"Therapeut")</f>
        <v>Therapeut</v>
      </c>
      <c r="H1092" s="8" t="str">
        <f>IFERROR(__xludf.DUMMYFUNCTION("GOOGLETRANSLATE(C1092, ""en"", ""ru"")"),"терапевт")</f>
        <v>терапевт</v>
      </c>
      <c r="I1092" s="8" t="str">
        <f>IFERROR(__xludf.DUMMYFUNCTION("GOOGLETRANSLATE(C1092, ""en"", ""ar"")"),"معالج نفسي")</f>
        <v>معالج نفسي</v>
      </c>
      <c r="J1092" s="8"/>
      <c r="K1092" s="7" t="str">
        <f>IFERROR(__xludf.DUMMYFUNCTION("CONCAT(REGEXREPLACE(C1092,""[ ,]+"",""_""),"".mp3"")"),"therapist.mp3")</f>
        <v>therapist.mp3</v>
      </c>
      <c r="M1092" s="4" t="s">
        <v>10</v>
      </c>
    </row>
    <row r="1093" ht="15.75" customHeight="1">
      <c r="A1093" s="1">
        <v>2461.0</v>
      </c>
      <c r="B1093" s="3">
        <v>150.0</v>
      </c>
      <c r="C1093" s="7" t="s">
        <v>1110</v>
      </c>
      <c r="D1093" s="8" t="str">
        <f>IFERROR(__xludf.DUMMYFUNCTION("GOOGLETRANSLATE(C1093, ""en"", ""pt"")"),"ótico")</f>
        <v>ótico</v>
      </c>
      <c r="E1093" s="8" t="str">
        <f>IFERROR(__xludf.DUMMYFUNCTION("GOOGLETRANSLATE(C1093, ""en"", ""es"")"),"óptico")</f>
        <v>óptico</v>
      </c>
      <c r="F1093" s="8" t="str">
        <f>IFERROR(__xludf.DUMMYFUNCTION("GOOGLETRANSLATE(C1093, ""en"", ""fr"")"),"opticien")</f>
        <v>opticien</v>
      </c>
      <c r="G1093" s="8" t="str">
        <f>IFERROR(__xludf.DUMMYFUNCTION("GOOGLETRANSLATE(C1093, ""en"", ""de"")"),"Optiker")</f>
        <v>Optiker</v>
      </c>
      <c r="H1093" s="8" t="str">
        <f>IFERROR(__xludf.DUMMYFUNCTION("GOOGLETRANSLATE(C1093, ""en"", ""ru"")"),"оптик")</f>
        <v>оптик</v>
      </c>
      <c r="I1093" s="8" t="str">
        <f>IFERROR(__xludf.DUMMYFUNCTION("GOOGLETRANSLATE(C1093, ""en"", ""ar"")"),"أخصائي بصريات")</f>
        <v>أخصائي بصريات</v>
      </c>
      <c r="J1093" s="8"/>
      <c r="K1093" s="7" t="str">
        <f>IFERROR(__xludf.DUMMYFUNCTION("CONCAT(REGEXREPLACE(C1093,""[ ,]+"",""_""),"".mp3"")"),"optician.mp3")</f>
        <v>optician.mp3</v>
      </c>
      <c r="M1093" s="4" t="s">
        <v>10</v>
      </c>
    </row>
    <row r="1094" ht="15.75" customHeight="1">
      <c r="A1094" s="1">
        <v>2462.0</v>
      </c>
      <c r="B1094" s="3">
        <v>150.0</v>
      </c>
      <c r="C1094" s="7" t="s">
        <v>1111</v>
      </c>
      <c r="D1094" s="8" t="str">
        <f>IFERROR(__xludf.DUMMYFUNCTION("GOOGLETRANSLATE(C1094, ""en"", ""pt"")"),"veterinário")</f>
        <v>veterinário</v>
      </c>
      <c r="E1094" s="8" t="str">
        <f>IFERROR(__xludf.DUMMYFUNCTION("GOOGLETRANSLATE(C1094, ""en"", ""es"")"),"veterinario")</f>
        <v>veterinario</v>
      </c>
      <c r="F1094" s="8" t="str">
        <f>IFERROR(__xludf.DUMMYFUNCTION("GOOGLETRANSLATE(C1094, ""en"", ""fr"")"),"vétérinaire")</f>
        <v>vétérinaire</v>
      </c>
      <c r="G1094" s="8" t="str">
        <f>IFERROR(__xludf.DUMMYFUNCTION("GOOGLETRANSLATE(C1094, ""en"", ""de"")"),"Tierarzt")</f>
        <v>Tierarzt</v>
      </c>
      <c r="H1094" s="8" t="str">
        <f>IFERROR(__xludf.DUMMYFUNCTION("GOOGLETRANSLATE(C1094, ""en"", ""ru"")"),"ветеринар")</f>
        <v>ветеринар</v>
      </c>
      <c r="I1094" s="8" t="str">
        <f>IFERROR(__xludf.DUMMYFUNCTION("GOOGLETRANSLATE(C1094, ""en"", ""ar"")"),"طبيب بيطري")</f>
        <v>طبيب بيطري</v>
      </c>
      <c r="J1094" s="8"/>
      <c r="K1094" s="7" t="str">
        <f>IFERROR(__xludf.DUMMYFUNCTION("CONCAT(REGEXREPLACE(C1094,""[ ,]+"",""_""),"".mp3"")"),"veterinarian.mp3")</f>
        <v>veterinarian.mp3</v>
      </c>
      <c r="M1094" s="4" t="s">
        <v>10</v>
      </c>
    </row>
    <row r="1095" ht="15.75" customHeight="1">
      <c r="A1095" s="1">
        <v>2463.0</v>
      </c>
      <c r="B1095" s="3">
        <v>150.0</v>
      </c>
      <c r="C1095" s="7" t="s">
        <v>1112</v>
      </c>
      <c r="D1095" s="8" t="str">
        <f>IFERROR(__xludf.DUMMYFUNCTION("GOOGLETRANSLATE(C1095, ""en"", ""pt"")"),"assistente médico")</f>
        <v>assistente médico</v>
      </c>
      <c r="E1095" s="8" t="str">
        <f>IFERROR(__xludf.DUMMYFUNCTION("GOOGLETRANSLATE(C1095, ""en"", ""es"")"),"asistente médico")</f>
        <v>asistente médico</v>
      </c>
      <c r="F1095" s="8" t="str">
        <f>IFERROR(__xludf.DUMMYFUNCTION("GOOGLETRANSLATE(C1095, ""en"", ""fr"")"),"assistant médical")</f>
        <v>assistant médical</v>
      </c>
      <c r="G1095" s="8" t="str">
        <f>IFERROR(__xludf.DUMMYFUNCTION("GOOGLETRANSLATE(C1095, ""en"", ""de"")"),"medizinische Assistentin")</f>
        <v>medizinische Assistentin</v>
      </c>
      <c r="H1095" s="8" t="str">
        <f>IFERROR(__xludf.DUMMYFUNCTION("GOOGLETRANSLATE(C1095, ""en"", ""ru"")"),"медицинский ассистент")</f>
        <v>медицинский ассистент</v>
      </c>
      <c r="I1095" s="8" t="str">
        <f>IFERROR(__xludf.DUMMYFUNCTION("GOOGLETRANSLATE(C1095, ""en"", ""ar"")"),"مساعد طبي")</f>
        <v>مساعد طبي</v>
      </c>
      <c r="J1095" s="8"/>
      <c r="K1095" s="7" t="str">
        <f>IFERROR(__xludf.DUMMYFUNCTION("CONCAT(REGEXREPLACE(C1095,""[ ,]+"",""_""),"".mp3"")"),"medical_assistant.mp3")</f>
        <v>medical_assistant.mp3</v>
      </c>
      <c r="M1095" s="4" t="s">
        <v>10</v>
      </c>
    </row>
    <row r="1096" ht="15.75" customHeight="1">
      <c r="A1096" s="1">
        <v>2464.0</v>
      </c>
      <c r="B1096" s="3">
        <v>150.0</v>
      </c>
      <c r="C1096" s="7" t="s">
        <v>1113</v>
      </c>
      <c r="D1096" s="8" t="str">
        <f>IFERROR(__xludf.DUMMYFUNCTION("GOOGLETRANSLATE(C1096, ""en"", ""pt"")"),"advogado")</f>
        <v>advogado</v>
      </c>
      <c r="E1096" s="8" t="str">
        <f>IFERROR(__xludf.DUMMYFUNCTION("GOOGLETRANSLATE(C1096, ""en"", ""es"")"),"abogado")</f>
        <v>abogado</v>
      </c>
      <c r="F1096" s="8" t="str">
        <f>IFERROR(__xludf.DUMMYFUNCTION("GOOGLETRANSLATE(C1096, ""en"", ""fr"")"),"avocat")</f>
        <v>avocat</v>
      </c>
      <c r="G1096" s="8" t="str">
        <f>IFERROR(__xludf.DUMMYFUNCTION("GOOGLETRANSLATE(C1096, ""en"", ""de"")"),"Rechtsanwalt")</f>
        <v>Rechtsanwalt</v>
      </c>
      <c r="H1096" s="8" t="str">
        <f>IFERROR(__xludf.DUMMYFUNCTION("GOOGLETRANSLATE(C1096, ""en"", ""ru"")"),"адвокат")</f>
        <v>адвокат</v>
      </c>
      <c r="I1096" s="8" t="str">
        <f>IFERROR(__xludf.DUMMYFUNCTION("GOOGLETRANSLATE(C1096, ""en"", ""ar"")"),"محامي")</f>
        <v>محامي</v>
      </c>
      <c r="J1096" s="8"/>
      <c r="K1096" s="7" t="str">
        <f>IFERROR(__xludf.DUMMYFUNCTION("CONCAT(REGEXREPLACE(C1096,""[ ,]+"",""_""),"".mp3"")"),"lawyer.mp3")</f>
        <v>lawyer.mp3</v>
      </c>
      <c r="M1096" s="4" t="s">
        <v>10</v>
      </c>
    </row>
    <row r="1097" ht="15.75" customHeight="1">
      <c r="A1097" s="1">
        <v>2465.0</v>
      </c>
      <c r="B1097" s="3">
        <v>150.0</v>
      </c>
      <c r="C1097" s="7" t="s">
        <v>1114</v>
      </c>
      <c r="D1097" s="8" t="str">
        <f>IFERROR(__xludf.DUMMYFUNCTION("GOOGLETRANSLATE(C1097, ""en"", ""pt"")"),"advogado")</f>
        <v>advogado</v>
      </c>
      <c r="E1097" s="8" t="str">
        <f>IFERROR(__xludf.DUMMYFUNCTION("GOOGLETRANSLATE(C1097, ""en"", ""es"")"),"abogado")</f>
        <v>abogado</v>
      </c>
      <c r="F1097" s="8" t="str">
        <f>IFERROR(__xludf.DUMMYFUNCTION("GOOGLETRANSLATE(C1097, ""en"", ""fr"")"),"avocat")</f>
        <v>avocat</v>
      </c>
      <c r="G1097" s="8" t="str">
        <f>IFERROR(__xludf.DUMMYFUNCTION("GOOGLETRANSLATE(C1097, ""en"", ""de"")"),"Rechtsanwalt")</f>
        <v>Rechtsanwalt</v>
      </c>
      <c r="H1097" s="8" t="str">
        <f>IFERROR(__xludf.DUMMYFUNCTION("GOOGLETRANSLATE(C1097, ""en"", ""ru"")"),"адвокат")</f>
        <v>адвокат</v>
      </c>
      <c r="I1097" s="8" t="str">
        <f>IFERROR(__xludf.DUMMYFUNCTION("GOOGLETRANSLATE(C1097, ""en"", ""ar"")"),"محامي")</f>
        <v>محامي</v>
      </c>
      <c r="J1097" s="8"/>
      <c r="K1097" s="7" t="str">
        <f>IFERROR(__xludf.DUMMYFUNCTION("CONCAT(REGEXREPLACE(C1097,""[ ,]+"",""_""),"".mp3"")"),"attorney.mp3")</f>
        <v>attorney.mp3</v>
      </c>
      <c r="M1097" s="4" t="s">
        <v>10</v>
      </c>
    </row>
    <row r="1098" ht="15.75" customHeight="1">
      <c r="A1098" s="1">
        <v>2466.0</v>
      </c>
      <c r="B1098" s="3">
        <v>150.0</v>
      </c>
      <c r="C1098" s="7" t="s">
        <v>1115</v>
      </c>
      <c r="D1098" s="8" t="str">
        <f>IFERROR(__xludf.DUMMYFUNCTION("GOOGLETRANSLATE(C1098, ""en"", ""pt"")"),"juiz")</f>
        <v>juiz</v>
      </c>
      <c r="E1098" s="8" t="str">
        <f>IFERROR(__xludf.DUMMYFUNCTION("GOOGLETRANSLATE(C1098, ""en"", ""es"")"),"juez")</f>
        <v>juez</v>
      </c>
      <c r="F1098" s="8" t="str">
        <f>IFERROR(__xludf.DUMMYFUNCTION("GOOGLETRANSLATE(C1098, ""en"", ""fr"")"),"juge")</f>
        <v>juge</v>
      </c>
      <c r="G1098" s="8" t="str">
        <f>IFERROR(__xludf.DUMMYFUNCTION("GOOGLETRANSLATE(C1098, ""en"", ""de"")"),"Richter")</f>
        <v>Richter</v>
      </c>
      <c r="H1098" s="8" t="str">
        <f>IFERROR(__xludf.DUMMYFUNCTION("GOOGLETRANSLATE(C1098, ""en"", ""ru"")"),"судить")</f>
        <v>судить</v>
      </c>
      <c r="I1098" s="8" t="str">
        <f>IFERROR(__xludf.DUMMYFUNCTION("GOOGLETRANSLATE(C1098, ""en"", ""ar"")"),"يحكم على")</f>
        <v>يحكم على</v>
      </c>
      <c r="J1098" s="8"/>
      <c r="K1098" s="7" t="str">
        <f>IFERROR(__xludf.DUMMYFUNCTION("CONCAT(REGEXREPLACE(C1098,""[ ,]+"",""_""),"".mp3"")"),"judge.mp3")</f>
        <v>judge.mp3</v>
      </c>
      <c r="M1098" s="4" t="s">
        <v>10</v>
      </c>
    </row>
    <row r="1099" ht="15.75" customHeight="1">
      <c r="A1099" s="1">
        <v>2467.0</v>
      </c>
      <c r="B1099" s="3">
        <v>150.0</v>
      </c>
      <c r="C1099" s="7" t="s">
        <v>1116</v>
      </c>
      <c r="D1099" s="8" t="str">
        <f>IFERROR(__xludf.DUMMYFUNCTION("GOOGLETRANSLATE(C1099, ""en"", ""pt"")"),"promotor")</f>
        <v>promotor</v>
      </c>
      <c r="E1099" s="8" t="str">
        <f>IFERROR(__xludf.DUMMYFUNCTION("GOOGLETRANSLATE(C1099, ""en"", ""es"")"),"fiscal")</f>
        <v>fiscal</v>
      </c>
      <c r="F1099" s="8" t="str">
        <f>IFERROR(__xludf.DUMMYFUNCTION("GOOGLETRANSLATE(C1099, ""en"", ""fr"")"),"procureur")</f>
        <v>procureur</v>
      </c>
      <c r="G1099" s="8" t="str">
        <f>IFERROR(__xludf.DUMMYFUNCTION("GOOGLETRANSLATE(C1099, ""en"", ""de"")"),"Staatsanwalt")</f>
        <v>Staatsanwalt</v>
      </c>
      <c r="H1099" s="8" t="str">
        <f>IFERROR(__xludf.DUMMYFUNCTION("GOOGLETRANSLATE(C1099, ""en"", ""ru"")"),"прокурор")</f>
        <v>прокурор</v>
      </c>
      <c r="I1099" s="8" t="str">
        <f>IFERROR(__xludf.DUMMYFUNCTION("GOOGLETRANSLATE(C1099, ""en"", ""ar"")"),"المدعي العام")</f>
        <v>المدعي العام</v>
      </c>
      <c r="J1099" s="8"/>
      <c r="K1099" s="7" t="str">
        <f>IFERROR(__xludf.DUMMYFUNCTION("CONCAT(REGEXREPLACE(C1099,""[ ,]+"",""_""),"".mp3"")"),"prosecutor.mp3")</f>
        <v>prosecutor.mp3</v>
      </c>
      <c r="M1099" s="4" t="s">
        <v>10</v>
      </c>
    </row>
    <row r="1100" ht="15.75" customHeight="1">
      <c r="A1100" s="1">
        <v>2468.0</v>
      </c>
      <c r="B1100" s="3">
        <v>150.0</v>
      </c>
      <c r="C1100" s="7" t="s">
        <v>1117</v>
      </c>
      <c r="D1100" s="8" t="str">
        <f>IFERROR(__xludf.DUMMYFUNCTION("GOOGLETRANSLATE(C1100, ""en"", ""pt"")"),"assistente jurídico")</f>
        <v>assistente jurídico</v>
      </c>
      <c r="E1100" s="8" t="str">
        <f>IFERROR(__xludf.DUMMYFUNCTION("GOOGLETRANSLATE(C1100, ""en"", ""es"")"),"asistente legal")</f>
        <v>asistente legal</v>
      </c>
      <c r="F1100" s="8" t="str">
        <f>IFERROR(__xludf.DUMMYFUNCTION("GOOGLETRANSLATE(C1100, ""en"", ""fr"")"),"assistant juridique")</f>
        <v>assistant juridique</v>
      </c>
      <c r="G1100" s="8" t="str">
        <f>IFERROR(__xludf.DUMMYFUNCTION("GOOGLETRANSLATE(C1100, ""en"", ""de"")"),"Rechtsanwaltsgehilfe")</f>
        <v>Rechtsanwaltsgehilfe</v>
      </c>
      <c r="H1100" s="8" t="str">
        <f>IFERROR(__xludf.DUMMYFUNCTION("GOOGLETRANSLATE(C1100, ""en"", ""ru"")"),"помощник юриста")</f>
        <v>помощник юриста</v>
      </c>
      <c r="I1100" s="8" t="str">
        <f>IFERROR(__xludf.DUMMYFUNCTION("GOOGLETRANSLATE(C1100, ""en"", ""ar"")"),"مساعد قانوني")</f>
        <v>مساعد قانوني</v>
      </c>
      <c r="J1100" s="8"/>
      <c r="K1100" s="7" t="str">
        <f>IFERROR(__xludf.DUMMYFUNCTION("CONCAT(REGEXREPLACE(C1100,""[ ,]+"",""_""),"".mp3"")"),"legal_assistant.mp3")</f>
        <v>legal_assistant.mp3</v>
      </c>
      <c r="M1100" s="4" t="s">
        <v>10</v>
      </c>
    </row>
    <row r="1101" ht="15.75" customHeight="1">
      <c r="A1101" s="1">
        <v>2469.0</v>
      </c>
      <c r="B1101" s="3">
        <v>150.0</v>
      </c>
      <c r="C1101" s="7" t="s">
        <v>1118</v>
      </c>
      <c r="D1101" s="8" t="str">
        <f>IFERROR(__xludf.DUMMYFUNCTION("GOOGLETRANSLATE(C1101, ""en"", ""pt"")"),"assistente jurídico")</f>
        <v>assistente jurídico</v>
      </c>
      <c r="E1101" s="8" t="str">
        <f>IFERROR(__xludf.DUMMYFUNCTION("GOOGLETRANSLATE(C1101, ""en"", ""es"")"),"asistente legal")</f>
        <v>asistente legal</v>
      </c>
      <c r="F1101" s="8" t="str">
        <f>IFERROR(__xludf.DUMMYFUNCTION("GOOGLETRANSLATE(C1101, ""en"", ""fr"")"),"parajuriste")</f>
        <v>parajuriste</v>
      </c>
      <c r="G1101" s="8" t="str">
        <f>IFERROR(__xludf.DUMMYFUNCTION("GOOGLETRANSLATE(C1101, ""en"", ""de"")"),"Rechtsanwaltsgehilfe")</f>
        <v>Rechtsanwaltsgehilfe</v>
      </c>
      <c r="H1101" s="8" t="str">
        <f>IFERROR(__xludf.DUMMYFUNCTION("GOOGLETRANSLATE(C1101, ""en"", ""ru"")"),"помощник юриста")</f>
        <v>помощник юриста</v>
      </c>
      <c r="I1101" s="8" t="str">
        <f>IFERROR(__xludf.DUMMYFUNCTION("GOOGLETRANSLATE(C1101, ""en"", ""ar"")"),"مساعد قانوني")</f>
        <v>مساعد قانوني</v>
      </c>
      <c r="J1101" s="8"/>
      <c r="K1101" s="7" t="str">
        <f>IFERROR(__xludf.DUMMYFUNCTION("CONCAT(REGEXREPLACE(C1101,""[ ,]+"",""_""),"".mp3"")"),"paralegal.mp3")</f>
        <v>paralegal.mp3</v>
      </c>
      <c r="M1101" s="4" t="s">
        <v>10</v>
      </c>
    </row>
    <row r="1102" ht="15.75" customHeight="1">
      <c r="A1102" s="1">
        <v>2470.0</v>
      </c>
      <c r="B1102" s="3">
        <v>150.0</v>
      </c>
      <c r="C1102" s="7" t="s">
        <v>1119</v>
      </c>
      <c r="D1102" s="8" t="str">
        <f>IFERROR(__xludf.DUMMYFUNCTION("GOOGLETRANSLATE(C1102, ""en"", ""pt"")"),"político")</f>
        <v>político</v>
      </c>
      <c r="E1102" s="8" t="str">
        <f>IFERROR(__xludf.DUMMYFUNCTION("GOOGLETRANSLATE(C1102, ""en"", ""es"")"),"político")</f>
        <v>político</v>
      </c>
      <c r="F1102" s="8" t="str">
        <f>IFERROR(__xludf.DUMMYFUNCTION("GOOGLETRANSLATE(C1102, ""en"", ""fr"")"),"politicien")</f>
        <v>politicien</v>
      </c>
      <c r="G1102" s="8" t="str">
        <f>IFERROR(__xludf.DUMMYFUNCTION("GOOGLETRANSLATE(C1102, ""en"", ""de"")"),"Politiker")</f>
        <v>Politiker</v>
      </c>
      <c r="H1102" s="8" t="str">
        <f>IFERROR(__xludf.DUMMYFUNCTION("GOOGLETRANSLATE(C1102, ""en"", ""ru"")"),"политик")</f>
        <v>политик</v>
      </c>
      <c r="I1102" s="8" t="str">
        <f>IFERROR(__xludf.DUMMYFUNCTION("GOOGLETRANSLATE(C1102, ""en"", ""ar"")"),"سياسي")</f>
        <v>سياسي</v>
      </c>
      <c r="J1102" s="8"/>
      <c r="K1102" s="7" t="str">
        <f>IFERROR(__xludf.DUMMYFUNCTION("CONCAT(REGEXREPLACE(C1102,""[ ,]+"",""_""),"".mp3"")"),"politician.mp3")</f>
        <v>politician.mp3</v>
      </c>
      <c r="M1102" s="4" t="s">
        <v>10</v>
      </c>
    </row>
    <row r="1103" ht="15.75" customHeight="1">
      <c r="A1103" s="1">
        <v>2471.0</v>
      </c>
      <c r="B1103" s="3">
        <v>150.0</v>
      </c>
      <c r="C1103" s="7" t="s">
        <v>1120</v>
      </c>
      <c r="D1103" s="8" t="str">
        <f>IFERROR(__xludf.DUMMYFUNCTION("GOOGLETRANSLATE(C1103, ""en"", ""pt"")"),"diplomata")</f>
        <v>diplomata</v>
      </c>
      <c r="E1103" s="8" t="str">
        <f>IFERROR(__xludf.DUMMYFUNCTION("GOOGLETRANSLATE(C1103, ""en"", ""es"")"),"diplomático")</f>
        <v>diplomático</v>
      </c>
      <c r="F1103" s="8" t="str">
        <f>IFERROR(__xludf.DUMMYFUNCTION("GOOGLETRANSLATE(C1103, ""en"", ""fr"")"),"diplomate")</f>
        <v>diplomate</v>
      </c>
      <c r="G1103" s="8" t="str">
        <f>IFERROR(__xludf.DUMMYFUNCTION("GOOGLETRANSLATE(C1103, ""en"", ""de"")"),"Diplomat")</f>
        <v>Diplomat</v>
      </c>
      <c r="H1103" s="8" t="str">
        <f>IFERROR(__xludf.DUMMYFUNCTION("GOOGLETRANSLATE(C1103, ""en"", ""ru"")"),"дипломат")</f>
        <v>дипломат</v>
      </c>
      <c r="I1103" s="8" t="str">
        <f>IFERROR(__xludf.DUMMYFUNCTION("GOOGLETRANSLATE(C1103, ""en"", ""ar"")"),"دبلوماسي")</f>
        <v>دبلوماسي</v>
      </c>
      <c r="J1103" s="8"/>
      <c r="K1103" s="7" t="str">
        <f>IFERROR(__xludf.DUMMYFUNCTION("CONCAT(REGEXREPLACE(C1103,""[ ,]+"",""_""),"".mp3"")"),"diplomat.mp3")</f>
        <v>diplomat.mp3</v>
      </c>
      <c r="M1103" s="4" t="s">
        <v>10</v>
      </c>
    </row>
    <row r="1104" ht="15.75" customHeight="1">
      <c r="A1104" s="1">
        <v>2472.0</v>
      </c>
      <c r="B1104" s="3">
        <v>150.0</v>
      </c>
      <c r="C1104" s="7" t="s">
        <v>1121</v>
      </c>
      <c r="D1104" s="8" t="str">
        <f>IFERROR(__xludf.DUMMYFUNCTION("GOOGLETRANSLATE(C1104, ""en"", ""pt"")"),"funcionário público")</f>
        <v>funcionário público</v>
      </c>
      <c r="E1104" s="8" t="str">
        <f>IFERROR(__xludf.DUMMYFUNCTION("GOOGLETRANSLATE(C1104, ""en"", ""es"")"),"funcionario público")</f>
        <v>funcionario público</v>
      </c>
      <c r="F1104" s="8" t="str">
        <f>IFERROR(__xludf.DUMMYFUNCTION("GOOGLETRANSLATE(C1104, ""en"", ""fr"")"),"fonctionnaire")</f>
        <v>fonctionnaire</v>
      </c>
      <c r="G1104" s="8" t="str">
        <f>IFERROR(__xludf.DUMMYFUNCTION("GOOGLETRANSLATE(C1104, ""en"", ""de"")"),"Beamte")</f>
        <v>Beamte</v>
      </c>
      <c r="H1104" s="8" t="str">
        <f>IFERROR(__xludf.DUMMYFUNCTION("GOOGLETRANSLATE(C1104, ""en"", ""ru"")"),"государственный служащий")</f>
        <v>государственный служащий</v>
      </c>
      <c r="I1104" s="8" t="str">
        <f>IFERROR(__xludf.DUMMYFUNCTION("GOOGLETRANSLATE(C1104, ""en"", ""ar"")"),"موظف حكومي")</f>
        <v>موظف حكومي</v>
      </c>
      <c r="J1104" s="8"/>
      <c r="K1104" s="7" t="str">
        <f>IFERROR(__xludf.DUMMYFUNCTION("CONCAT(REGEXREPLACE(C1104,""[ ,]+"",""_""),"".mp3"")"),"civil_servant.mp3")</f>
        <v>civil_servant.mp3</v>
      </c>
      <c r="M1104" s="4" t="s">
        <v>10</v>
      </c>
    </row>
    <row r="1105" ht="15.75" customHeight="1">
      <c r="A1105" s="1">
        <v>2473.0</v>
      </c>
      <c r="B1105" s="3">
        <v>150.0</v>
      </c>
      <c r="C1105" s="7" t="s">
        <v>1122</v>
      </c>
      <c r="D1105" s="8" t="str">
        <f>IFERROR(__xludf.DUMMYFUNCTION("GOOGLETRANSLATE(C1105, ""en"", ""pt"")"),"administrador público")</f>
        <v>administrador público</v>
      </c>
      <c r="E1105" s="8" t="str">
        <f>IFERROR(__xludf.DUMMYFUNCTION("GOOGLETRANSLATE(C1105, ""en"", ""es"")"),"administrador público")</f>
        <v>administrador público</v>
      </c>
      <c r="F1105" s="8" t="str">
        <f>IFERROR(__xludf.DUMMYFUNCTION("GOOGLETRANSLATE(C1105, ""en"", ""fr"")"),"administrateur public")</f>
        <v>administrateur public</v>
      </c>
      <c r="G1105" s="8" t="str">
        <f>IFERROR(__xludf.DUMMYFUNCTION("GOOGLETRANSLATE(C1105, ""en"", ""de"")"),"öffentlicher Verwalter")</f>
        <v>öffentlicher Verwalter</v>
      </c>
      <c r="H1105" s="8" t="str">
        <f>IFERROR(__xludf.DUMMYFUNCTION("GOOGLETRANSLATE(C1105, ""en"", ""ru"")"),"государственный администратор")</f>
        <v>государственный администратор</v>
      </c>
      <c r="I1105" s="8" t="str">
        <f>IFERROR(__xludf.DUMMYFUNCTION("GOOGLETRANSLATE(C1105, ""en"", ""ar"")"),"مدير عام")</f>
        <v>مدير عام</v>
      </c>
      <c r="J1105" s="8"/>
      <c r="K1105" s="7" t="str">
        <f>IFERROR(__xludf.DUMMYFUNCTION("CONCAT(REGEXREPLACE(C1105,""[ ,]+"",""_""),"".mp3"")"),"public_administrator.mp3")</f>
        <v>public_administrator.mp3</v>
      </c>
      <c r="M1105" s="4" t="s">
        <v>10</v>
      </c>
    </row>
    <row r="1106" ht="15.75" customHeight="1">
      <c r="A1106" s="1">
        <v>2474.0</v>
      </c>
      <c r="B1106" s="3">
        <v>150.0</v>
      </c>
      <c r="C1106" s="7" t="s">
        <v>1123</v>
      </c>
      <c r="D1106" s="8" t="str">
        <f>IFERROR(__xludf.DUMMYFUNCTION("GOOGLETRANSLATE(C1106, ""en"", ""pt"")"),"agente alfandegário")</f>
        <v>agente alfandegário</v>
      </c>
      <c r="E1106" s="8" t="str">
        <f>IFERROR(__xludf.DUMMYFUNCTION("GOOGLETRANSLATE(C1106, ""en"", ""es"")"),"funcionario de aduanas")</f>
        <v>funcionario de aduanas</v>
      </c>
      <c r="F1106" s="8" t="str">
        <f>IFERROR(__xludf.DUMMYFUNCTION("GOOGLETRANSLATE(C1106, ""en"", ""fr"")"),"douanier")</f>
        <v>douanier</v>
      </c>
      <c r="G1106" s="8" t="str">
        <f>IFERROR(__xludf.DUMMYFUNCTION("GOOGLETRANSLATE(C1106, ""en"", ""de"")"),"Zollbeamte")</f>
        <v>Zollbeamte</v>
      </c>
      <c r="H1106" s="8" t="str">
        <f>IFERROR(__xludf.DUMMYFUNCTION("GOOGLETRANSLATE(C1106, ""en"", ""ru"")"),"таможенный офицер")</f>
        <v>таможенный офицер</v>
      </c>
      <c r="I1106" s="8" t="str">
        <f>IFERROR(__xludf.DUMMYFUNCTION("GOOGLETRANSLATE(C1106, ""en"", ""ar"")"),"موظف الجمارك")</f>
        <v>موظف الجمارك</v>
      </c>
      <c r="J1106" s="8"/>
      <c r="K1106" s="7" t="str">
        <f>IFERROR(__xludf.DUMMYFUNCTION("CONCAT(REGEXREPLACE(C1106,""[ ,]+"",""_""),"".mp3"")"),"customs_officer.mp3")</f>
        <v>customs_officer.mp3</v>
      </c>
      <c r="M1106" s="4" t="s">
        <v>10</v>
      </c>
    </row>
    <row r="1107" ht="15.75" customHeight="1">
      <c r="A1107" s="1">
        <v>2475.0</v>
      </c>
      <c r="B1107" s="3">
        <v>150.0</v>
      </c>
      <c r="C1107" s="7" t="s">
        <v>1124</v>
      </c>
      <c r="D1107" s="8" t="str">
        <f>IFERROR(__xludf.DUMMYFUNCTION("GOOGLETRANSLATE(C1107, ""en"", ""pt"")"),"agente fiscal")</f>
        <v>agente fiscal</v>
      </c>
      <c r="E1107" s="8" t="str">
        <f>IFERROR(__xludf.DUMMYFUNCTION("GOOGLETRANSLATE(C1107, ""en"", ""es"")"),"funcionario de impuestos")</f>
        <v>funcionario de impuestos</v>
      </c>
      <c r="F1107" s="8" t="str">
        <f>IFERROR(__xludf.DUMMYFUNCTION("GOOGLETRANSLATE(C1107, ""en"", ""fr"")"),"agent des impôts")</f>
        <v>agent des impôts</v>
      </c>
      <c r="G1107" s="8" t="str">
        <f>IFERROR(__xludf.DUMMYFUNCTION("GOOGLETRANSLATE(C1107, ""en"", ""de"")"),"Steuerbeamter")</f>
        <v>Steuerbeamter</v>
      </c>
      <c r="H1107" s="8" t="str">
        <f>IFERROR(__xludf.DUMMYFUNCTION("GOOGLETRANSLATE(C1107, ""en"", ""ru"")"),"налоговый инспектор")</f>
        <v>налоговый инспектор</v>
      </c>
      <c r="I1107" s="8" t="str">
        <f>IFERROR(__xludf.DUMMYFUNCTION("GOOGLETRANSLATE(C1107, ""en"", ""ar"")"),"موظف الضرائب")</f>
        <v>موظف الضرائب</v>
      </c>
      <c r="J1107" s="8"/>
      <c r="K1107" s="7" t="str">
        <f>IFERROR(__xludf.DUMMYFUNCTION("CONCAT(REGEXREPLACE(C1107,""[ ,]+"",""_""),"".mp3"")"),"tax_officer.mp3")</f>
        <v>tax_officer.mp3</v>
      </c>
      <c r="M1107" s="4" t="s">
        <v>10</v>
      </c>
    </row>
    <row r="1108" ht="15.75" customHeight="1">
      <c r="A1108" s="1">
        <v>2476.0</v>
      </c>
      <c r="B1108" s="3">
        <v>150.0</v>
      </c>
      <c r="C1108" s="7" t="s">
        <v>1125</v>
      </c>
      <c r="D1108" s="8" t="str">
        <f>IFERROR(__xludf.DUMMYFUNCTION("GOOGLETRANSLATE(C1108, ""en"", ""pt"")"),"policial")</f>
        <v>policial</v>
      </c>
      <c r="E1108" s="8" t="str">
        <f>IFERROR(__xludf.DUMMYFUNCTION("GOOGLETRANSLATE(C1108, ""en"", ""es"")"),"oficial de policía")</f>
        <v>oficial de policía</v>
      </c>
      <c r="F1108" s="8" t="str">
        <f>IFERROR(__xludf.DUMMYFUNCTION("GOOGLETRANSLATE(C1108, ""en"", ""fr"")"),"policier")</f>
        <v>policier</v>
      </c>
      <c r="G1108" s="8" t="str">
        <f>IFERROR(__xludf.DUMMYFUNCTION("GOOGLETRANSLATE(C1108, ""en"", ""de"")"),"Polizist")</f>
        <v>Polizist</v>
      </c>
      <c r="H1108" s="8" t="str">
        <f>IFERROR(__xludf.DUMMYFUNCTION("GOOGLETRANSLATE(C1108, ""en"", ""ru"")"),"полицейский")</f>
        <v>полицейский</v>
      </c>
      <c r="I1108" s="8" t="str">
        <f>IFERROR(__xludf.DUMMYFUNCTION("GOOGLETRANSLATE(C1108, ""en"", ""ar"")"),"ضابط شرطة")</f>
        <v>ضابط شرطة</v>
      </c>
      <c r="J1108" s="8"/>
      <c r="K1108" s="7" t="str">
        <f>IFERROR(__xludf.DUMMYFUNCTION("CONCAT(REGEXREPLACE(C1108,""[ ,]+"",""_""),"".mp3"")"),"police_officer.mp3")</f>
        <v>police_officer.mp3</v>
      </c>
      <c r="M1108" s="4" t="s">
        <v>10</v>
      </c>
    </row>
    <row r="1109" ht="15.75" customHeight="1">
      <c r="A1109" s="1">
        <v>2477.0</v>
      </c>
      <c r="B1109" s="3">
        <v>150.0</v>
      </c>
      <c r="C1109" s="7" t="s">
        <v>1126</v>
      </c>
      <c r="D1109" s="8" t="str">
        <f>IFERROR(__xludf.DUMMYFUNCTION("GOOGLETRANSLATE(C1109, ""en"", ""pt"")"),"detetive")</f>
        <v>detetive</v>
      </c>
      <c r="E1109" s="8" t="str">
        <f>IFERROR(__xludf.DUMMYFUNCTION("GOOGLETRANSLATE(C1109, ""en"", ""es"")"),"detective")</f>
        <v>detective</v>
      </c>
      <c r="F1109" s="8" t="str">
        <f>IFERROR(__xludf.DUMMYFUNCTION("GOOGLETRANSLATE(C1109, ""en"", ""fr"")"),"détective")</f>
        <v>détective</v>
      </c>
      <c r="G1109" s="8" t="str">
        <f>IFERROR(__xludf.DUMMYFUNCTION("GOOGLETRANSLATE(C1109, ""en"", ""de"")"),"Detektiv")</f>
        <v>Detektiv</v>
      </c>
      <c r="H1109" s="8" t="str">
        <f>IFERROR(__xludf.DUMMYFUNCTION("GOOGLETRANSLATE(C1109, ""en"", ""ru"")"),"детектив")</f>
        <v>детектив</v>
      </c>
      <c r="I1109" s="8" t="str">
        <f>IFERROR(__xludf.DUMMYFUNCTION("GOOGLETRANSLATE(C1109, ""en"", ""ar"")"),"محقق")</f>
        <v>محقق</v>
      </c>
      <c r="J1109" s="8"/>
      <c r="K1109" s="7" t="str">
        <f>IFERROR(__xludf.DUMMYFUNCTION("CONCAT(REGEXREPLACE(C1109,""[ ,]+"",""_""),"".mp3"")"),"detective.mp3")</f>
        <v>detective.mp3</v>
      </c>
      <c r="M1109" s="4" t="s">
        <v>10</v>
      </c>
    </row>
    <row r="1110" ht="15.75" customHeight="1">
      <c r="A1110" s="1">
        <v>2478.0</v>
      </c>
      <c r="B1110" s="3">
        <v>150.0</v>
      </c>
      <c r="C1110" s="7" t="s">
        <v>1127</v>
      </c>
      <c r="D1110" s="8" t="str">
        <f>IFERROR(__xludf.DUMMYFUNCTION("GOOGLETRANSLATE(C1110, ""en"", ""pt"")"),"bombeiro")</f>
        <v>bombeiro</v>
      </c>
      <c r="E1110" s="8" t="str">
        <f>IFERROR(__xludf.DUMMYFUNCTION("GOOGLETRANSLATE(C1110, ""en"", ""es"")"),"bombero")</f>
        <v>bombero</v>
      </c>
      <c r="F1110" s="8" t="str">
        <f>IFERROR(__xludf.DUMMYFUNCTION("GOOGLETRANSLATE(C1110, ""en"", ""fr"")"),"pompier")</f>
        <v>pompier</v>
      </c>
      <c r="G1110" s="8" t="str">
        <f>IFERROR(__xludf.DUMMYFUNCTION("GOOGLETRANSLATE(C1110, ""en"", ""de"")"),"Feuerwehrmann")</f>
        <v>Feuerwehrmann</v>
      </c>
      <c r="H1110" s="8" t="str">
        <f>IFERROR(__xludf.DUMMYFUNCTION("GOOGLETRANSLATE(C1110, ""en"", ""ru"")"),"пожарный")</f>
        <v>пожарный</v>
      </c>
      <c r="I1110" s="8" t="str">
        <f>IFERROR(__xludf.DUMMYFUNCTION("GOOGLETRANSLATE(C1110, ""en"", ""ar"")"),"رجل إطفاء")</f>
        <v>رجل إطفاء</v>
      </c>
      <c r="J1110" s="8"/>
      <c r="K1110" s="7" t="str">
        <f>IFERROR(__xludf.DUMMYFUNCTION("CONCAT(REGEXREPLACE(C1110,""[ ,]+"",""_""),"".mp3"")"),"firefighter.mp3")</f>
        <v>firefighter.mp3</v>
      </c>
      <c r="M1110" s="4" t="s">
        <v>10</v>
      </c>
    </row>
    <row r="1111" ht="15.75" customHeight="1">
      <c r="A1111" s="1">
        <v>2479.0</v>
      </c>
      <c r="B1111" s="3">
        <v>150.0</v>
      </c>
      <c r="C1111" s="7" t="s">
        <v>1128</v>
      </c>
      <c r="D1111" s="8" t="str">
        <f>IFERROR(__xludf.DUMMYFUNCTION("GOOGLETRANSLATE(C1111, ""en"", ""pt"")"),"inspetor de incêndio")</f>
        <v>inspetor de incêndio</v>
      </c>
      <c r="E1111" s="8" t="str">
        <f>IFERROR(__xludf.DUMMYFUNCTION("GOOGLETRANSLATE(C1111, ""en"", ""es"")"),"inspector de incendios")</f>
        <v>inspector de incendios</v>
      </c>
      <c r="F1111" s="8" t="str">
        <f>IFERROR(__xludf.DUMMYFUNCTION("GOOGLETRANSLATE(C1111, ""en"", ""fr"")"),"inspecteur des incendies")</f>
        <v>inspecteur des incendies</v>
      </c>
      <c r="G1111" s="8" t="str">
        <f>IFERROR(__xludf.DUMMYFUNCTION("GOOGLETRANSLATE(C1111, ""en"", ""de"")"),"Brandschutzinspektor")</f>
        <v>Brandschutzinspektor</v>
      </c>
      <c r="H1111" s="8" t="str">
        <f>IFERROR(__xludf.DUMMYFUNCTION("GOOGLETRANSLATE(C1111, ""en"", ""ru"")"),"пожарный инспектор")</f>
        <v>пожарный инспектор</v>
      </c>
      <c r="I1111" s="8" t="str">
        <f>IFERROR(__xludf.DUMMYFUNCTION("GOOGLETRANSLATE(C1111, ""en"", ""ar"")"),"مفتش حرائق")</f>
        <v>مفتش حرائق</v>
      </c>
      <c r="J1111" s="8"/>
      <c r="K1111" s="7" t="str">
        <f>IFERROR(__xludf.DUMMYFUNCTION("CONCAT(REGEXREPLACE(C1111,""[ ,]+"",""_""),"".mp3"")"),"fire_inspector.mp3")</f>
        <v>fire_inspector.mp3</v>
      </c>
      <c r="M1111" s="4" t="s">
        <v>10</v>
      </c>
    </row>
    <row r="1112" ht="15.75" customHeight="1">
      <c r="A1112" s="1">
        <v>2480.0</v>
      </c>
      <c r="B1112" s="3">
        <v>150.0</v>
      </c>
      <c r="C1112" s="7" t="s">
        <v>1129</v>
      </c>
      <c r="D1112" s="8" t="str">
        <f>IFERROR(__xludf.DUMMYFUNCTION("GOOGLETRANSLATE(C1112, ""en"", ""pt"")"),"guarda de segurança")</f>
        <v>guarda de segurança</v>
      </c>
      <c r="E1112" s="8" t="str">
        <f>IFERROR(__xludf.DUMMYFUNCTION("GOOGLETRANSLATE(C1112, ""en"", ""es"")"),"guardia de seguridad")</f>
        <v>guardia de seguridad</v>
      </c>
      <c r="F1112" s="8" t="str">
        <f>IFERROR(__xludf.DUMMYFUNCTION("GOOGLETRANSLATE(C1112, ""en"", ""fr"")"),"agent de sécurité")</f>
        <v>agent de sécurité</v>
      </c>
      <c r="G1112" s="8" t="str">
        <f>IFERROR(__xludf.DUMMYFUNCTION("GOOGLETRANSLATE(C1112, ""en"", ""de"")"),"Sicherheitsbeamter")</f>
        <v>Sicherheitsbeamter</v>
      </c>
      <c r="H1112" s="8" t="str">
        <f>IFERROR(__xludf.DUMMYFUNCTION("GOOGLETRANSLATE(C1112, ""en"", ""ru"")"),"охранник")</f>
        <v>охранник</v>
      </c>
      <c r="I1112" s="8" t="str">
        <f>IFERROR(__xludf.DUMMYFUNCTION("GOOGLETRANSLATE(C1112, ""en"", ""ar"")"),"حارس أمن")</f>
        <v>حارس أمن</v>
      </c>
      <c r="J1112" s="8"/>
      <c r="K1112" s="7" t="str">
        <f>IFERROR(__xludf.DUMMYFUNCTION("CONCAT(REGEXREPLACE(C1112,""[ ,]+"",""_""),"".mp3"")"),"security_guard.mp3")</f>
        <v>security_guard.mp3</v>
      </c>
      <c r="M1112" s="4" t="s">
        <v>10</v>
      </c>
    </row>
    <row r="1113" ht="15.75" customHeight="1">
      <c r="A1113" s="1">
        <v>2481.0</v>
      </c>
      <c r="B1113" s="3">
        <v>150.0</v>
      </c>
      <c r="C1113" s="7" t="s">
        <v>1130</v>
      </c>
      <c r="D1113" s="8" t="str">
        <f>IFERROR(__xludf.DUMMYFUNCTION("GOOGLETRANSLATE(C1113, ""en"", ""pt"")"),"escolta")</f>
        <v>escolta</v>
      </c>
      <c r="E1113" s="8" t="str">
        <f>IFERROR(__xludf.DUMMYFUNCTION("GOOGLETRANSLATE(C1113, ""en"", ""es"")"),"guardaespaldas")</f>
        <v>guardaespaldas</v>
      </c>
      <c r="F1113" s="8" t="str">
        <f>IFERROR(__xludf.DUMMYFUNCTION("GOOGLETRANSLATE(C1113, ""en"", ""fr"")"),"garde du corps")</f>
        <v>garde du corps</v>
      </c>
      <c r="G1113" s="8" t="str">
        <f>IFERROR(__xludf.DUMMYFUNCTION("GOOGLETRANSLATE(C1113, ""en"", ""de"")"),"Leibwächter")</f>
        <v>Leibwächter</v>
      </c>
      <c r="H1113" s="8" t="str">
        <f>IFERROR(__xludf.DUMMYFUNCTION("GOOGLETRANSLATE(C1113, ""en"", ""ru"")"),"телохранитель")</f>
        <v>телохранитель</v>
      </c>
      <c r="I1113" s="8" t="str">
        <f>IFERROR(__xludf.DUMMYFUNCTION("GOOGLETRANSLATE(C1113, ""en"", ""ar"")"),"حارس شخصي")</f>
        <v>حارس شخصي</v>
      </c>
      <c r="J1113" s="8"/>
      <c r="K1113" s="7" t="str">
        <f>IFERROR(__xludf.DUMMYFUNCTION("CONCAT(REGEXREPLACE(C1113,""[ ,]+"",""_""),"".mp3"")"),"bodyguard.mp3")</f>
        <v>bodyguard.mp3</v>
      </c>
      <c r="M1113" s="4" t="s">
        <v>10</v>
      </c>
    </row>
    <row r="1114" ht="15.75" customHeight="1">
      <c r="A1114" s="1">
        <v>2482.0</v>
      </c>
      <c r="B1114" s="3">
        <v>150.0</v>
      </c>
      <c r="C1114" s="7" t="s">
        <v>1131</v>
      </c>
      <c r="D1114" s="8" t="str">
        <f>IFERROR(__xludf.DUMMYFUNCTION("GOOGLETRANSLATE(C1114, ""en"", ""pt"")"),"Salva-vidas")</f>
        <v>Salva-vidas</v>
      </c>
      <c r="E1114" s="8" t="str">
        <f>IFERROR(__xludf.DUMMYFUNCTION("GOOGLETRANSLATE(C1114, ""en"", ""es"")"),"Salvavidas")</f>
        <v>Salvavidas</v>
      </c>
      <c r="F1114" s="8" t="str">
        <f>IFERROR(__xludf.DUMMYFUNCTION("GOOGLETRANSLATE(C1114, ""en"", ""fr"")"),"Maître nageur")</f>
        <v>Maître nageur</v>
      </c>
      <c r="G1114" s="8" t="str">
        <f>IFERROR(__xludf.DUMMYFUNCTION("GOOGLETRANSLATE(C1114, ""en"", ""de"")"),"Rettungsschwimmer")</f>
        <v>Rettungsschwimmer</v>
      </c>
      <c r="H1114" s="8" t="str">
        <f>IFERROR(__xludf.DUMMYFUNCTION("GOOGLETRANSLATE(C1114, ""en"", ""ru"")"),"Спасатель")</f>
        <v>Спасатель</v>
      </c>
      <c r="I1114" s="8" t="str">
        <f>IFERROR(__xludf.DUMMYFUNCTION("GOOGLETRANSLATE(C1114, ""en"", ""ar"")"),"يا حارس الشاطئ")</f>
        <v>يا حارس الشاطئ</v>
      </c>
      <c r="J1114" s="8"/>
      <c r="K1114" s="7" t="str">
        <f>IFERROR(__xludf.DUMMYFUNCTION("CONCAT(REGEXREPLACE(C1114,""[ ,]+"",""_""),"".mp3"")"),"lifeguard.mp3")</f>
        <v>lifeguard.mp3</v>
      </c>
      <c r="M1114" s="4" t="s">
        <v>10</v>
      </c>
    </row>
    <row r="1115" ht="15.75" customHeight="1">
      <c r="A1115" s="1">
        <v>2483.0</v>
      </c>
      <c r="B1115" s="3">
        <v>150.0</v>
      </c>
      <c r="C1115" s="7" t="s">
        <v>1132</v>
      </c>
      <c r="D1115" s="8" t="str">
        <f>IFERROR(__xludf.DUMMYFUNCTION("GOOGLETRANSLATE(C1115, ""en"", ""pt"")"),"soldado")</f>
        <v>soldado</v>
      </c>
      <c r="E1115" s="8" t="str">
        <f>IFERROR(__xludf.DUMMYFUNCTION("GOOGLETRANSLATE(C1115, ""en"", ""es"")"),"soldado")</f>
        <v>soldado</v>
      </c>
      <c r="F1115" s="8" t="str">
        <f>IFERROR(__xludf.DUMMYFUNCTION("GOOGLETRANSLATE(C1115, ""en"", ""fr"")"),"soldat")</f>
        <v>soldat</v>
      </c>
      <c r="G1115" s="8" t="str">
        <f>IFERROR(__xludf.DUMMYFUNCTION("GOOGLETRANSLATE(C1115, ""en"", ""de"")"),"Soldat")</f>
        <v>Soldat</v>
      </c>
      <c r="H1115" s="8" t="str">
        <f>IFERROR(__xludf.DUMMYFUNCTION("GOOGLETRANSLATE(C1115, ""en"", ""ru"")"),"солдат")</f>
        <v>солдат</v>
      </c>
      <c r="I1115" s="8" t="str">
        <f>IFERROR(__xludf.DUMMYFUNCTION("GOOGLETRANSLATE(C1115, ""en"", ""ar"")"),"جندي")</f>
        <v>جندي</v>
      </c>
      <c r="J1115" s="8"/>
      <c r="K1115" s="7" t="str">
        <f>IFERROR(__xludf.DUMMYFUNCTION("CONCAT(REGEXREPLACE(C1115,""[ ,]+"",""_""),"".mp3"")"),"soldier.mp3")</f>
        <v>soldier.mp3</v>
      </c>
      <c r="M1115" s="4" t="s">
        <v>10</v>
      </c>
    </row>
    <row r="1116" ht="15.75" customHeight="1">
      <c r="A1116" s="1">
        <v>2484.0</v>
      </c>
      <c r="B1116" s="3">
        <v>150.0</v>
      </c>
      <c r="C1116" s="7" t="s">
        <v>1133</v>
      </c>
      <c r="D1116" s="8" t="str">
        <f>IFERROR(__xludf.DUMMYFUNCTION("GOOGLETRANSLATE(C1116, ""en"", ""pt"")"),"oficial")</f>
        <v>oficial</v>
      </c>
      <c r="E1116" s="8" t="str">
        <f>IFERROR(__xludf.DUMMYFUNCTION("GOOGLETRANSLATE(C1116, ""en"", ""es"")"),"oficial")</f>
        <v>oficial</v>
      </c>
      <c r="F1116" s="8" t="str">
        <f>IFERROR(__xludf.DUMMYFUNCTION("GOOGLETRANSLATE(C1116, ""en"", ""fr"")"),"officier")</f>
        <v>officier</v>
      </c>
      <c r="G1116" s="8" t="str">
        <f>IFERROR(__xludf.DUMMYFUNCTION("GOOGLETRANSLATE(C1116, ""en"", ""de"")"),"Offizier")</f>
        <v>Offizier</v>
      </c>
      <c r="H1116" s="8" t="str">
        <f>IFERROR(__xludf.DUMMYFUNCTION("GOOGLETRANSLATE(C1116, ""en"", ""ru"")"),"офицер")</f>
        <v>офицер</v>
      </c>
      <c r="I1116" s="8" t="str">
        <f>IFERROR(__xludf.DUMMYFUNCTION("GOOGLETRANSLATE(C1116, ""en"", ""ar"")"),"ضابط")</f>
        <v>ضابط</v>
      </c>
      <c r="J1116" s="8"/>
      <c r="K1116" s="7" t="str">
        <f>IFERROR(__xludf.DUMMYFUNCTION("CONCAT(REGEXREPLACE(C1116,""[ ,]+"",""_""),"".mp3"")"),"officer.mp3")</f>
        <v>officer.mp3</v>
      </c>
      <c r="M1116" s="4" t="s">
        <v>10</v>
      </c>
    </row>
    <row r="1117" ht="15.75" customHeight="1">
      <c r="A1117" s="1">
        <v>2485.0</v>
      </c>
      <c r="B1117" s="3">
        <v>150.0</v>
      </c>
      <c r="C1117" s="7" t="s">
        <v>1134</v>
      </c>
      <c r="D1117" s="8" t="str">
        <f>IFERROR(__xludf.DUMMYFUNCTION("GOOGLETRANSLATE(C1117, ""en"", ""pt"")"),"oficial do exército")</f>
        <v>oficial do exército</v>
      </c>
      <c r="E1117" s="8" t="str">
        <f>IFERROR(__xludf.DUMMYFUNCTION("GOOGLETRANSLATE(C1117, ""en"", ""es"")"),"oficial del ejército")</f>
        <v>oficial del ejército</v>
      </c>
      <c r="F1117" s="8" t="str">
        <f>IFERROR(__xludf.DUMMYFUNCTION("GOOGLETRANSLATE(C1117, ""en"", ""fr"")"),"officier de l'armée")</f>
        <v>officier de l'armée</v>
      </c>
      <c r="G1117" s="8" t="str">
        <f>IFERROR(__xludf.DUMMYFUNCTION("GOOGLETRANSLATE(C1117, ""en"", ""de"")"),"Armeeoffizier")</f>
        <v>Armeeoffizier</v>
      </c>
      <c r="H1117" s="8" t="str">
        <f>IFERROR(__xludf.DUMMYFUNCTION("GOOGLETRANSLATE(C1117, ""en"", ""ru"")"),"армейский офицер")</f>
        <v>армейский офицер</v>
      </c>
      <c r="I1117" s="8" t="str">
        <f>IFERROR(__xludf.DUMMYFUNCTION("GOOGLETRANSLATE(C1117, ""en"", ""ar"")"),"ضابط جيش")</f>
        <v>ضابط جيش</v>
      </c>
      <c r="J1117" s="8"/>
      <c r="K1117" s="7" t="str">
        <f>IFERROR(__xludf.DUMMYFUNCTION("CONCAT(REGEXREPLACE(C1117,""[ ,]+"",""_""),"".mp3"")"),"army_officer.mp3")</f>
        <v>army_officer.mp3</v>
      </c>
      <c r="M1117" s="4" t="s">
        <v>10</v>
      </c>
    </row>
    <row r="1118" ht="15.75" customHeight="1">
      <c r="A1118" s="1">
        <v>2486.0</v>
      </c>
      <c r="B1118" s="3">
        <v>150.0</v>
      </c>
      <c r="C1118" s="7" t="s">
        <v>1135</v>
      </c>
      <c r="D1118" s="8" t="str">
        <f>IFERROR(__xludf.DUMMYFUNCTION("GOOGLETRANSLATE(C1118, ""en"", ""pt"")"),"marinheiro da marinha")</f>
        <v>marinheiro da marinha</v>
      </c>
      <c r="E1118" s="8" t="str">
        <f>IFERROR(__xludf.DUMMYFUNCTION("GOOGLETRANSLATE(C1118, ""en"", ""es"")"),"marinero de la marina")</f>
        <v>marinero de la marina</v>
      </c>
      <c r="F1118" s="8" t="str">
        <f>IFERROR(__xludf.DUMMYFUNCTION("GOOGLETRANSLATE(C1118, ""en"", ""fr"")"),"marin de la marine")</f>
        <v>marin de la marine</v>
      </c>
      <c r="G1118" s="8" t="str">
        <f>IFERROR(__xludf.DUMMYFUNCTION("GOOGLETRANSLATE(C1118, ""en"", ""de"")"),"Marinesoldat")</f>
        <v>Marinesoldat</v>
      </c>
      <c r="H1118" s="8" t="str">
        <f>IFERROR(__xludf.DUMMYFUNCTION("GOOGLETRANSLATE(C1118, ""en"", ""ru"")"),"моряк военно-морского флота")</f>
        <v>моряк военно-морского флота</v>
      </c>
      <c r="I1118" s="8" t="str">
        <f>IFERROR(__xludf.DUMMYFUNCTION("GOOGLETRANSLATE(C1118, ""en"", ""ar"")"),"بحار في البحرية")</f>
        <v>بحار في البحرية</v>
      </c>
      <c r="J1118" s="8"/>
      <c r="K1118" s="7" t="str">
        <f>IFERROR(__xludf.DUMMYFUNCTION("CONCAT(REGEXREPLACE(C1118,""[ ,]+"",""_""),"".mp3"")"),"navy_sailor.mp3")</f>
        <v>navy_sailor.mp3</v>
      </c>
      <c r="M1118" s="4" t="s">
        <v>10</v>
      </c>
    </row>
    <row r="1119" ht="15.75" customHeight="1">
      <c r="A1119" s="1">
        <v>2487.0</v>
      </c>
      <c r="B1119" s="3">
        <v>150.0</v>
      </c>
      <c r="C1119" s="7" t="s">
        <v>1136</v>
      </c>
      <c r="D1119" s="8" t="str">
        <f>IFERROR(__xludf.DUMMYFUNCTION("GOOGLETRANSLATE(C1119, ""en"", ""pt"")"),"piloto da força aérea")</f>
        <v>piloto da força aérea</v>
      </c>
      <c r="E1119" s="8" t="str">
        <f>IFERROR(__xludf.DUMMYFUNCTION("GOOGLETRANSLATE(C1119, ""en"", ""es"")"),"piloto de la fuerza aérea")</f>
        <v>piloto de la fuerza aérea</v>
      </c>
      <c r="F1119" s="8" t="str">
        <f>IFERROR(__xludf.DUMMYFUNCTION("GOOGLETRANSLATE(C1119, ""en"", ""fr"")"),"pilote de l'armée de l'air")</f>
        <v>pilote de l'armée de l'air</v>
      </c>
      <c r="G1119" s="8" t="str">
        <f>IFERROR(__xludf.DUMMYFUNCTION("GOOGLETRANSLATE(C1119, ""en"", ""de"")"),"Pilot der Luftwaffe")</f>
        <v>Pilot der Luftwaffe</v>
      </c>
      <c r="H1119" s="8" t="str">
        <f>IFERROR(__xludf.DUMMYFUNCTION("GOOGLETRANSLATE(C1119, ""en"", ""ru"")"),"пилот военно-воздушных сил")</f>
        <v>пилот военно-воздушных сил</v>
      </c>
      <c r="I1119" s="8" t="str">
        <f>IFERROR(__xludf.DUMMYFUNCTION("GOOGLETRANSLATE(C1119, ""en"", ""ar"")"),"طيار في سلاح الجو")</f>
        <v>طيار في سلاح الجو</v>
      </c>
      <c r="J1119" s="8"/>
      <c r="K1119" s="7" t="str">
        <f>IFERROR(__xludf.DUMMYFUNCTION("CONCAT(REGEXREPLACE(C1119,""[ ,]+"",""_""),"".mp3"")"),"air_force_pilot.mp3")</f>
        <v>air_force_pilot.mp3</v>
      </c>
      <c r="M1119" s="4" t="s">
        <v>10</v>
      </c>
    </row>
    <row r="1120" ht="15.75" customHeight="1">
      <c r="A1120" s="1">
        <v>2488.0</v>
      </c>
      <c r="B1120" s="3">
        <v>150.0</v>
      </c>
      <c r="C1120" s="7" t="s">
        <v>1137</v>
      </c>
      <c r="D1120" s="8" t="str">
        <f>IFERROR(__xludf.DUMMYFUNCTION("GOOGLETRANSLATE(C1120, ""en"", ""pt"")"),"carpinteiro")</f>
        <v>carpinteiro</v>
      </c>
      <c r="E1120" s="8" t="str">
        <f>IFERROR(__xludf.DUMMYFUNCTION("GOOGLETRANSLATE(C1120, ""en"", ""es"")"),"carpintero")</f>
        <v>carpintero</v>
      </c>
      <c r="F1120" s="8" t="str">
        <f>IFERROR(__xludf.DUMMYFUNCTION("GOOGLETRANSLATE(C1120, ""en"", ""fr"")"),"menuisier")</f>
        <v>menuisier</v>
      </c>
      <c r="G1120" s="8" t="str">
        <f>IFERROR(__xludf.DUMMYFUNCTION("GOOGLETRANSLATE(C1120, ""en"", ""de"")"),"Tischler")</f>
        <v>Tischler</v>
      </c>
      <c r="H1120" s="8" t="str">
        <f>IFERROR(__xludf.DUMMYFUNCTION("GOOGLETRANSLATE(C1120, ""en"", ""ru"")"),"плотник")</f>
        <v>плотник</v>
      </c>
      <c r="I1120" s="8" t="str">
        <f>IFERROR(__xludf.DUMMYFUNCTION("GOOGLETRANSLATE(C1120, ""en"", ""ar"")"),"النجار")</f>
        <v>النجار</v>
      </c>
      <c r="J1120" s="8"/>
      <c r="K1120" s="7" t="str">
        <f>IFERROR(__xludf.DUMMYFUNCTION("CONCAT(REGEXREPLACE(C1120,""[ ,]+"",""_""),"".mp3"")"),"carpenter.mp3")</f>
        <v>carpenter.mp3</v>
      </c>
      <c r="M1120" s="4" t="s">
        <v>10</v>
      </c>
    </row>
    <row r="1121" ht="15.75" customHeight="1">
      <c r="A1121" s="1">
        <v>2489.0</v>
      </c>
      <c r="B1121" s="3">
        <v>150.0</v>
      </c>
      <c r="C1121" s="7" t="s">
        <v>1138</v>
      </c>
      <c r="D1121" s="8" t="str">
        <f>IFERROR(__xludf.DUMMYFUNCTION("GOOGLETRANSLATE(C1121, ""en"", ""pt"")"),"encanador")</f>
        <v>encanador</v>
      </c>
      <c r="E1121" s="8" t="str">
        <f>IFERROR(__xludf.DUMMYFUNCTION("GOOGLETRANSLATE(C1121, ""en"", ""es"")"),"plomero")</f>
        <v>plomero</v>
      </c>
      <c r="F1121" s="8" t="str">
        <f>IFERROR(__xludf.DUMMYFUNCTION("GOOGLETRANSLATE(C1121, ""en"", ""fr"")"),"plombier")</f>
        <v>plombier</v>
      </c>
      <c r="G1121" s="8" t="str">
        <f>IFERROR(__xludf.DUMMYFUNCTION("GOOGLETRANSLATE(C1121, ""en"", ""de"")"),"Klempner")</f>
        <v>Klempner</v>
      </c>
      <c r="H1121" s="8" t="str">
        <f>IFERROR(__xludf.DUMMYFUNCTION("GOOGLETRANSLATE(C1121, ""en"", ""ru"")"),"водопроводчик")</f>
        <v>водопроводчик</v>
      </c>
      <c r="I1121" s="8" t="str">
        <f>IFERROR(__xludf.DUMMYFUNCTION("GOOGLETRANSLATE(C1121, ""en"", ""ar"")"),"سباك")</f>
        <v>سباك</v>
      </c>
      <c r="J1121" s="8"/>
      <c r="K1121" s="7" t="str">
        <f>IFERROR(__xludf.DUMMYFUNCTION("CONCAT(REGEXREPLACE(C1121,""[ ,]+"",""_""),"".mp3"")"),"plumber.mp3")</f>
        <v>plumber.mp3</v>
      </c>
      <c r="M1121" s="4" t="s">
        <v>10</v>
      </c>
    </row>
    <row r="1122" ht="15.75" customHeight="1">
      <c r="A1122" s="1">
        <v>2490.0</v>
      </c>
      <c r="B1122" s="3">
        <v>150.0</v>
      </c>
      <c r="C1122" s="7" t="s">
        <v>1139</v>
      </c>
      <c r="D1122" s="8" t="str">
        <f>IFERROR(__xludf.DUMMYFUNCTION("GOOGLETRANSLATE(C1122, ""en"", ""pt"")"),"eletricista")</f>
        <v>eletricista</v>
      </c>
      <c r="E1122" s="8" t="str">
        <f>IFERROR(__xludf.DUMMYFUNCTION("GOOGLETRANSLATE(C1122, ""en"", ""es"")"),"electricista")</f>
        <v>electricista</v>
      </c>
      <c r="F1122" s="8" t="str">
        <f>IFERROR(__xludf.DUMMYFUNCTION("GOOGLETRANSLATE(C1122, ""en"", ""fr"")"),"électricien")</f>
        <v>électricien</v>
      </c>
      <c r="G1122" s="8" t="str">
        <f>IFERROR(__xludf.DUMMYFUNCTION("GOOGLETRANSLATE(C1122, ""en"", ""de"")"),"Elektriker")</f>
        <v>Elektriker</v>
      </c>
      <c r="H1122" s="8" t="str">
        <f>IFERROR(__xludf.DUMMYFUNCTION("GOOGLETRANSLATE(C1122, ""en"", ""ru"")"),"электрик")</f>
        <v>электрик</v>
      </c>
      <c r="I1122" s="8" t="str">
        <f>IFERROR(__xludf.DUMMYFUNCTION("GOOGLETRANSLATE(C1122, ""en"", ""ar"")"),"كهربائي")</f>
        <v>كهربائي</v>
      </c>
      <c r="J1122" s="8"/>
      <c r="K1122" s="7" t="str">
        <f>IFERROR(__xludf.DUMMYFUNCTION("CONCAT(REGEXREPLACE(C1122,""[ ,]+"",""_""),"".mp3"")"),"electrician.mp3")</f>
        <v>electrician.mp3</v>
      </c>
      <c r="M1122" s="4" t="s">
        <v>10</v>
      </c>
    </row>
    <row r="1123" ht="15.75" customHeight="1">
      <c r="A1123" s="1">
        <v>2491.0</v>
      </c>
      <c r="B1123" s="3">
        <v>150.0</v>
      </c>
      <c r="C1123" s="7" t="s">
        <v>1140</v>
      </c>
      <c r="D1123" s="8" t="str">
        <f>IFERROR(__xludf.DUMMYFUNCTION("GOOGLETRANSLATE(C1123, ""en"", ""pt"")"),"mecânico")</f>
        <v>mecânico</v>
      </c>
      <c r="E1123" s="8" t="str">
        <f>IFERROR(__xludf.DUMMYFUNCTION("GOOGLETRANSLATE(C1123, ""en"", ""es"")"),"mecánico")</f>
        <v>mecánico</v>
      </c>
      <c r="F1123" s="8" t="str">
        <f>IFERROR(__xludf.DUMMYFUNCTION("GOOGLETRANSLATE(C1123, ""en"", ""fr"")"),"mécanicien")</f>
        <v>mécanicien</v>
      </c>
      <c r="G1123" s="8" t="str">
        <f>IFERROR(__xludf.DUMMYFUNCTION("GOOGLETRANSLATE(C1123, ""en"", ""de"")"),"Mechaniker")</f>
        <v>Mechaniker</v>
      </c>
      <c r="H1123" s="8" t="str">
        <f>IFERROR(__xludf.DUMMYFUNCTION("GOOGLETRANSLATE(C1123, ""en"", ""ru"")"),"механик")</f>
        <v>механик</v>
      </c>
      <c r="I1123" s="8" t="str">
        <f>IFERROR(__xludf.DUMMYFUNCTION("GOOGLETRANSLATE(C1123, ""en"", ""ar"")"),"ميكانيكي")</f>
        <v>ميكانيكي</v>
      </c>
      <c r="J1123" s="8"/>
      <c r="K1123" s="7" t="str">
        <f>IFERROR(__xludf.DUMMYFUNCTION("CONCAT(REGEXREPLACE(C1123,""[ ,]+"",""_""),"".mp3"")"),"mechanic.mp3")</f>
        <v>mechanic.mp3</v>
      </c>
      <c r="M1123" s="4" t="s">
        <v>10</v>
      </c>
    </row>
    <row r="1124" ht="15.75" customHeight="1">
      <c r="A1124" s="1">
        <v>2492.0</v>
      </c>
      <c r="B1124" s="3">
        <v>150.0</v>
      </c>
      <c r="C1124" s="7" t="s">
        <v>1141</v>
      </c>
      <c r="D1124" s="8" t="str">
        <f>IFERROR(__xludf.DUMMYFUNCTION("GOOGLETRANSLATE(C1124, ""en"", ""pt"")"),"soldador")</f>
        <v>soldador</v>
      </c>
      <c r="E1124" s="8" t="str">
        <f>IFERROR(__xludf.DUMMYFUNCTION("GOOGLETRANSLATE(C1124, ""en"", ""es"")"),"soldador")</f>
        <v>soldador</v>
      </c>
      <c r="F1124" s="8" t="str">
        <f>IFERROR(__xludf.DUMMYFUNCTION("GOOGLETRANSLATE(C1124, ""en"", ""fr"")"),"soudeur")</f>
        <v>soudeur</v>
      </c>
      <c r="G1124" s="8" t="str">
        <f>IFERROR(__xludf.DUMMYFUNCTION("GOOGLETRANSLATE(C1124, ""en"", ""de"")"),"Schweißer")</f>
        <v>Schweißer</v>
      </c>
      <c r="H1124" s="8" t="str">
        <f>IFERROR(__xludf.DUMMYFUNCTION("GOOGLETRANSLATE(C1124, ""en"", ""ru"")"),"сварщик")</f>
        <v>сварщик</v>
      </c>
      <c r="I1124" s="8" t="str">
        <f>IFERROR(__xludf.DUMMYFUNCTION("GOOGLETRANSLATE(C1124, ""en"", ""ar"")"),"لحام")</f>
        <v>لحام</v>
      </c>
      <c r="J1124" s="8"/>
      <c r="K1124" s="7" t="str">
        <f>IFERROR(__xludf.DUMMYFUNCTION("CONCAT(REGEXREPLACE(C1124,""[ ,]+"",""_""),"".mp3"")"),"welder.mp3")</f>
        <v>welder.mp3</v>
      </c>
      <c r="M1124" s="4" t="s">
        <v>10</v>
      </c>
    </row>
    <row r="1125" ht="15.75" customHeight="1">
      <c r="A1125" s="1">
        <v>2493.0</v>
      </c>
      <c r="B1125" s="3">
        <v>150.0</v>
      </c>
      <c r="C1125" s="7" t="s">
        <v>1142</v>
      </c>
      <c r="D1125" s="8" t="str">
        <f>IFERROR(__xludf.DUMMYFUNCTION("GOOGLETRANSLATE(C1125, ""en"", ""pt"")"),"pedreiro")</f>
        <v>pedreiro</v>
      </c>
      <c r="E1125" s="8" t="str">
        <f>IFERROR(__xludf.DUMMYFUNCTION("GOOGLETRANSLATE(C1125, ""en"", ""es"")"),"albañil")</f>
        <v>albañil</v>
      </c>
      <c r="F1125" s="8" t="str">
        <f>IFERROR(__xludf.DUMMYFUNCTION("GOOGLETRANSLATE(C1125, ""en"", ""fr"")"),"maçon")</f>
        <v>maçon</v>
      </c>
      <c r="G1125" s="8" t="str">
        <f>IFERROR(__xludf.DUMMYFUNCTION("GOOGLETRANSLATE(C1125, ""en"", ""de"")"),"Maurer")</f>
        <v>Maurer</v>
      </c>
      <c r="H1125" s="8" t="str">
        <f>IFERROR(__xludf.DUMMYFUNCTION("GOOGLETRANSLATE(C1125, ""en"", ""ru"")"),"каменщик")</f>
        <v>каменщик</v>
      </c>
      <c r="I1125" s="8" t="str">
        <f>IFERROR(__xludf.DUMMYFUNCTION("GOOGLETRANSLATE(C1125, ""en"", ""ar"")"),"عامل بناء")</f>
        <v>عامل بناء</v>
      </c>
      <c r="J1125" s="8"/>
      <c r="K1125" s="7" t="str">
        <f>IFERROR(__xludf.DUMMYFUNCTION("CONCAT(REGEXREPLACE(C1125,""[ ,]+"",""_""),"".mp3"")"),"bricklayer.mp3")</f>
        <v>bricklayer.mp3</v>
      </c>
      <c r="M1125" s="4" t="s">
        <v>10</v>
      </c>
    </row>
    <row r="1126" ht="15.75" customHeight="1">
      <c r="A1126" s="1">
        <v>2494.0</v>
      </c>
      <c r="B1126" s="3">
        <v>150.0</v>
      </c>
      <c r="C1126" s="7" t="s">
        <v>1143</v>
      </c>
      <c r="D1126" s="8" t="str">
        <f>IFERROR(__xludf.DUMMYFUNCTION("GOOGLETRANSLATE(C1126, ""en"", ""pt"")"),"pedreiro")</f>
        <v>pedreiro</v>
      </c>
      <c r="E1126" s="8" t="str">
        <f>IFERROR(__xludf.DUMMYFUNCTION("GOOGLETRANSLATE(C1126, ""en"", ""es"")"),"masón")</f>
        <v>masón</v>
      </c>
      <c r="F1126" s="8" t="str">
        <f>IFERROR(__xludf.DUMMYFUNCTION("GOOGLETRANSLATE(C1126, ""en"", ""fr"")"),"maçon")</f>
        <v>maçon</v>
      </c>
      <c r="G1126" s="8" t="str">
        <f>IFERROR(__xludf.DUMMYFUNCTION("GOOGLETRANSLATE(C1126, ""en"", ""de"")"),"Mason")</f>
        <v>Mason</v>
      </c>
      <c r="H1126" s="8" t="str">
        <f>IFERROR(__xludf.DUMMYFUNCTION("GOOGLETRANSLATE(C1126, ""en"", ""ru"")"),"каменщик")</f>
        <v>каменщик</v>
      </c>
      <c r="I1126" s="8" t="str">
        <f>IFERROR(__xludf.DUMMYFUNCTION("GOOGLETRANSLATE(C1126, ""en"", ""ar"")"),"ماسون")</f>
        <v>ماسون</v>
      </c>
      <c r="J1126" s="8"/>
      <c r="K1126" s="7" t="str">
        <f>IFERROR(__xludf.DUMMYFUNCTION("CONCAT(REGEXREPLACE(C1126,""[ ,]+"",""_""),"".mp3"")"),"mason.mp3")</f>
        <v>mason.mp3</v>
      </c>
      <c r="M1126" s="4" t="s">
        <v>10</v>
      </c>
    </row>
    <row r="1127" ht="15.75" customHeight="1">
      <c r="A1127" s="1">
        <v>2495.0</v>
      </c>
      <c r="B1127" s="3">
        <v>150.0</v>
      </c>
      <c r="C1127" s="7" t="s">
        <v>1144</v>
      </c>
      <c r="D1127" s="8" t="str">
        <f>IFERROR(__xludf.DUMMYFUNCTION("GOOGLETRANSLATE(C1127, ""en"", ""pt"")"),"telhador")</f>
        <v>telhador</v>
      </c>
      <c r="E1127" s="8" t="str">
        <f>IFERROR(__xludf.DUMMYFUNCTION("GOOGLETRANSLATE(C1127, ""en"", ""es"")"),"techador")</f>
        <v>techador</v>
      </c>
      <c r="F1127" s="8" t="str">
        <f>IFERROR(__xludf.DUMMYFUNCTION("GOOGLETRANSLATE(C1127, ""en"", ""fr"")"),"couvreur")</f>
        <v>couvreur</v>
      </c>
      <c r="G1127" s="8" t="str">
        <f>IFERROR(__xludf.DUMMYFUNCTION("GOOGLETRANSLATE(C1127, ""en"", ""de"")"),"Dachdecker")</f>
        <v>Dachdecker</v>
      </c>
      <c r="H1127" s="8" t="str">
        <f>IFERROR(__xludf.DUMMYFUNCTION("GOOGLETRANSLATE(C1127, ""en"", ""ru"")"),"кровельщик")</f>
        <v>кровельщик</v>
      </c>
      <c r="I1127" s="8" t="str">
        <f>IFERROR(__xludf.DUMMYFUNCTION("GOOGLETRANSLATE(C1127, ""en"", ""ar"")"),"عامل تركيب أسطح")</f>
        <v>عامل تركيب أسطح</v>
      </c>
      <c r="J1127" s="8"/>
      <c r="K1127" s="7" t="str">
        <f>IFERROR(__xludf.DUMMYFUNCTION("CONCAT(REGEXREPLACE(C1127,""[ ,]+"",""_""),"".mp3"")"),"roofer.mp3")</f>
        <v>roofer.mp3</v>
      </c>
      <c r="M1127" s="4" t="s">
        <v>10</v>
      </c>
    </row>
    <row r="1128" ht="15.75" customHeight="1">
      <c r="A1128" s="1">
        <v>2496.0</v>
      </c>
      <c r="B1128" s="3">
        <v>150.0</v>
      </c>
      <c r="C1128" s="7" t="s">
        <v>1145</v>
      </c>
      <c r="D1128" s="8" t="str">
        <f>IFERROR(__xludf.DUMMYFUNCTION("GOOGLETRANSLATE(C1128, ""en"", ""pt"")"),"pintor")</f>
        <v>pintor</v>
      </c>
      <c r="E1128" s="8" t="str">
        <f>IFERROR(__xludf.DUMMYFUNCTION("GOOGLETRANSLATE(C1128, ""en"", ""es"")"),"pintor")</f>
        <v>pintor</v>
      </c>
      <c r="F1128" s="8" t="str">
        <f>IFERROR(__xludf.DUMMYFUNCTION("GOOGLETRANSLATE(C1128, ""en"", ""fr"")"),"peintre")</f>
        <v>peintre</v>
      </c>
      <c r="G1128" s="8" t="str">
        <f>IFERROR(__xludf.DUMMYFUNCTION("GOOGLETRANSLATE(C1128, ""en"", ""de"")"),"Maler")</f>
        <v>Maler</v>
      </c>
      <c r="H1128" s="8" t="str">
        <f>IFERROR(__xludf.DUMMYFUNCTION("GOOGLETRANSLATE(C1128, ""en"", ""ru"")"),"художник")</f>
        <v>художник</v>
      </c>
      <c r="I1128" s="8" t="str">
        <f>IFERROR(__xludf.DUMMYFUNCTION("GOOGLETRANSLATE(C1128, ""en"", ""ar"")"),"رسام")</f>
        <v>رسام</v>
      </c>
      <c r="J1128" s="8"/>
      <c r="K1128" s="7" t="str">
        <f>IFERROR(__xludf.DUMMYFUNCTION("CONCAT(REGEXREPLACE(C1128,""[ ,]+"",""_""),"".mp3"")"),"painter.mp3")</f>
        <v>painter.mp3</v>
      </c>
      <c r="M1128" s="4" t="s">
        <v>10</v>
      </c>
    </row>
    <row r="1129" ht="15.75" customHeight="1">
      <c r="A1129" s="1">
        <v>2497.0</v>
      </c>
      <c r="B1129" s="3">
        <v>150.0</v>
      </c>
      <c r="C1129" s="7" t="s">
        <v>1146</v>
      </c>
      <c r="D1129" s="8" t="str">
        <f>IFERROR(__xludf.DUMMYFUNCTION("GOOGLETRANSLATE(C1129, ""en"", ""pt"")"),"ladrilheiro")</f>
        <v>ladrilheiro</v>
      </c>
      <c r="E1129" s="8" t="str">
        <f>IFERROR(__xludf.DUMMYFUNCTION("GOOGLETRANSLATE(C1129, ""en"", ""es"")"),"alicatador")</f>
        <v>alicatador</v>
      </c>
      <c r="F1129" s="8" t="str">
        <f>IFERROR(__xludf.DUMMYFUNCTION("GOOGLETRANSLATE(C1129, ""en"", ""fr"")"),"carreleur")</f>
        <v>carreleur</v>
      </c>
      <c r="G1129" s="8" t="str">
        <f>IFERROR(__xludf.DUMMYFUNCTION("GOOGLETRANSLATE(C1129, ""en"", ""de"")"),"Fliesenleger")</f>
        <v>Fliesenleger</v>
      </c>
      <c r="H1129" s="8" t="str">
        <f>IFERROR(__xludf.DUMMYFUNCTION("GOOGLETRANSLATE(C1129, ""en"", ""ru"")"),"плиточник")</f>
        <v>плиточник</v>
      </c>
      <c r="I1129" s="8" t="str">
        <f>IFERROR(__xludf.DUMMYFUNCTION("GOOGLETRANSLATE(C1129, ""en"", ""ar"")"),"صانع القراميد")</f>
        <v>صانع القراميد</v>
      </c>
      <c r="J1129" s="8"/>
      <c r="K1129" s="7" t="str">
        <f>IFERROR(__xludf.DUMMYFUNCTION("CONCAT(REGEXREPLACE(C1129,""[ ,]+"",""_""),"".mp3"")"),"tiler.mp3")</f>
        <v>tiler.mp3</v>
      </c>
      <c r="M1129" s="4" t="s">
        <v>10</v>
      </c>
    </row>
    <row r="1130" ht="15.75" customHeight="1">
      <c r="A1130" s="1">
        <v>2498.0</v>
      </c>
      <c r="B1130" s="3">
        <v>150.0</v>
      </c>
      <c r="C1130" s="7" t="s">
        <v>1147</v>
      </c>
      <c r="D1130" s="8" t="str">
        <f>IFERROR(__xludf.DUMMYFUNCTION("GOOGLETRANSLATE(C1130, ""en"", ""pt"")"),"serralheiro")</f>
        <v>serralheiro</v>
      </c>
      <c r="E1130" s="8" t="str">
        <f>IFERROR(__xludf.DUMMYFUNCTION("GOOGLETRANSLATE(C1130, ""en"", ""es"")"),"cerrajero")</f>
        <v>cerrajero</v>
      </c>
      <c r="F1130" s="8" t="str">
        <f>IFERROR(__xludf.DUMMYFUNCTION("GOOGLETRANSLATE(C1130, ""en"", ""fr"")"),"serrurier")</f>
        <v>serrurier</v>
      </c>
      <c r="G1130" s="8" t="str">
        <f>IFERROR(__xludf.DUMMYFUNCTION("GOOGLETRANSLATE(C1130, ""en"", ""de"")"),"Schlosser")</f>
        <v>Schlosser</v>
      </c>
      <c r="H1130" s="8" t="str">
        <f>IFERROR(__xludf.DUMMYFUNCTION("GOOGLETRANSLATE(C1130, ""en"", ""ru"")"),"слесарь")</f>
        <v>слесарь</v>
      </c>
      <c r="I1130" s="8" t="str">
        <f>IFERROR(__xludf.DUMMYFUNCTION("GOOGLETRANSLATE(C1130, ""en"", ""ar"")"),"قفال")</f>
        <v>قفال</v>
      </c>
      <c r="J1130" s="8"/>
      <c r="K1130" s="7" t="str">
        <f>IFERROR(__xludf.DUMMYFUNCTION("CONCAT(REGEXREPLACE(C1130,""[ ,]+"",""_""),"".mp3"")"),"locksmith.mp3")</f>
        <v>locksmith.mp3</v>
      </c>
      <c r="M1130" s="4" t="s">
        <v>10</v>
      </c>
    </row>
    <row r="1131" ht="15.75" customHeight="1">
      <c r="A1131" s="1">
        <v>2499.0</v>
      </c>
      <c r="B1131" s="3">
        <v>150.0</v>
      </c>
      <c r="C1131" s="7" t="s">
        <v>1148</v>
      </c>
      <c r="D1131" s="8" t="str">
        <f>IFERROR(__xludf.DUMMYFUNCTION("GOOGLETRANSLATE(C1131, ""en"", ""pt"")"),"técnico")</f>
        <v>técnico</v>
      </c>
      <c r="E1131" s="8" t="str">
        <f>IFERROR(__xludf.DUMMYFUNCTION("GOOGLETRANSLATE(C1131, ""en"", ""es"")"),"técnico")</f>
        <v>técnico</v>
      </c>
      <c r="F1131" s="8" t="str">
        <f>IFERROR(__xludf.DUMMYFUNCTION("GOOGLETRANSLATE(C1131, ""en"", ""fr"")"),"technicien")</f>
        <v>technicien</v>
      </c>
      <c r="G1131" s="8" t="str">
        <f>IFERROR(__xludf.DUMMYFUNCTION("GOOGLETRANSLATE(C1131, ""en"", ""de"")"),"Techniker")</f>
        <v>Techniker</v>
      </c>
      <c r="H1131" s="8" t="str">
        <f>IFERROR(__xludf.DUMMYFUNCTION("GOOGLETRANSLATE(C1131, ""en"", ""ru"")"),"техник")</f>
        <v>техник</v>
      </c>
      <c r="I1131" s="8" t="str">
        <f>IFERROR(__xludf.DUMMYFUNCTION("GOOGLETRANSLATE(C1131, ""en"", ""ar"")"),"فني")</f>
        <v>فني</v>
      </c>
      <c r="J1131" s="8"/>
      <c r="K1131" s="7" t="str">
        <f>IFERROR(__xludf.DUMMYFUNCTION("CONCAT(REGEXREPLACE(C1131,""[ ,]+"",""_""),"".mp3"")"),"technician.mp3")</f>
        <v>technician.mp3</v>
      </c>
      <c r="M1131" s="4" t="s">
        <v>10</v>
      </c>
    </row>
    <row r="1132" ht="15.75" customHeight="1">
      <c r="A1132" s="1">
        <v>2500.0</v>
      </c>
      <c r="B1132" s="3">
        <v>150.0</v>
      </c>
      <c r="C1132" s="7" t="s">
        <v>1149</v>
      </c>
      <c r="D1132" s="8" t="str">
        <f>IFERROR(__xludf.DUMMYFUNCTION("GOOGLETRANSLATE(C1132, ""en"", ""pt"")"),"reparador")</f>
        <v>reparador</v>
      </c>
      <c r="E1132" s="8" t="str">
        <f>IFERROR(__xludf.DUMMYFUNCTION("GOOGLETRANSLATE(C1132, ""en"", ""es"")"),"reparador")</f>
        <v>reparador</v>
      </c>
      <c r="F1132" s="8" t="str">
        <f>IFERROR(__xludf.DUMMYFUNCTION("GOOGLETRANSLATE(C1132, ""en"", ""fr"")"),"dépanneur")</f>
        <v>dépanneur</v>
      </c>
      <c r="G1132" s="8" t="str">
        <f>IFERROR(__xludf.DUMMYFUNCTION("GOOGLETRANSLATE(C1132, ""en"", ""de"")"),"Handwerker")</f>
        <v>Handwerker</v>
      </c>
      <c r="H1132" s="8" t="str">
        <f>IFERROR(__xludf.DUMMYFUNCTION("GOOGLETRANSLATE(C1132, ""en"", ""ru"")"),"ремонтник")</f>
        <v>ремонтник</v>
      </c>
      <c r="I1132" s="8" t="str">
        <f>IFERROR(__xludf.DUMMYFUNCTION("GOOGLETRANSLATE(C1132, ""en"", ""ar"")"),"فني صيانة")</f>
        <v>فني صيانة</v>
      </c>
      <c r="J1132" s="8"/>
      <c r="K1132" s="7" t="str">
        <f>IFERROR(__xludf.DUMMYFUNCTION("CONCAT(REGEXREPLACE(C1132,""[ ,]+"",""_""),"".mp3"")"),"repairman.mp3")</f>
        <v>repairman.mp3</v>
      </c>
      <c r="M1132" s="4" t="s">
        <v>10</v>
      </c>
    </row>
    <row r="1133" ht="15.75" customHeight="1">
      <c r="A1133" s="1">
        <v>2501.0</v>
      </c>
      <c r="B1133" s="3">
        <v>150.0</v>
      </c>
      <c r="C1133" s="7" t="s">
        <v>1150</v>
      </c>
      <c r="D1133" s="8" t="str">
        <f>IFERROR(__xludf.DUMMYFUNCTION("GOOGLETRANSLATE(C1133, ""en"", ""pt"")"),"operário da construção civil")</f>
        <v>operário da construção civil</v>
      </c>
      <c r="E1133" s="8" t="str">
        <f>IFERROR(__xludf.DUMMYFUNCTION("GOOGLETRANSLATE(C1133, ""en"", ""es"")"),"trabajador de la construcción")</f>
        <v>trabajador de la construcción</v>
      </c>
      <c r="F1133" s="8" t="str">
        <f>IFERROR(__xludf.DUMMYFUNCTION("GOOGLETRANSLATE(C1133, ""en"", ""fr"")"),"ouvrier du bâtiment")</f>
        <v>ouvrier du bâtiment</v>
      </c>
      <c r="G1133" s="8" t="str">
        <f>IFERROR(__xludf.DUMMYFUNCTION("GOOGLETRANSLATE(C1133, ""en"", ""de"")"),"Bauarbeiter")</f>
        <v>Bauarbeiter</v>
      </c>
      <c r="H1133" s="8" t="str">
        <f>IFERROR(__xludf.DUMMYFUNCTION("GOOGLETRANSLATE(C1133, ""en"", ""ru"")"),"строительный рабочий")</f>
        <v>строительный рабочий</v>
      </c>
      <c r="I1133" s="8" t="str">
        <f>IFERROR(__xludf.DUMMYFUNCTION("GOOGLETRANSLATE(C1133, ""en"", ""ar"")"),"عامل بناء")</f>
        <v>عامل بناء</v>
      </c>
      <c r="J1133" s="8"/>
      <c r="K1133" s="7" t="str">
        <f>IFERROR(__xludf.DUMMYFUNCTION("CONCAT(REGEXREPLACE(C1133,""[ ,]+"",""_""),"".mp3"")"),"construction_worker.mp3")</f>
        <v>construction_worker.mp3</v>
      </c>
      <c r="M1133" s="4" t="s">
        <v>10</v>
      </c>
    </row>
    <row r="1134" ht="15.75" customHeight="1">
      <c r="A1134" s="1">
        <v>2502.0</v>
      </c>
      <c r="B1134" s="3">
        <v>150.0</v>
      </c>
      <c r="C1134" s="7" t="s">
        <v>1151</v>
      </c>
      <c r="D1134" s="8" t="str">
        <f>IFERROR(__xludf.DUMMYFUNCTION("GOOGLETRANSLATE(C1134, ""en"", ""pt"")"),"engenheiro")</f>
        <v>engenheiro</v>
      </c>
      <c r="E1134" s="8" t="str">
        <f>IFERROR(__xludf.DUMMYFUNCTION("GOOGLETRANSLATE(C1134, ""en"", ""es"")"),"ingeniero")</f>
        <v>ingeniero</v>
      </c>
      <c r="F1134" s="8" t="str">
        <f>IFERROR(__xludf.DUMMYFUNCTION("GOOGLETRANSLATE(C1134, ""en"", ""fr"")"),"ingénieur")</f>
        <v>ingénieur</v>
      </c>
      <c r="G1134" s="8" t="str">
        <f>IFERROR(__xludf.DUMMYFUNCTION("GOOGLETRANSLATE(C1134, ""en"", ""de"")"),"Ingenieur")</f>
        <v>Ingenieur</v>
      </c>
      <c r="H1134" s="8" t="str">
        <f>IFERROR(__xludf.DUMMYFUNCTION("GOOGLETRANSLATE(C1134, ""en"", ""ru"")"),"инженер")</f>
        <v>инженер</v>
      </c>
      <c r="I1134" s="8" t="str">
        <f>IFERROR(__xludf.DUMMYFUNCTION("GOOGLETRANSLATE(C1134, ""en"", ""ar"")"),"مهندس")</f>
        <v>مهندس</v>
      </c>
      <c r="J1134" s="8"/>
      <c r="K1134" s="7" t="str">
        <f>IFERROR(__xludf.DUMMYFUNCTION("CONCAT(REGEXREPLACE(C1134,""[ ,]+"",""_""),"".mp3"")"),"engineer.mp3")</f>
        <v>engineer.mp3</v>
      </c>
      <c r="M1134" s="4" t="s">
        <v>10</v>
      </c>
    </row>
    <row r="1135" ht="15.75" customHeight="1">
      <c r="A1135" s="1">
        <v>2503.0</v>
      </c>
      <c r="B1135" s="3">
        <v>150.0</v>
      </c>
      <c r="C1135" s="7" t="s">
        <v>1152</v>
      </c>
      <c r="D1135" s="8" t="str">
        <f>IFERROR(__xludf.DUMMYFUNCTION("GOOGLETRANSLATE(C1135, ""en"", ""pt"")"),"engenheiro civil")</f>
        <v>engenheiro civil</v>
      </c>
      <c r="E1135" s="8" t="str">
        <f>IFERROR(__xludf.DUMMYFUNCTION("GOOGLETRANSLATE(C1135, ""en"", ""es"")"),"ingeniero civil")</f>
        <v>ingeniero civil</v>
      </c>
      <c r="F1135" s="8" t="str">
        <f>IFERROR(__xludf.DUMMYFUNCTION("GOOGLETRANSLATE(C1135, ""en"", ""fr"")"),"ingénieur civil")</f>
        <v>ingénieur civil</v>
      </c>
      <c r="G1135" s="8" t="str">
        <f>IFERROR(__xludf.DUMMYFUNCTION("GOOGLETRANSLATE(C1135, ""en"", ""de"")"),"Bauingenieur")</f>
        <v>Bauingenieur</v>
      </c>
      <c r="H1135" s="8" t="str">
        <f>IFERROR(__xludf.DUMMYFUNCTION("GOOGLETRANSLATE(C1135, ""en"", ""ru"")"),"инженер-строитель")</f>
        <v>инженер-строитель</v>
      </c>
      <c r="I1135" s="8" t="str">
        <f>IFERROR(__xludf.DUMMYFUNCTION("GOOGLETRANSLATE(C1135, ""en"", ""ar"")"),"مهندس مدني")</f>
        <v>مهندس مدني</v>
      </c>
      <c r="J1135" s="8"/>
      <c r="K1135" s="7" t="str">
        <f>IFERROR(__xludf.DUMMYFUNCTION("CONCAT(REGEXREPLACE(C1135,""[ ,]+"",""_""),"".mp3"")"),"civil_engineer.mp3")</f>
        <v>civil_engineer.mp3</v>
      </c>
      <c r="M1135" s="4" t="s">
        <v>10</v>
      </c>
    </row>
    <row r="1136" ht="15.75" customHeight="1">
      <c r="A1136" s="1">
        <v>2504.0</v>
      </c>
      <c r="B1136" s="3">
        <v>150.0</v>
      </c>
      <c r="C1136" s="7" t="s">
        <v>1153</v>
      </c>
      <c r="D1136" s="8" t="str">
        <f>IFERROR(__xludf.DUMMYFUNCTION("GOOGLETRANSLATE(C1136, ""en"", ""pt"")"),"engenheiro mecânico")</f>
        <v>engenheiro mecânico</v>
      </c>
      <c r="E1136" s="8" t="str">
        <f>IFERROR(__xludf.DUMMYFUNCTION("GOOGLETRANSLATE(C1136, ""en"", ""es"")"),"ingeniero mecánico")</f>
        <v>ingeniero mecánico</v>
      </c>
      <c r="F1136" s="8" t="str">
        <f>IFERROR(__xludf.DUMMYFUNCTION("GOOGLETRANSLATE(C1136, ""en"", ""fr"")"),"ingénieur mécanicien")</f>
        <v>ingénieur mécanicien</v>
      </c>
      <c r="G1136" s="8" t="str">
        <f>IFERROR(__xludf.DUMMYFUNCTION("GOOGLETRANSLATE(C1136, ""en"", ""de"")"),"Maschinenbauingenieur")</f>
        <v>Maschinenbauingenieur</v>
      </c>
      <c r="H1136" s="8" t="str">
        <f>IFERROR(__xludf.DUMMYFUNCTION("GOOGLETRANSLATE(C1136, ""en"", ""ru"")"),"инженер-механик")</f>
        <v>инженер-механик</v>
      </c>
      <c r="I1136" s="8" t="str">
        <f>IFERROR(__xludf.DUMMYFUNCTION("GOOGLETRANSLATE(C1136, ""en"", ""ar"")"),"مهندس ميكانيكي")</f>
        <v>مهندس ميكانيكي</v>
      </c>
      <c r="J1136" s="8"/>
      <c r="K1136" s="7" t="str">
        <f>IFERROR(__xludf.DUMMYFUNCTION("CONCAT(REGEXREPLACE(C1136,""[ ,]+"",""_""),"".mp3"")"),"mechanical_engineer.mp3")</f>
        <v>mechanical_engineer.mp3</v>
      </c>
      <c r="M1136" s="4" t="s">
        <v>10</v>
      </c>
    </row>
    <row r="1137" ht="15.75" customHeight="1">
      <c r="A1137" s="1">
        <v>2505.0</v>
      </c>
      <c r="B1137" s="3">
        <v>150.0</v>
      </c>
      <c r="C1137" s="7" t="s">
        <v>1154</v>
      </c>
      <c r="D1137" s="8" t="str">
        <f>IFERROR(__xludf.DUMMYFUNCTION("GOOGLETRANSLATE(C1137, ""en"", ""pt"")"),"engenheiro eletricista")</f>
        <v>engenheiro eletricista</v>
      </c>
      <c r="E1137" s="8" t="str">
        <f>IFERROR(__xludf.DUMMYFUNCTION("GOOGLETRANSLATE(C1137, ""en"", ""es"")"),"ingeniero eléctrico")</f>
        <v>ingeniero eléctrico</v>
      </c>
      <c r="F1137" s="8" t="str">
        <f>IFERROR(__xludf.DUMMYFUNCTION("GOOGLETRANSLATE(C1137, ""en"", ""fr"")"),"ingénieur électricien")</f>
        <v>ingénieur électricien</v>
      </c>
      <c r="G1137" s="8" t="str">
        <f>IFERROR(__xludf.DUMMYFUNCTION("GOOGLETRANSLATE(C1137, ""en"", ""de"")"),"Elektroingenieur")</f>
        <v>Elektroingenieur</v>
      </c>
      <c r="H1137" s="8" t="str">
        <f>IFERROR(__xludf.DUMMYFUNCTION("GOOGLETRANSLATE(C1137, ""en"", ""ru"")"),"инженер-электрик")</f>
        <v>инженер-электрик</v>
      </c>
      <c r="I1137" s="8" t="str">
        <f>IFERROR(__xludf.DUMMYFUNCTION("GOOGLETRANSLATE(C1137, ""en"", ""ar"")"),"مهندس كهربائي")</f>
        <v>مهندس كهربائي</v>
      </c>
      <c r="J1137" s="8"/>
      <c r="K1137" s="7" t="str">
        <f>IFERROR(__xludf.DUMMYFUNCTION("CONCAT(REGEXREPLACE(C1137,""[ ,]+"",""_""),"".mp3"")"),"electrical_engineer.mp3")</f>
        <v>electrical_engineer.mp3</v>
      </c>
      <c r="M1137" s="4" t="s">
        <v>10</v>
      </c>
    </row>
    <row r="1138" ht="15.75" customHeight="1">
      <c r="A1138" s="1">
        <v>2506.0</v>
      </c>
      <c r="B1138" s="3">
        <v>150.0</v>
      </c>
      <c r="C1138" s="7" t="s">
        <v>1155</v>
      </c>
      <c r="D1138" s="8" t="str">
        <f>IFERROR(__xludf.DUMMYFUNCTION("GOOGLETRANSLATE(C1138, ""en"", ""pt"")"),"engenheiro químico")</f>
        <v>engenheiro químico</v>
      </c>
      <c r="E1138" s="8" t="str">
        <f>IFERROR(__xludf.DUMMYFUNCTION("GOOGLETRANSLATE(C1138, ""en"", ""es"")"),"ingeniero químico")</f>
        <v>ingeniero químico</v>
      </c>
      <c r="F1138" s="8" t="str">
        <f>IFERROR(__xludf.DUMMYFUNCTION("GOOGLETRANSLATE(C1138, ""en"", ""fr"")"),"ingénieur chimiste")</f>
        <v>ingénieur chimiste</v>
      </c>
      <c r="G1138" s="8" t="str">
        <f>IFERROR(__xludf.DUMMYFUNCTION("GOOGLETRANSLATE(C1138, ""en"", ""de"")"),"Chemieingenieur")</f>
        <v>Chemieingenieur</v>
      </c>
      <c r="H1138" s="8" t="str">
        <f>IFERROR(__xludf.DUMMYFUNCTION("GOOGLETRANSLATE(C1138, ""en"", ""ru"")"),"инженер-химик")</f>
        <v>инженер-химик</v>
      </c>
      <c r="I1138" s="8" t="str">
        <f>IFERROR(__xludf.DUMMYFUNCTION("GOOGLETRANSLATE(C1138, ""en"", ""ar"")"),"مهندس كيميائي")</f>
        <v>مهندس كيميائي</v>
      </c>
      <c r="J1138" s="8"/>
      <c r="K1138" s="7" t="str">
        <f>IFERROR(__xludf.DUMMYFUNCTION("CONCAT(REGEXREPLACE(C1138,""[ ,]+"",""_""),"".mp3"")"),"chemical_engineer.mp3")</f>
        <v>chemical_engineer.mp3</v>
      </c>
      <c r="M1138" s="4" t="s">
        <v>10</v>
      </c>
    </row>
    <row r="1139" ht="15.75" customHeight="1">
      <c r="A1139" s="1">
        <v>2507.0</v>
      </c>
      <c r="B1139" s="3">
        <v>150.0</v>
      </c>
      <c r="C1139" s="7" t="s">
        <v>1156</v>
      </c>
      <c r="D1139" s="8" t="str">
        <f>IFERROR(__xludf.DUMMYFUNCTION("GOOGLETRANSLATE(C1139, ""en"", ""pt"")"),"engenheiro industrial")</f>
        <v>engenheiro industrial</v>
      </c>
      <c r="E1139" s="8" t="str">
        <f>IFERROR(__xludf.DUMMYFUNCTION("GOOGLETRANSLATE(C1139, ""en"", ""es"")"),"ingeniero industrial")</f>
        <v>ingeniero industrial</v>
      </c>
      <c r="F1139" s="8" t="str">
        <f>IFERROR(__xludf.DUMMYFUNCTION("GOOGLETRANSLATE(C1139, ""en"", ""fr"")"),"ingénieur industriel")</f>
        <v>ingénieur industriel</v>
      </c>
      <c r="G1139" s="8" t="str">
        <f>IFERROR(__xludf.DUMMYFUNCTION("GOOGLETRANSLATE(C1139, ""en"", ""de"")"),"Wirtschaftsingenieur")</f>
        <v>Wirtschaftsingenieur</v>
      </c>
      <c r="H1139" s="8" t="str">
        <f>IFERROR(__xludf.DUMMYFUNCTION("GOOGLETRANSLATE(C1139, ""en"", ""ru"")"),"инженер-технолог")</f>
        <v>инженер-технолог</v>
      </c>
      <c r="I1139" s="8" t="str">
        <f>IFERROR(__xludf.DUMMYFUNCTION("GOOGLETRANSLATE(C1139, ""en"", ""ar"")"),"مهندس صناعي")</f>
        <v>مهندس صناعي</v>
      </c>
      <c r="J1139" s="8"/>
      <c r="K1139" s="7" t="str">
        <f>IFERROR(__xludf.DUMMYFUNCTION("CONCAT(REGEXREPLACE(C1139,""[ ,]+"",""_""),"".mp3"")"),"industrial_engineer.mp3")</f>
        <v>industrial_engineer.mp3</v>
      </c>
      <c r="M1139" s="4" t="s">
        <v>10</v>
      </c>
    </row>
    <row r="1140" ht="15.75" customHeight="1">
      <c r="A1140" s="1">
        <v>2508.0</v>
      </c>
      <c r="B1140" s="3">
        <v>150.0</v>
      </c>
      <c r="C1140" s="7" t="s">
        <v>1157</v>
      </c>
      <c r="D1140" s="8" t="str">
        <f>IFERROR(__xludf.DUMMYFUNCTION("GOOGLETRANSLATE(C1140, ""en"", ""pt"")"),"operário de fábrica")</f>
        <v>operário de fábrica</v>
      </c>
      <c r="E1140" s="8" t="str">
        <f>IFERROR(__xludf.DUMMYFUNCTION("GOOGLETRANSLATE(C1140, ""en"", ""es"")"),"trabajador de fábrica")</f>
        <v>trabajador de fábrica</v>
      </c>
      <c r="F1140" s="8" t="str">
        <f>IFERROR(__xludf.DUMMYFUNCTION("GOOGLETRANSLATE(C1140, ""en"", ""fr"")"),"ouvrier d'usine")</f>
        <v>ouvrier d'usine</v>
      </c>
      <c r="G1140" s="8" t="str">
        <f>IFERROR(__xludf.DUMMYFUNCTION("GOOGLETRANSLATE(C1140, ""en"", ""de"")"),"Fabrikarbeiter")</f>
        <v>Fabrikarbeiter</v>
      </c>
      <c r="H1140" s="8" t="str">
        <f>IFERROR(__xludf.DUMMYFUNCTION("GOOGLETRANSLATE(C1140, ""en"", ""ru"")"),"рабочий завода")</f>
        <v>рабочий завода</v>
      </c>
      <c r="I1140" s="8" t="str">
        <f>IFERROR(__xludf.DUMMYFUNCTION("GOOGLETRANSLATE(C1140, ""en"", ""ar"")"),"عامل مصنع")</f>
        <v>عامل مصنع</v>
      </c>
      <c r="J1140" s="8"/>
      <c r="K1140" s="7" t="str">
        <f>IFERROR(__xludf.DUMMYFUNCTION("CONCAT(REGEXREPLACE(C1140,""[ ,]+"",""_""),"".mp3"")"),"factory_worker.mp3")</f>
        <v>factory_worker.mp3</v>
      </c>
      <c r="M1140" s="4" t="s">
        <v>10</v>
      </c>
    </row>
    <row r="1141" ht="15.75" customHeight="1">
      <c r="A1141" s="1">
        <v>2509.0</v>
      </c>
      <c r="B1141" s="3">
        <v>150.0</v>
      </c>
      <c r="C1141" s="7" t="s">
        <v>1158</v>
      </c>
      <c r="D1141" s="8" t="str">
        <f>IFERROR(__xludf.DUMMYFUNCTION("GOOGLETRANSLATE(C1141, ""en"", ""pt"")"),"operador de máquina")</f>
        <v>operador de máquina</v>
      </c>
      <c r="E1141" s="8" t="str">
        <f>IFERROR(__xludf.DUMMYFUNCTION("GOOGLETRANSLATE(C1141, ""en"", ""es"")"),"maquinista")</f>
        <v>maquinista</v>
      </c>
      <c r="F1141" s="8" t="str">
        <f>IFERROR(__xludf.DUMMYFUNCTION("GOOGLETRANSLATE(C1141, ""en"", ""fr"")"),"opérateur de machine")</f>
        <v>opérateur de machine</v>
      </c>
      <c r="G1141" s="8" t="str">
        <f>IFERROR(__xludf.DUMMYFUNCTION("GOOGLETRANSLATE(C1141, ""en"", ""de"")"),"Maschinenbediener")</f>
        <v>Maschinenbediener</v>
      </c>
      <c r="H1141" s="8" t="str">
        <f>IFERROR(__xludf.DUMMYFUNCTION("GOOGLETRANSLATE(C1141, ""en"", ""ru"")"),"оператор станка")</f>
        <v>оператор станка</v>
      </c>
      <c r="I1141" s="8" t="str">
        <f>IFERROR(__xludf.DUMMYFUNCTION("GOOGLETRANSLATE(C1141, ""en"", ""ar"")"),"مشغل آلة")</f>
        <v>مشغل آلة</v>
      </c>
      <c r="J1141" s="8"/>
      <c r="K1141" s="7" t="str">
        <f>IFERROR(__xludf.DUMMYFUNCTION("CONCAT(REGEXREPLACE(C1141,""[ ,]+"",""_""),"".mp3"")"),"machine_operator.mp3")</f>
        <v>machine_operator.mp3</v>
      </c>
      <c r="M1141" s="4" t="s">
        <v>10</v>
      </c>
    </row>
    <row r="1142" ht="15.75" customHeight="1">
      <c r="A1142" s="1">
        <v>2510.0</v>
      </c>
      <c r="B1142" s="3">
        <v>150.0</v>
      </c>
      <c r="C1142" s="7" t="s">
        <v>1148</v>
      </c>
      <c r="D1142" s="8" t="str">
        <f>IFERROR(__xludf.DUMMYFUNCTION("GOOGLETRANSLATE(C1142, ""en"", ""pt"")"),"técnico")</f>
        <v>técnico</v>
      </c>
      <c r="E1142" s="8" t="str">
        <f>IFERROR(__xludf.DUMMYFUNCTION("GOOGLETRANSLATE(C1142, ""en"", ""es"")"),"técnico")</f>
        <v>técnico</v>
      </c>
      <c r="F1142" s="8" t="str">
        <f>IFERROR(__xludf.DUMMYFUNCTION("GOOGLETRANSLATE(C1142, ""en"", ""fr"")"),"technicien")</f>
        <v>technicien</v>
      </c>
      <c r="G1142" s="8" t="str">
        <f>IFERROR(__xludf.DUMMYFUNCTION("GOOGLETRANSLATE(C1142, ""en"", ""de"")"),"Techniker")</f>
        <v>Techniker</v>
      </c>
      <c r="H1142" s="8" t="str">
        <f>IFERROR(__xludf.DUMMYFUNCTION("GOOGLETRANSLATE(C1142, ""en"", ""ru"")"),"техник")</f>
        <v>техник</v>
      </c>
      <c r="I1142" s="8" t="str">
        <f>IFERROR(__xludf.DUMMYFUNCTION("GOOGLETRANSLATE(C1142, ""en"", ""ar"")"),"فني")</f>
        <v>فني</v>
      </c>
      <c r="J1142" s="8"/>
      <c r="K1142" s="7" t="str">
        <f>IFERROR(__xludf.DUMMYFUNCTION("CONCAT(REGEXREPLACE(C1142,""[ ,]+"",""_""),"".mp3"")"),"technician.mp3")</f>
        <v>technician.mp3</v>
      </c>
      <c r="M1142" s="4" t="s">
        <v>10</v>
      </c>
    </row>
    <row r="1143" ht="15.75" customHeight="1">
      <c r="A1143" s="1">
        <v>2511.0</v>
      </c>
      <c r="B1143" s="3">
        <v>150.0</v>
      </c>
      <c r="C1143" s="7" t="s">
        <v>1159</v>
      </c>
      <c r="D1143" s="8" t="str">
        <f>IFERROR(__xludf.DUMMYFUNCTION("GOOGLETRANSLATE(C1143, ""en"", ""pt"")"),"cientista")</f>
        <v>cientista</v>
      </c>
      <c r="E1143" s="8" t="str">
        <f>IFERROR(__xludf.DUMMYFUNCTION("GOOGLETRANSLATE(C1143, ""en"", ""es"")"),"científico")</f>
        <v>científico</v>
      </c>
      <c r="F1143" s="8" t="str">
        <f>IFERROR(__xludf.DUMMYFUNCTION("GOOGLETRANSLATE(C1143, ""en"", ""fr"")"),"scientifique")</f>
        <v>scientifique</v>
      </c>
      <c r="G1143" s="8" t="str">
        <f>IFERROR(__xludf.DUMMYFUNCTION("GOOGLETRANSLATE(C1143, ""en"", ""de"")"),"Wissenschaftler")</f>
        <v>Wissenschaftler</v>
      </c>
      <c r="H1143" s="8" t="str">
        <f>IFERROR(__xludf.DUMMYFUNCTION("GOOGLETRANSLATE(C1143, ""en"", ""ru"")"),"ученый")</f>
        <v>ученый</v>
      </c>
      <c r="I1143" s="8" t="str">
        <f>IFERROR(__xludf.DUMMYFUNCTION("GOOGLETRANSLATE(C1143, ""en"", ""ar"")"),"عالم")</f>
        <v>عالم</v>
      </c>
      <c r="J1143" s="8"/>
      <c r="K1143" s="7" t="str">
        <f>IFERROR(__xludf.DUMMYFUNCTION("CONCAT(REGEXREPLACE(C1143,""[ ,]+"",""_""),"".mp3"")"),"scientist.mp3")</f>
        <v>scientist.mp3</v>
      </c>
      <c r="M1143" s="4" t="s">
        <v>10</v>
      </c>
    </row>
    <row r="1144" ht="15.75" customHeight="1">
      <c r="A1144" s="1">
        <v>2512.0</v>
      </c>
      <c r="B1144" s="3">
        <v>150.0</v>
      </c>
      <c r="C1144" s="7" t="s">
        <v>1160</v>
      </c>
      <c r="D1144" s="8" t="str">
        <f>IFERROR(__xludf.DUMMYFUNCTION("GOOGLETRANSLATE(C1144, ""en"", ""pt"")"),"químico")</f>
        <v>químico</v>
      </c>
      <c r="E1144" s="8" t="str">
        <f>IFERROR(__xludf.DUMMYFUNCTION("GOOGLETRANSLATE(C1144, ""en"", ""es"")"),"químico")</f>
        <v>químico</v>
      </c>
      <c r="F1144" s="8" t="str">
        <f>IFERROR(__xludf.DUMMYFUNCTION("GOOGLETRANSLATE(C1144, ""en"", ""fr"")"),"chimiste")</f>
        <v>chimiste</v>
      </c>
      <c r="G1144" s="8" t="str">
        <f>IFERROR(__xludf.DUMMYFUNCTION("GOOGLETRANSLATE(C1144, ""en"", ""de"")"),"Chemiker")</f>
        <v>Chemiker</v>
      </c>
      <c r="H1144" s="8" t="str">
        <f>IFERROR(__xludf.DUMMYFUNCTION("GOOGLETRANSLATE(C1144, ""en"", ""ru"")"),"химик")</f>
        <v>химик</v>
      </c>
      <c r="I1144" s="8" t="str">
        <f>IFERROR(__xludf.DUMMYFUNCTION("GOOGLETRANSLATE(C1144, ""en"", ""ar"")"),"كيميائي")</f>
        <v>كيميائي</v>
      </c>
      <c r="J1144" s="8"/>
      <c r="K1144" s="7" t="str">
        <f>IFERROR(__xludf.DUMMYFUNCTION("CONCAT(REGEXREPLACE(C1144,""[ ,]+"",""_""),"".mp3"")"),"chemist.mp3")</f>
        <v>chemist.mp3</v>
      </c>
      <c r="M1144" s="4" t="s">
        <v>10</v>
      </c>
    </row>
    <row r="1145" ht="15.75" customHeight="1">
      <c r="A1145" s="1">
        <v>2513.0</v>
      </c>
      <c r="B1145" s="3">
        <v>150.0</v>
      </c>
      <c r="C1145" s="7" t="s">
        <v>1161</v>
      </c>
      <c r="D1145" s="8" t="str">
        <f>IFERROR(__xludf.DUMMYFUNCTION("GOOGLETRANSLATE(C1145, ""en"", ""pt"")"),"físico")</f>
        <v>físico</v>
      </c>
      <c r="E1145" s="8" t="str">
        <f>IFERROR(__xludf.DUMMYFUNCTION("GOOGLETRANSLATE(C1145, ""en"", ""es"")"),"físico")</f>
        <v>físico</v>
      </c>
      <c r="F1145" s="8" t="str">
        <f>IFERROR(__xludf.DUMMYFUNCTION("GOOGLETRANSLATE(C1145, ""en"", ""fr"")"),"physicien")</f>
        <v>physicien</v>
      </c>
      <c r="G1145" s="8" t="str">
        <f>IFERROR(__xludf.DUMMYFUNCTION("GOOGLETRANSLATE(C1145, ""en"", ""de"")"),"Physiker")</f>
        <v>Physiker</v>
      </c>
      <c r="H1145" s="8" t="str">
        <f>IFERROR(__xludf.DUMMYFUNCTION("GOOGLETRANSLATE(C1145, ""en"", ""ru"")"),"физик")</f>
        <v>физик</v>
      </c>
      <c r="I1145" s="8" t="str">
        <f>IFERROR(__xludf.DUMMYFUNCTION("GOOGLETRANSLATE(C1145, ""en"", ""ar"")"),"عالم فيزياء")</f>
        <v>عالم فيزياء</v>
      </c>
      <c r="J1145" s="8"/>
      <c r="K1145" s="7" t="str">
        <f>IFERROR(__xludf.DUMMYFUNCTION("CONCAT(REGEXREPLACE(C1145,""[ ,]+"",""_""),"".mp3"")"),"physicist.mp3")</f>
        <v>physicist.mp3</v>
      </c>
      <c r="M1145" s="4" t="s">
        <v>10</v>
      </c>
    </row>
    <row r="1146" ht="15.75" customHeight="1">
      <c r="A1146" s="1">
        <v>2514.0</v>
      </c>
      <c r="B1146" s="3">
        <v>150.0</v>
      </c>
      <c r="C1146" s="7" t="s">
        <v>1162</v>
      </c>
      <c r="D1146" s="8" t="str">
        <f>IFERROR(__xludf.DUMMYFUNCTION("GOOGLETRANSLATE(C1146, ""en"", ""pt"")"),"biólogo")</f>
        <v>biólogo</v>
      </c>
      <c r="E1146" s="8" t="str">
        <f>IFERROR(__xludf.DUMMYFUNCTION("GOOGLETRANSLATE(C1146, ""en"", ""es"")"),"biólogo")</f>
        <v>biólogo</v>
      </c>
      <c r="F1146" s="8" t="str">
        <f>IFERROR(__xludf.DUMMYFUNCTION("GOOGLETRANSLATE(C1146, ""en"", ""fr"")"),"biologiste")</f>
        <v>biologiste</v>
      </c>
      <c r="G1146" s="8" t="str">
        <f>IFERROR(__xludf.DUMMYFUNCTION("GOOGLETRANSLATE(C1146, ""en"", ""de"")"),"Biologe")</f>
        <v>Biologe</v>
      </c>
      <c r="H1146" s="8" t="str">
        <f>IFERROR(__xludf.DUMMYFUNCTION("GOOGLETRANSLATE(C1146, ""en"", ""ru"")"),"биолог")</f>
        <v>биолог</v>
      </c>
      <c r="I1146" s="8" t="str">
        <f>IFERROR(__xludf.DUMMYFUNCTION("GOOGLETRANSLATE(C1146, ""en"", ""ar"")"),"عالم أحياء")</f>
        <v>عالم أحياء</v>
      </c>
      <c r="J1146" s="8"/>
      <c r="K1146" s="7" t="str">
        <f>IFERROR(__xludf.DUMMYFUNCTION("CONCAT(REGEXREPLACE(C1146,""[ ,]+"",""_""),"".mp3"")"),"biologist.mp3")</f>
        <v>biologist.mp3</v>
      </c>
      <c r="M1146" s="4" t="s">
        <v>10</v>
      </c>
    </row>
    <row r="1147" ht="15.75" customHeight="1">
      <c r="A1147" s="1">
        <v>2515.0</v>
      </c>
      <c r="B1147" s="3">
        <v>150.0</v>
      </c>
      <c r="C1147" s="7" t="s">
        <v>1163</v>
      </c>
      <c r="D1147" s="8" t="str">
        <f>IFERROR(__xludf.DUMMYFUNCTION("GOOGLETRANSLATE(C1147, ""en"", ""pt"")"),"matemático")</f>
        <v>matemático</v>
      </c>
      <c r="E1147" s="8" t="str">
        <f>IFERROR(__xludf.DUMMYFUNCTION("GOOGLETRANSLATE(C1147, ""en"", ""es"")"),"matemático")</f>
        <v>matemático</v>
      </c>
      <c r="F1147" s="8" t="str">
        <f>IFERROR(__xludf.DUMMYFUNCTION("GOOGLETRANSLATE(C1147, ""en"", ""fr"")"),"mathématicien")</f>
        <v>mathématicien</v>
      </c>
      <c r="G1147" s="8" t="str">
        <f>IFERROR(__xludf.DUMMYFUNCTION("GOOGLETRANSLATE(C1147, ""en"", ""de"")"),"Mathematiker")</f>
        <v>Mathematiker</v>
      </c>
      <c r="H1147" s="8" t="str">
        <f>IFERROR(__xludf.DUMMYFUNCTION("GOOGLETRANSLATE(C1147, ""en"", ""ru"")"),"математик")</f>
        <v>математик</v>
      </c>
      <c r="I1147" s="8" t="str">
        <f>IFERROR(__xludf.DUMMYFUNCTION("GOOGLETRANSLATE(C1147, ""en"", ""ar"")"),"عالم رياضيات")</f>
        <v>عالم رياضيات</v>
      </c>
      <c r="J1147" s="8"/>
      <c r="K1147" s="7" t="str">
        <f>IFERROR(__xludf.DUMMYFUNCTION("CONCAT(REGEXREPLACE(C1147,""[ ,]+"",""_""),"".mp3"")"),"mathematician.mp3")</f>
        <v>mathematician.mp3</v>
      </c>
      <c r="M1147" s="4" t="s">
        <v>10</v>
      </c>
    </row>
    <row r="1148" ht="15.75" customHeight="1">
      <c r="A1148" s="1">
        <v>2516.0</v>
      </c>
      <c r="B1148" s="3">
        <v>150.0</v>
      </c>
      <c r="C1148" s="7" t="s">
        <v>1164</v>
      </c>
      <c r="D1148" s="8" t="str">
        <f>IFERROR(__xludf.DUMMYFUNCTION("GOOGLETRANSLATE(C1148, ""en"", ""pt"")"),"estatístico")</f>
        <v>estatístico</v>
      </c>
      <c r="E1148" s="8" t="str">
        <f>IFERROR(__xludf.DUMMYFUNCTION("GOOGLETRANSLATE(C1148, ""en"", ""es"")"),"estadístico")</f>
        <v>estadístico</v>
      </c>
      <c r="F1148" s="8" t="str">
        <f>IFERROR(__xludf.DUMMYFUNCTION("GOOGLETRANSLATE(C1148, ""en"", ""fr"")"),"statisticien")</f>
        <v>statisticien</v>
      </c>
      <c r="G1148" s="8" t="str">
        <f>IFERROR(__xludf.DUMMYFUNCTION("GOOGLETRANSLATE(C1148, ""en"", ""de"")"),"Statistiker")</f>
        <v>Statistiker</v>
      </c>
      <c r="H1148" s="8" t="str">
        <f>IFERROR(__xludf.DUMMYFUNCTION("GOOGLETRANSLATE(C1148, ""en"", ""ru"")"),"статистик")</f>
        <v>статистик</v>
      </c>
      <c r="I1148" s="8" t="str">
        <f>IFERROR(__xludf.DUMMYFUNCTION("GOOGLETRANSLATE(C1148, ""en"", ""ar"")"),"إحصائي")</f>
        <v>إحصائي</v>
      </c>
      <c r="J1148" s="8"/>
      <c r="K1148" s="7" t="str">
        <f>IFERROR(__xludf.DUMMYFUNCTION("CONCAT(REGEXREPLACE(C1148,""[ ,]+"",""_""),"".mp3"")"),"statistician.mp3")</f>
        <v>statistician.mp3</v>
      </c>
      <c r="M1148" s="4" t="s">
        <v>10</v>
      </c>
    </row>
    <row r="1149" ht="15.75" customHeight="1">
      <c r="A1149" s="1">
        <v>2517.0</v>
      </c>
      <c r="B1149" s="3">
        <v>150.0</v>
      </c>
      <c r="C1149" s="7" t="s">
        <v>1165</v>
      </c>
      <c r="D1149" s="8" t="str">
        <f>IFERROR(__xludf.DUMMYFUNCTION("GOOGLETRANSLATE(C1149, ""en"", ""pt"")"),"desenvolvedor de software")</f>
        <v>desenvolvedor de software</v>
      </c>
      <c r="E1149" s="8" t="str">
        <f>IFERROR(__xludf.DUMMYFUNCTION("GOOGLETRANSLATE(C1149, ""en"", ""es"")"),"desarrollador de software")</f>
        <v>desarrollador de software</v>
      </c>
      <c r="F1149" s="8" t="str">
        <f>IFERROR(__xludf.DUMMYFUNCTION("GOOGLETRANSLATE(C1149, ""en"", ""fr"")"),"développeur de logiciels")</f>
        <v>développeur de logiciels</v>
      </c>
      <c r="G1149" s="8" t="str">
        <f>IFERROR(__xludf.DUMMYFUNCTION("GOOGLETRANSLATE(C1149, ""en"", ""de"")"),"Softwareentwickler")</f>
        <v>Softwareentwickler</v>
      </c>
      <c r="H1149" s="8" t="str">
        <f>IFERROR(__xludf.DUMMYFUNCTION("GOOGLETRANSLATE(C1149, ""en"", ""ru"")"),"разработчик программного обеспечения")</f>
        <v>разработчик программного обеспечения</v>
      </c>
      <c r="I1149" s="8" t="str">
        <f>IFERROR(__xludf.DUMMYFUNCTION("GOOGLETRANSLATE(C1149, ""en"", ""ar"")"),"مطور برامج")</f>
        <v>مطور برامج</v>
      </c>
      <c r="J1149" s="8"/>
      <c r="K1149" s="7" t="str">
        <f>IFERROR(__xludf.DUMMYFUNCTION("CONCAT(REGEXREPLACE(C1149,""[ ,]+"",""_""),"".mp3"")"),"software_developer.mp3")</f>
        <v>software_developer.mp3</v>
      </c>
      <c r="M1149" s="4" t="s">
        <v>10</v>
      </c>
    </row>
    <row r="1150" ht="15.75" customHeight="1">
      <c r="A1150" s="1">
        <v>2518.0</v>
      </c>
      <c r="B1150" s="3">
        <v>150.0</v>
      </c>
      <c r="C1150" s="7" t="s">
        <v>1166</v>
      </c>
      <c r="D1150" s="8" t="str">
        <f>IFERROR(__xludf.DUMMYFUNCTION("GOOGLETRANSLATE(C1150, ""en"", ""pt"")"),"engenheiro de software")</f>
        <v>engenheiro de software</v>
      </c>
      <c r="E1150" s="8" t="str">
        <f>IFERROR(__xludf.DUMMYFUNCTION("GOOGLETRANSLATE(C1150, ""en"", ""es"")"),"ingeniero de software")</f>
        <v>ingeniero de software</v>
      </c>
      <c r="F1150" s="8" t="str">
        <f>IFERROR(__xludf.DUMMYFUNCTION("GOOGLETRANSLATE(C1150, ""en"", ""fr"")"),"ingénieur logiciel")</f>
        <v>ingénieur logiciel</v>
      </c>
      <c r="G1150" s="8" t="str">
        <f>IFERROR(__xludf.DUMMYFUNCTION("GOOGLETRANSLATE(C1150, ""en"", ""de"")"),"Softwareentwickler")</f>
        <v>Softwareentwickler</v>
      </c>
      <c r="H1150" s="8" t="str">
        <f>IFERROR(__xludf.DUMMYFUNCTION("GOOGLETRANSLATE(C1150, ""en"", ""ru"")"),"программист")</f>
        <v>программист</v>
      </c>
      <c r="I1150" s="8" t="str">
        <f>IFERROR(__xludf.DUMMYFUNCTION("GOOGLETRANSLATE(C1150, ""en"", ""ar"")"),"مهندس برمجيات")</f>
        <v>مهندس برمجيات</v>
      </c>
      <c r="J1150" s="8"/>
      <c r="K1150" s="7" t="str">
        <f>IFERROR(__xludf.DUMMYFUNCTION("CONCAT(REGEXREPLACE(C1150,""[ ,]+"",""_""),"".mp3"")"),"software_engineer.mp3")</f>
        <v>software_engineer.mp3</v>
      </c>
      <c r="M1150" s="4" t="s">
        <v>10</v>
      </c>
    </row>
    <row r="1151" ht="15.75" customHeight="1">
      <c r="A1151" s="1">
        <v>2519.0</v>
      </c>
      <c r="B1151" s="3">
        <v>150.0</v>
      </c>
      <c r="C1151" s="7" t="s">
        <v>1167</v>
      </c>
      <c r="D1151" s="8" t="str">
        <f>IFERROR(__xludf.DUMMYFUNCTION("GOOGLETRANSLATE(C1151, ""en"", ""pt"")"),"programador")</f>
        <v>programador</v>
      </c>
      <c r="E1151" s="8" t="str">
        <f>IFERROR(__xludf.DUMMYFUNCTION("GOOGLETRANSLATE(C1151, ""en"", ""es"")"),"programador")</f>
        <v>programador</v>
      </c>
      <c r="F1151" s="8" t="str">
        <f>IFERROR(__xludf.DUMMYFUNCTION("GOOGLETRANSLATE(C1151, ""en"", ""fr"")"),"programmeur")</f>
        <v>programmeur</v>
      </c>
      <c r="G1151" s="8" t="str">
        <f>IFERROR(__xludf.DUMMYFUNCTION("GOOGLETRANSLATE(C1151, ""en"", ""de"")"),"Programmierer")</f>
        <v>Programmierer</v>
      </c>
      <c r="H1151" s="8" t="str">
        <f>IFERROR(__xludf.DUMMYFUNCTION("GOOGLETRANSLATE(C1151, ""en"", ""ru"")"),"программист")</f>
        <v>программист</v>
      </c>
      <c r="I1151" s="8" t="str">
        <f>IFERROR(__xludf.DUMMYFUNCTION("GOOGLETRANSLATE(C1151, ""en"", ""ar"")"),"مبرمج")</f>
        <v>مبرمج</v>
      </c>
      <c r="J1151" s="8"/>
      <c r="K1151" s="7" t="str">
        <f>IFERROR(__xludf.DUMMYFUNCTION("CONCAT(REGEXREPLACE(C1151,""[ ,]+"",""_""),"".mp3"")"),"programmer.mp3")</f>
        <v>programmer.mp3</v>
      </c>
      <c r="M1151" s="4" t="s">
        <v>10</v>
      </c>
    </row>
    <row r="1152" ht="15.75" customHeight="1">
      <c r="A1152" s="1">
        <v>2520.0</v>
      </c>
      <c r="B1152" s="3">
        <v>150.0</v>
      </c>
      <c r="C1152" s="7" t="s">
        <v>1168</v>
      </c>
      <c r="D1152" s="8" t="str">
        <f>IFERROR(__xludf.DUMMYFUNCTION("GOOGLETRANSLATE(C1152, ""en"", ""pt"")"),"desenvolvedor web")</f>
        <v>desenvolvedor web</v>
      </c>
      <c r="E1152" s="8" t="str">
        <f>IFERROR(__xludf.DUMMYFUNCTION("GOOGLETRANSLATE(C1152, ""en"", ""es"")"),"desarrollador web")</f>
        <v>desarrollador web</v>
      </c>
      <c r="F1152" s="8" t="str">
        <f>IFERROR(__xludf.DUMMYFUNCTION("GOOGLETRANSLATE(C1152, ""en"", ""fr"")"),"développeur web")</f>
        <v>développeur web</v>
      </c>
      <c r="G1152" s="8" t="str">
        <f>IFERROR(__xludf.DUMMYFUNCTION("GOOGLETRANSLATE(C1152, ""en"", ""de"")"),"Webentwickler")</f>
        <v>Webentwickler</v>
      </c>
      <c r="H1152" s="8" t="str">
        <f>IFERROR(__xludf.DUMMYFUNCTION("GOOGLETRANSLATE(C1152, ""en"", ""ru"")"),"веб-разработчик")</f>
        <v>веб-разработчик</v>
      </c>
      <c r="I1152" s="8" t="str">
        <f>IFERROR(__xludf.DUMMYFUNCTION("GOOGLETRANSLATE(C1152, ""en"", ""ar"")"),"مطور مواقع الويب")</f>
        <v>مطور مواقع الويب</v>
      </c>
      <c r="J1152" s="8"/>
      <c r="K1152" s="7" t="str">
        <f>IFERROR(__xludf.DUMMYFUNCTION("CONCAT(REGEXREPLACE(C1152,""[ ,]+"",""_""),"".mp3"")"),"web_developer.mp3")</f>
        <v>web_developer.mp3</v>
      </c>
      <c r="M1152" s="4" t="s">
        <v>10</v>
      </c>
    </row>
    <row r="1153" ht="15.75" customHeight="1">
      <c r="A1153" s="1">
        <v>2521.0</v>
      </c>
      <c r="B1153" s="3">
        <v>150.0</v>
      </c>
      <c r="C1153" s="7" t="s">
        <v>1169</v>
      </c>
      <c r="D1153" s="8" t="str">
        <f>IFERROR(__xludf.DUMMYFUNCTION("GOOGLETRANSLATE(C1153, ""en"", ""pt"")"),"designer web")</f>
        <v>designer web</v>
      </c>
      <c r="E1153" s="8" t="str">
        <f>IFERROR(__xludf.DUMMYFUNCTION("GOOGLETRANSLATE(C1153, ""en"", ""es"")"),"diseñador web")</f>
        <v>diseñador web</v>
      </c>
      <c r="F1153" s="8" t="str">
        <f>IFERROR(__xludf.DUMMYFUNCTION("GOOGLETRANSLATE(C1153, ""en"", ""fr"")"),"concepteur web")</f>
        <v>concepteur web</v>
      </c>
      <c r="G1153" s="8" t="str">
        <f>IFERROR(__xludf.DUMMYFUNCTION("GOOGLETRANSLATE(C1153, ""en"", ""de"")"),"Webdesigner")</f>
        <v>Webdesigner</v>
      </c>
      <c r="H1153" s="8" t="str">
        <f>IFERROR(__xludf.DUMMYFUNCTION("GOOGLETRANSLATE(C1153, ""en"", ""ru"")"),"веб-дизайнер")</f>
        <v>веб-дизайнер</v>
      </c>
      <c r="I1153" s="8" t="str">
        <f>IFERROR(__xludf.DUMMYFUNCTION("GOOGLETRANSLATE(C1153, ""en"", ""ar"")"),"مصمم مواقع إلكترونية")</f>
        <v>مصمم مواقع إلكترونية</v>
      </c>
      <c r="J1153" s="8"/>
      <c r="K1153" s="7" t="str">
        <f>IFERROR(__xludf.DUMMYFUNCTION("CONCAT(REGEXREPLACE(C1153,""[ ,]+"",""_""),"".mp3"")"),"web_designer.mp3")</f>
        <v>web_designer.mp3</v>
      </c>
      <c r="M1153" s="4" t="s">
        <v>10</v>
      </c>
    </row>
    <row r="1154" ht="15.75" customHeight="1">
      <c r="A1154" s="1">
        <v>2522.0</v>
      </c>
      <c r="B1154" s="3">
        <v>150.0</v>
      </c>
      <c r="C1154" s="7" t="s">
        <v>1170</v>
      </c>
      <c r="D1154" s="8" t="str">
        <f>IFERROR(__xludf.DUMMYFUNCTION("GOOGLETRANSLATE(C1154, ""en"", ""pt"")"),"Designer de UX")</f>
        <v>Designer de UX</v>
      </c>
      <c r="E1154" s="8" t="str">
        <f>IFERROR(__xludf.DUMMYFUNCTION("GOOGLETRANSLATE(C1154, ""en"", ""es"")"),"Diseñador de UX")</f>
        <v>Diseñador de UX</v>
      </c>
      <c r="F1154" s="8" t="str">
        <f>IFERROR(__xludf.DUMMYFUNCTION("GOOGLETRANSLATE(C1154, ""en"", ""fr"")"),"concepteur UX")</f>
        <v>concepteur UX</v>
      </c>
      <c r="G1154" s="8" t="str">
        <f>IFERROR(__xludf.DUMMYFUNCTION("GOOGLETRANSLATE(C1154, ""en"", ""de"")"),"UX-Designer")</f>
        <v>UX-Designer</v>
      </c>
      <c r="H1154" s="8" t="str">
        <f>IFERROR(__xludf.DUMMYFUNCTION("GOOGLETRANSLATE(C1154, ""en"", ""ru"")"),"UX-дизайнер")</f>
        <v>UX-дизайнер</v>
      </c>
      <c r="I1154" s="8" t="str">
        <f>IFERROR(__xludf.DUMMYFUNCTION("GOOGLETRANSLATE(C1154, ""en"", ""ar"")"),"مصمم تجربة المستخدم")</f>
        <v>مصمم تجربة المستخدم</v>
      </c>
      <c r="J1154" s="8"/>
      <c r="K1154" s="7" t="str">
        <f>IFERROR(__xludf.DUMMYFUNCTION("CONCAT(REGEXREPLACE(C1154,""[ ,]+"",""_""),"".mp3"")"),"UX_designer.mp3")</f>
        <v>UX_designer.mp3</v>
      </c>
      <c r="M1154" s="4" t="s">
        <v>10</v>
      </c>
    </row>
    <row r="1155" ht="15.75" customHeight="1">
      <c r="A1155" s="1">
        <v>2523.0</v>
      </c>
      <c r="B1155" s="3">
        <v>150.0</v>
      </c>
      <c r="C1155" s="7" t="s">
        <v>1171</v>
      </c>
      <c r="D1155" s="8" t="str">
        <f>IFERROR(__xludf.DUMMYFUNCTION("GOOGLETRANSLATE(C1155, ""en"", ""pt"")"),"designer de interface do usuário")</f>
        <v>designer de interface do usuário</v>
      </c>
      <c r="E1155" s="8" t="str">
        <f>IFERROR(__xludf.DUMMYFUNCTION("GOOGLETRANSLATE(C1155, ""en"", ""es"")"),"Diseñador de interfaz de usuario")</f>
        <v>Diseñador de interfaz de usuario</v>
      </c>
      <c r="F1155" s="8" t="str">
        <f>IFERROR(__xludf.DUMMYFUNCTION("GOOGLETRANSLATE(C1155, ""en"", ""fr"")"),"concepteur d'interface utilisateur")</f>
        <v>concepteur d'interface utilisateur</v>
      </c>
      <c r="G1155" s="8" t="str">
        <f>IFERROR(__xludf.DUMMYFUNCTION("GOOGLETRANSLATE(C1155, ""en"", ""de"")"),"UI-Designer")</f>
        <v>UI-Designer</v>
      </c>
      <c r="H1155" s="8" t="str">
        <f>IFERROR(__xludf.DUMMYFUNCTION("GOOGLETRANSLATE(C1155, ""en"", ""ru"")"),"UI-дизайнер")</f>
        <v>UI-дизайнер</v>
      </c>
      <c r="I1155" s="8" t="str">
        <f>IFERROR(__xludf.DUMMYFUNCTION("GOOGLETRANSLATE(C1155, ""en"", ""ar"")"),"مصمم واجهة المستخدم")</f>
        <v>مصمم واجهة المستخدم</v>
      </c>
      <c r="J1155" s="8"/>
      <c r="K1155" s="7" t="str">
        <f>IFERROR(__xludf.DUMMYFUNCTION("CONCAT(REGEXREPLACE(C1155,""[ ,]+"",""_""),"".mp3"")"),"UI_designer.mp3")</f>
        <v>UI_designer.mp3</v>
      </c>
      <c r="M1155" s="4" t="s">
        <v>10</v>
      </c>
    </row>
    <row r="1156" ht="15.75" customHeight="1">
      <c r="A1156" s="1">
        <v>2524.0</v>
      </c>
      <c r="B1156" s="3">
        <v>150.0</v>
      </c>
      <c r="C1156" s="7" t="s">
        <v>1172</v>
      </c>
      <c r="D1156" s="8" t="str">
        <f>IFERROR(__xludf.DUMMYFUNCTION("GOOGLETRANSLATE(C1156, ""en"", ""pt"")"),"analista de dados")</f>
        <v>analista de dados</v>
      </c>
      <c r="E1156" s="8" t="str">
        <f>IFERROR(__xludf.DUMMYFUNCTION("GOOGLETRANSLATE(C1156, ""en"", ""es"")"),"analista de datos")</f>
        <v>analista de datos</v>
      </c>
      <c r="F1156" s="8" t="str">
        <f>IFERROR(__xludf.DUMMYFUNCTION("GOOGLETRANSLATE(C1156, ""en"", ""fr"")"),"analyste de données")</f>
        <v>analyste de données</v>
      </c>
      <c r="G1156" s="8" t="str">
        <f>IFERROR(__xludf.DUMMYFUNCTION("GOOGLETRANSLATE(C1156, ""en"", ""de"")"),"Datenanalyst")</f>
        <v>Datenanalyst</v>
      </c>
      <c r="H1156" s="8" t="str">
        <f>IFERROR(__xludf.DUMMYFUNCTION("GOOGLETRANSLATE(C1156, ""en"", ""ru"")"),"аналитик данных")</f>
        <v>аналитик данных</v>
      </c>
      <c r="I1156" s="8" t="str">
        <f>IFERROR(__xludf.DUMMYFUNCTION("GOOGLETRANSLATE(C1156, ""en"", ""ar"")"),"محلل بيانات")</f>
        <v>محلل بيانات</v>
      </c>
      <c r="J1156" s="8"/>
      <c r="K1156" s="7" t="str">
        <f>IFERROR(__xludf.DUMMYFUNCTION("CONCAT(REGEXREPLACE(C1156,""[ ,]+"",""_""),"".mp3"")"),"data_analyst.mp3")</f>
        <v>data_analyst.mp3</v>
      </c>
      <c r="M1156" s="4" t="s">
        <v>10</v>
      </c>
    </row>
    <row r="1157" ht="15.75" customHeight="1">
      <c r="A1157" s="1">
        <v>2525.0</v>
      </c>
      <c r="B1157" s="3">
        <v>150.0</v>
      </c>
      <c r="C1157" s="7" t="s">
        <v>1173</v>
      </c>
      <c r="D1157" s="8" t="str">
        <f>IFERROR(__xludf.DUMMYFUNCTION("GOOGLETRANSLATE(C1157, ""en"", ""pt"")"),"cientista de dados")</f>
        <v>cientista de dados</v>
      </c>
      <c r="E1157" s="8" t="str">
        <f>IFERROR(__xludf.DUMMYFUNCTION("GOOGLETRANSLATE(C1157, ""en"", ""es"")"),"científico de datos")</f>
        <v>científico de datos</v>
      </c>
      <c r="F1157" s="8" t="str">
        <f>IFERROR(__xludf.DUMMYFUNCTION("GOOGLETRANSLATE(C1157, ""en"", ""fr"")"),"scientifique des données")</f>
        <v>scientifique des données</v>
      </c>
      <c r="G1157" s="8" t="str">
        <f>IFERROR(__xludf.DUMMYFUNCTION("GOOGLETRANSLATE(C1157, ""en"", ""de"")"),"Datenwissenschaftler")</f>
        <v>Datenwissenschaftler</v>
      </c>
      <c r="H1157" s="8" t="str">
        <f>IFERROR(__xludf.DUMMYFUNCTION("GOOGLETRANSLATE(C1157, ""en"", ""ru"")"),"специалист по анализу данных")</f>
        <v>специалист по анализу данных</v>
      </c>
      <c r="I1157" s="8" t="str">
        <f>IFERROR(__xludf.DUMMYFUNCTION("GOOGLETRANSLATE(C1157, ""en"", ""ar"")"),"عالم بيانات")</f>
        <v>عالم بيانات</v>
      </c>
      <c r="J1157" s="8"/>
      <c r="K1157" s="7" t="str">
        <f>IFERROR(__xludf.DUMMYFUNCTION("CONCAT(REGEXREPLACE(C1157,""[ ,]+"",""_""),"".mp3"")"),"data_scientist.mp3")</f>
        <v>data_scientist.mp3</v>
      </c>
      <c r="M1157" s="4" t="s">
        <v>10</v>
      </c>
    </row>
    <row r="1158" ht="15.75" customHeight="1">
      <c r="A1158" s="1">
        <v>2526.0</v>
      </c>
      <c r="B1158" s="3">
        <v>150.0</v>
      </c>
      <c r="C1158" s="7" t="s">
        <v>1174</v>
      </c>
      <c r="D1158" s="8" t="str">
        <f>IFERROR(__xludf.DUMMYFUNCTION("GOOGLETRANSLATE(C1158, ""en"", ""pt"")"),"administrador de banco de dados")</f>
        <v>administrador de banco de dados</v>
      </c>
      <c r="E1158" s="8" t="str">
        <f>IFERROR(__xludf.DUMMYFUNCTION("GOOGLETRANSLATE(C1158, ""en"", ""es"")"),"administrador de bases de datos")</f>
        <v>administrador de bases de datos</v>
      </c>
      <c r="F1158" s="8" t="str">
        <f>IFERROR(__xludf.DUMMYFUNCTION("GOOGLETRANSLATE(C1158, ""en"", ""fr"")"),"administrateur de base de données")</f>
        <v>administrateur de base de données</v>
      </c>
      <c r="G1158" s="8" t="str">
        <f>IFERROR(__xludf.DUMMYFUNCTION("GOOGLETRANSLATE(C1158, ""en"", ""de"")"),"Datenbankadministrator")</f>
        <v>Datenbankadministrator</v>
      </c>
      <c r="H1158" s="8" t="str">
        <f>IFERROR(__xludf.DUMMYFUNCTION("GOOGLETRANSLATE(C1158, ""en"", ""ru"")"),"администратор базы данных")</f>
        <v>администратор базы данных</v>
      </c>
      <c r="I1158" s="8" t="str">
        <f>IFERROR(__xludf.DUMMYFUNCTION("GOOGLETRANSLATE(C1158, ""en"", ""ar"")"),"مسؤول قاعدة البيانات")</f>
        <v>مسؤول قاعدة البيانات</v>
      </c>
      <c r="J1158" s="8"/>
      <c r="K1158" s="7" t="str">
        <f>IFERROR(__xludf.DUMMYFUNCTION("CONCAT(REGEXREPLACE(C1158,""[ ,]+"",""_""),"".mp3"")"),"database_administrator.mp3")</f>
        <v>database_administrator.mp3</v>
      </c>
      <c r="M1158" s="4" t="s">
        <v>10</v>
      </c>
    </row>
    <row r="1159" ht="15.75" customHeight="1">
      <c r="A1159" s="1">
        <v>2527.0</v>
      </c>
      <c r="B1159" s="3">
        <v>150.0</v>
      </c>
      <c r="C1159" s="7" t="s">
        <v>1175</v>
      </c>
      <c r="D1159" s="8" t="str">
        <f>IFERROR(__xludf.DUMMYFUNCTION("GOOGLETRANSLATE(C1159, ""en"", ""pt"")"),"administrador de sistemas")</f>
        <v>administrador de sistemas</v>
      </c>
      <c r="E1159" s="8" t="str">
        <f>IFERROR(__xludf.DUMMYFUNCTION("GOOGLETRANSLATE(C1159, ""en"", ""es"")"),"administrador del sistema")</f>
        <v>administrador del sistema</v>
      </c>
      <c r="F1159" s="8" t="str">
        <f>IFERROR(__xludf.DUMMYFUNCTION("GOOGLETRANSLATE(C1159, ""en"", ""fr"")"),"administrateur du système")</f>
        <v>administrateur du système</v>
      </c>
      <c r="G1159" s="8" t="str">
        <f>IFERROR(__xludf.DUMMYFUNCTION("GOOGLETRANSLATE(C1159, ""en"", ""de"")"),"Systemadministrator")</f>
        <v>Systemadministrator</v>
      </c>
      <c r="H1159" s="8" t="str">
        <f>IFERROR(__xludf.DUMMYFUNCTION("GOOGLETRANSLATE(C1159, ""en"", ""ru"")"),"системный администратор")</f>
        <v>системный администратор</v>
      </c>
      <c r="I1159" s="8" t="str">
        <f>IFERROR(__xludf.DUMMYFUNCTION("GOOGLETRANSLATE(C1159, ""en"", ""ar"")"),"مسؤول النظام")</f>
        <v>مسؤول النظام</v>
      </c>
      <c r="J1159" s="8"/>
      <c r="K1159" s="7" t="str">
        <f>IFERROR(__xludf.DUMMYFUNCTION("CONCAT(REGEXREPLACE(C1159,""[ ,]+"",""_""),"".mp3"")"),"system_administrator.mp3")</f>
        <v>system_administrator.mp3</v>
      </c>
      <c r="M1159" s="4" t="s">
        <v>10</v>
      </c>
    </row>
    <row r="1160" ht="15.75" customHeight="1">
      <c r="A1160" s="1">
        <v>2528.0</v>
      </c>
      <c r="B1160" s="3">
        <v>150.0</v>
      </c>
      <c r="C1160" s="7" t="s">
        <v>1176</v>
      </c>
      <c r="D1160" s="8" t="str">
        <f>IFERROR(__xludf.DUMMYFUNCTION("GOOGLETRANSLATE(C1160, ""en"", ""pt"")"),"engenheiro de rede")</f>
        <v>engenheiro de rede</v>
      </c>
      <c r="E1160" s="8" t="str">
        <f>IFERROR(__xludf.DUMMYFUNCTION("GOOGLETRANSLATE(C1160, ""en"", ""es"")"),"ingeniero de redes")</f>
        <v>ingeniero de redes</v>
      </c>
      <c r="F1160" s="8" t="str">
        <f>IFERROR(__xludf.DUMMYFUNCTION("GOOGLETRANSLATE(C1160, ""en"", ""fr"")"),"ingénieur réseau")</f>
        <v>ingénieur réseau</v>
      </c>
      <c r="G1160" s="8" t="str">
        <f>IFERROR(__xludf.DUMMYFUNCTION("GOOGLETRANSLATE(C1160, ""en"", ""de"")"),"Netzwerktechniker")</f>
        <v>Netzwerktechniker</v>
      </c>
      <c r="H1160" s="8" t="str">
        <f>IFERROR(__xludf.DUMMYFUNCTION("GOOGLETRANSLATE(C1160, ""en"", ""ru"")"),"сетевой инженер")</f>
        <v>сетевой инженер</v>
      </c>
      <c r="I1160" s="8" t="str">
        <f>IFERROR(__xludf.DUMMYFUNCTION("GOOGLETRANSLATE(C1160, ""en"", ""ar"")"),"مهندس شبكة")</f>
        <v>مهندس شبكة</v>
      </c>
      <c r="J1160" s="8"/>
      <c r="K1160" s="7" t="str">
        <f>IFERROR(__xludf.DUMMYFUNCTION("CONCAT(REGEXREPLACE(C1160,""[ ,]+"",""_""),"".mp3"")"),"network_engineer.mp3")</f>
        <v>network_engineer.mp3</v>
      </c>
      <c r="M1160" s="4" t="s">
        <v>10</v>
      </c>
    </row>
    <row r="1161" ht="15.75" customHeight="1">
      <c r="A1161" s="1">
        <v>2529.0</v>
      </c>
      <c r="B1161" s="3">
        <v>150.0</v>
      </c>
      <c r="C1161" s="7" t="s">
        <v>1177</v>
      </c>
      <c r="D1161" s="8" t="str">
        <f>IFERROR(__xludf.DUMMYFUNCTION("GOOGLETRANSLATE(C1161, ""en"", ""pt"")"),"especialista em suporte de TI")</f>
        <v>especialista em suporte de TI</v>
      </c>
      <c r="E1161" s="8" t="str">
        <f>IFERROR(__xludf.DUMMYFUNCTION("GOOGLETRANSLATE(C1161, ""en"", ""es"")"),"Especialista en soporte informático")</f>
        <v>Especialista en soporte informático</v>
      </c>
      <c r="F1161" s="8" t="str">
        <f>IFERROR(__xludf.DUMMYFUNCTION("GOOGLETRANSLATE(C1161, ""en"", ""fr"")"),"spécialiste du support informatique")</f>
        <v>spécialiste du support informatique</v>
      </c>
      <c r="G1161" s="8" t="str">
        <f>IFERROR(__xludf.DUMMYFUNCTION("GOOGLETRANSLATE(C1161, ""en"", ""de"")"),"IT-Support-Spezialist")</f>
        <v>IT-Support-Spezialist</v>
      </c>
      <c r="H1161" s="8" t="str">
        <f>IFERROR(__xludf.DUMMYFUNCTION("GOOGLETRANSLATE(C1161, ""en"", ""ru"")"),"Специалист по ИТ-поддержке")</f>
        <v>Специалист по ИТ-поддержке</v>
      </c>
      <c r="I1161" s="8" t="str">
        <f>IFERROR(__xludf.DUMMYFUNCTION("GOOGLETRANSLATE(C1161, ""en"", ""ar"")"),"أخصائي دعم تكنولوجيا المعلومات")</f>
        <v>أخصائي دعم تكنولوجيا المعلومات</v>
      </c>
      <c r="J1161" s="8"/>
      <c r="K1161" s="7" t="str">
        <f>IFERROR(__xludf.DUMMYFUNCTION("CONCAT(REGEXREPLACE(C1161,""[ ,]+"",""_""),"".mp3"")"),"IT_support_specialist.mp3")</f>
        <v>IT_support_specialist.mp3</v>
      </c>
      <c r="M1161" s="4" t="s">
        <v>10</v>
      </c>
    </row>
    <row r="1162" ht="15.75" customHeight="1">
      <c r="A1162" s="1">
        <v>2530.0</v>
      </c>
      <c r="B1162" s="3">
        <v>150.0</v>
      </c>
      <c r="C1162" s="7" t="s">
        <v>1178</v>
      </c>
      <c r="D1162" s="8" t="str">
        <f>IFERROR(__xludf.DUMMYFUNCTION("GOOGLETRANSLATE(C1162, ""en"", ""pt"")"),"analista de segurança cibernética")</f>
        <v>analista de segurança cibernética</v>
      </c>
      <c r="E1162" s="8" t="str">
        <f>IFERROR(__xludf.DUMMYFUNCTION("GOOGLETRANSLATE(C1162, ""en"", ""es"")"),"analista de ciberseguridad")</f>
        <v>analista de ciberseguridad</v>
      </c>
      <c r="F1162" s="8" t="str">
        <f>IFERROR(__xludf.DUMMYFUNCTION("GOOGLETRANSLATE(C1162, ""en"", ""fr"")"),"analyste en cybersécurité")</f>
        <v>analyste en cybersécurité</v>
      </c>
      <c r="G1162" s="8" t="str">
        <f>IFERROR(__xludf.DUMMYFUNCTION("GOOGLETRANSLATE(C1162, ""en"", ""de"")"),"Cybersicherheitsanalyst")</f>
        <v>Cybersicherheitsanalyst</v>
      </c>
      <c r="H1162" s="8" t="str">
        <f>IFERROR(__xludf.DUMMYFUNCTION("GOOGLETRANSLATE(C1162, ""en"", ""ru"")"),"аналитик по кибербезопасности")</f>
        <v>аналитик по кибербезопасности</v>
      </c>
      <c r="I1162" s="8" t="str">
        <f>IFERROR(__xludf.DUMMYFUNCTION("GOOGLETRANSLATE(C1162, ""en"", ""ar"")"),"محلل الأمن السيبراني")</f>
        <v>محلل الأمن السيبراني</v>
      </c>
      <c r="J1162" s="8"/>
      <c r="K1162" s="7" t="str">
        <f>IFERROR(__xludf.DUMMYFUNCTION("CONCAT(REGEXREPLACE(C1162,""[ ,]+"",""_""),"".mp3"")"),"cybersecurity_analyst.mp3")</f>
        <v>cybersecurity_analyst.mp3</v>
      </c>
      <c r="M1162" s="4" t="s">
        <v>10</v>
      </c>
    </row>
    <row r="1163" ht="15.75" customHeight="1">
      <c r="A1163" s="1">
        <v>2531.0</v>
      </c>
      <c r="B1163" s="3">
        <v>150.0</v>
      </c>
      <c r="C1163" s="7" t="s">
        <v>1179</v>
      </c>
      <c r="D1163" s="8" t="str">
        <f>IFERROR(__xludf.DUMMYFUNCTION("GOOGLETRANSLATE(C1163, ""en"", ""pt"")"),"artista")</f>
        <v>artista</v>
      </c>
      <c r="E1163" s="8" t="str">
        <f>IFERROR(__xludf.DUMMYFUNCTION("GOOGLETRANSLATE(C1163, ""en"", ""es"")"),"artista")</f>
        <v>artista</v>
      </c>
      <c r="F1163" s="8" t="str">
        <f>IFERROR(__xludf.DUMMYFUNCTION("GOOGLETRANSLATE(C1163, ""en"", ""fr"")"),"artiste")</f>
        <v>artiste</v>
      </c>
      <c r="G1163" s="8" t="str">
        <f>IFERROR(__xludf.DUMMYFUNCTION("GOOGLETRANSLATE(C1163, ""en"", ""de"")"),"Künstler")</f>
        <v>Künstler</v>
      </c>
      <c r="H1163" s="8" t="str">
        <f>IFERROR(__xludf.DUMMYFUNCTION("GOOGLETRANSLATE(C1163, ""en"", ""ru"")"),"художник")</f>
        <v>художник</v>
      </c>
      <c r="I1163" s="8" t="str">
        <f>IFERROR(__xludf.DUMMYFUNCTION("GOOGLETRANSLATE(C1163, ""en"", ""ar"")"),"فنان")</f>
        <v>فنان</v>
      </c>
      <c r="J1163" s="8"/>
      <c r="K1163" s="7" t="str">
        <f>IFERROR(__xludf.DUMMYFUNCTION("CONCAT(REGEXREPLACE(C1163,""[ ,]+"",""_""),"".mp3"")"),"artist.mp3")</f>
        <v>artist.mp3</v>
      </c>
      <c r="M1163" s="4" t="s">
        <v>10</v>
      </c>
    </row>
    <row r="1164" ht="15.75" customHeight="1">
      <c r="A1164" s="1">
        <v>2532.0</v>
      </c>
      <c r="B1164" s="3">
        <v>150.0</v>
      </c>
      <c r="C1164" s="7" t="s">
        <v>1145</v>
      </c>
      <c r="D1164" s="8" t="str">
        <f>IFERROR(__xludf.DUMMYFUNCTION("GOOGLETRANSLATE(C1164, ""en"", ""pt"")"),"pintor")</f>
        <v>pintor</v>
      </c>
      <c r="E1164" s="8" t="str">
        <f>IFERROR(__xludf.DUMMYFUNCTION("GOOGLETRANSLATE(C1164, ""en"", ""es"")"),"pintor")</f>
        <v>pintor</v>
      </c>
      <c r="F1164" s="8" t="str">
        <f>IFERROR(__xludf.DUMMYFUNCTION("GOOGLETRANSLATE(C1164, ""en"", ""fr"")"),"peintre")</f>
        <v>peintre</v>
      </c>
      <c r="G1164" s="8" t="str">
        <f>IFERROR(__xludf.DUMMYFUNCTION("GOOGLETRANSLATE(C1164, ""en"", ""de"")"),"Maler")</f>
        <v>Maler</v>
      </c>
      <c r="H1164" s="8" t="str">
        <f>IFERROR(__xludf.DUMMYFUNCTION("GOOGLETRANSLATE(C1164, ""en"", ""ru"")"),"художник")</f>
        <v>художник</v>
      </c>
      <c r="I1164" s="8" t="str">
        <f>IFERROR(__xludf.DUMMYFUNCTION("GOOGLETRANSLATE(C1164, ""en"", ""ar"")"),"رسام")</f>
        <v>رسام</v>
      </c>
      <c r="J1164" s="8"/>
      <c r="K1164" s="7" t="str">
        <f>IFERROR(__xludf.DUMMYFUNCTION("CONCAT(REGEXREPLACE(C1164,""[ ,]+"",""_""),"".mp3"")"),"painter.mp3")</f>
        <v>painter.mp3</v>
      </c>
      <c r="M1164" s="4" t="s">
        <v>10</v>
      </c>
    </row>
    <row r="1165" ht="15.75" customHeight="1">
      <c r="A1165" s="1">
        <v>2533.0</v>
      </c>
      <c r="B1165" s="3">
        <v>150.0</v>
      </c>
      <c r="C1165" s="7" t="s">
        <v>1180</v>
      </c>
      <c r="D1165" s="8" t="str">
        <f>IFERROR(__xludf.DUMMYFUNCTION("GOOGLETRANSLATE(C1165, ""en"", ""pt"")"),"escultor")</f>
        <v>escultor</v>
      </c>
      <c r="E1165" s="8" t="str">
        <f>IFERROR(__xludf.DUMMYFUNCTION("GOOGLETRANSLATE(C1165, ""en"", ""es"")"),"escultor")</f>
        <v>escultor</v>
      </c>
      <c r="F1165" s="8" t="str">
        <f>IFERROR(__xludf.DUMMYFUNCTION("GOOGLETRANSLATE(C1165, ""en"", ""fr"")"),"sculpteur")</f>
        <v>sculpteur</v>
      </c>
      <c r="G1165" s="8" t="str">
        <f>IFERROR(__xludf.DUMMYFUNCTION("GOOGLETRANSLATE(C1165, ""en"", ""de"")"),"Bildhauer")</f>
        <v>Bildhauer</v>
      </c>
      <c r="H1165" s="8" t="str">
        <f>IFERROR(__xludf.DUMMYFUNCTION("GOOGLETRANSLATE(C1165, ""en"", ""ru"")"),"скульптор")</f>
        <v>скульптор</v>
      </c>
      <c r="I1165" s="8" t="str">
        <f>IFERROR(__xludf.DUMMYFUNCTION("GOOGLETRANSLATE(C1165, ""en"", ""ar"")"),"نحات")</f>
        <v>نحات</v>
      </c>
      <c r="J1165" s="8"/>
      <c r="K1165" s="7" t="str">
        <f>IFERROR(__xludf.DUMMYFUNCTION("CONCAT(REGEXREPLACE(C1165,""[ ,]+"",""_""),"".mp3"")"),"sculptor.mp3")</f>
        <v>sculptor.mp3</v>
      </c>
      <c r="M1165" s="4" t="s">
        <v>10</v>
      </c>
    </row>
    <row r="1166" ht="15.75" customHeight="1">
      <c r="A1166" s="1">
        <v>2534.0</v>
      </c>
      <c r="B1166" s="3">
        <v>150.0</v>
      </c>
      <c r="C1166" s="7" t="s">
        <v>1181</v>
      </c>
      <c r="D1166" s="8" t="str">
        <f>IFERROR(__xludf.DUMMYFUNCTION("GOOGLETRANSLATE(C1166, ""en"", ""pt"")"),"fotógrafo")</f>
        <v>fotógrafo</v>
      </c>
      <c r="E1166" s="8" t="str">
        <f>IFERROR(__xludf.DUMMYFUNCTION("GOOGLETRANSLATE(C1166, ""en"", ""es"")"),"fotógrafo")</f>
        <v>fotógrafo</v>
      </c>
      <c r="F1166" s="8" t="str">
        <f>IFERROR(__xludf.DUMMYFUNCTION("GOOGLETRANSLATE(C1166, ""en"", ""fr"")"),"photographe")</f>
        <v>photographe</v>
      </c>
      <c r="G1166" s="8" t="str">
        <f>IFERROR(__xludf.DUMMYFUNCTION("GOOGLETRANSLATE(C1166, ""en"", ""de"")"),"Fotograf")</f>
        <v>Fotograf</v>
      </c>
      <c r="H1166" s="8" t="str">
        <f>IFERROR(__xludf.DUMMYFUNCTION("GOOGLETRANSLATE(C1166, ""en"", ""ru"")"),"фотограф")</f>
        <v>фотограф</v>
      </c>
      <c r="I1166" s="8" t="str">
        <f>IFERROR(__xludf.DUMMYFUNCTION("GOOGLETRANSLATE(C1166, ""en"", ""ar"")"),"مصور")</f>
        <v>مصور</v>
      </c>
      <c r="J1166" s="8"/>
      <c r="K1166" s="7" t="str">
        <f>IFERROR(__xludf.DUMMYFUNCTION("CONCAT(REGEXREPLACE(C1166,""[ ,]+"",""_""),"".mp3"")"),"photographer.mp3")</f>
        <v>photographer.mp3</v>
      </c>
      <c r="M1166" s="4" t="s">
        <v>10</v>
      </c>
    </row>
    <row r="1167" ht="15.75" customHeight="1">
      <c r="A1167" s="1">
        <v>2535.0</v>
      </c>
      <c r="B1167" s="3">
        <v>150.0</v>
      </c>
      <c r="C1167" s="7" t="s">
        <v>1182</v>
      </c>
      <c r="D1167" s="8" t="str">
        <f>IFERROR(__xludf.DUMMYFUNCTION("GOOGLETRANSLATE(C1167, ""en"", ""pt"")"),"designer gráfico")</f>
        <v>designer gráfico</v>
      </c>
      <c r="E1167" s="8" t="str">
        <f>IFERROR(__xludf.DUMMYFUNCTION("GOOGLETRANSLATE(C1167, ""en"", ""es"")"),"diseñador gráfico")</f>
        <v>diseñador gráfico</v>
      </c>
      <c r="F1167" s="8" t="str">
        <f>IFERROR(__xludf.DUMMYFUNCTION("GOOGLETRANSLATE(C1167, ""en"", ""fr"")"),"graphiste")</f>
        <v>graphiste</v>
      </c>
      <c r="G1167" s="8" t="str">
        <f>IFERROR(__xludf.DUMMYFUNCTION("GOOGLETRANSLATE(C1167, ""en"", ""de"")"),"Grafikdesigner")</f>
        <v>Grafikdesigner</v>
      </c>
      <c r="H1167" s="8" t="str">
        <f>IFERROR(__xludf.DUMMYFUNCTION("GOOGLETRANSLATE(C1167, ""en"", ""ru"")"),"графический дизайнер")</f>
        <v>графический дизайнер</v>
      </c>
      <c r="I1167" s="8" t="str">
        <f>IFERROR(__xludf.DUMMYFUNCTION("GOOGLETRANSLATE(C1167, ""en"", ""ar"")"),"مصمم جرافيك")</f>
        <v>مصمم جرافيك</v>
      </c>
      <c r="J1167" s="8"/>
      <c r="K1167" s="7" t="str">
        <f>IFERROR(__xludf.DUMMYFUNCTION("CONCAT(REGEXREPLACE(C1167,""[ ,]+"",""_""),"".mp3"")"),"graphic_designer.mp3")</f>
        <v>graphic_designer.mp3</v>
      </c>
      <c r="M1167" s="4" t="s">
        <v>10</v>
      </c>
    </row>
    <row r="1168" ht="15.75" customHeight="1">
      <c r="A1168" s="1">
        <v>2536.0</v>
      </c>
      <c r="B1168" s="3">
        <v>150.0</v>
      </c>
      <c r="C1168" s="7" t="s">
        <v>1183</v>
      </c>
      <c r="D1168" s="8" t="str">
        <f>IFERROR(__xludf.DUMMYFUNCTION("GOOGLETRANSLATE(C1168, ""en"", ""pt"")"),"ilustrador")</f>
        <v>ilustrador</v>
      </c>
      <c r="E1168" s="8" t="str">
        <f>IFERROR(__xludf.DUMMYFUNCTION("GOOGLETRANSLATE(C1168, ""en"", ""es"")"),"ilustrador")</f>
        <v>ilustrador</v>
      </c>
      <c r="F1168" s="8" t="str">
        <f>IFERROR(__xludf.DUMMYFUNCTION("GOOGLETRANSLATE(C1168, ""en"", ""fr"")"),"illustrateur")</f>
        <v>illustrateur</v>
      </c>
      <c r="G1168" s="8" t="str">
        <f>IFERROR(__xludf.DUMMYFUNCTION("GOOGLETRANSLATE(C1168, ""en"", ""de"")"),"Illustrator")</f>
        <v>Illustrator</v>
      </c>
      <c r="H1168" s="8" t="str">
        <f>IFERROR(__xludf.DUMMYFUNCTION("GOOGLETRANSLATE(C1168, ""en"", ""ru"")"),"иллюстратор")</f>
        <v>иллюстратор</v>
      </c>
      <c r="I1168" s="8" t="str">
        <f>IFERROR(__xludf.DUMMYFUNCTION("GOOGLETRANSLATE(C1168, ""en"", ""ar"")"),"رسام")</f>
        <v>رسام</v>
      </c>
      <c r="J1168" s="8"/>
      <c r="K1168" s="7" t="str">
        <f>IFERROR(__xludf.DUMMYFUNCTION("CONCAT(REGEXREPLACE(C1168,""[ ,]+"",""_""),"".mp3"")"),"illustrator.mp3")</f>
        <v>illustrator.mp3</v>
      </c>
      <c r="M1168" s="4" t="s">
        <v>10</v>
      </c>
    </row>
    <row r="1169" ht="15.75" customHeight="1">
      <c r="A1169" s="1">
        <v>2537.0</v>
      </c>
      <c r="B1169" s="3">
        <v>150.0</v>
      </c>
      <c r="C1169" s="7" t="s">
        <v>1184</v>
      </c>
      <c r="D1169" s="8" t="str">
        <f>IFERROR(__xludf.DUMMYFUNCTION("GOOGLETRANSLATE(C1169, ""en"", ""pt"")"),"animador")</f>
        <v>animador</v>
      </c>
      <c r="E1169" s="8" t="str">
        <f>IFERROR(__xludf.DUMMYFUNCTION("GOOGLETRANSLATE(C1169, ""en"", ""es"")"),"animador")</f>
        <v>animador</v>
      </c>
      <c r="F1169" s="8" t="str">
        <f>IFERROR(__xludf.DUMMYFUNCTION("GOOGLETRANSLATE(C1169, ""en"", ""fr"")"),"animateur")</f>
        <v>animateur</v>
      </c>
      <c r="G1169" s="8" t="str">
        <f>IFERROR(__xludf.DUMMYFUNCTION("GOOGLETRANSLATE(C1169, ""en"", ""de"")"),"Animator")</f>
        <v>Animator</v>
      </c>
      <c r="H1169" s="8" t="str">
        <f>IFERROR(__xludf.DUMMYFUNCTION("GOOGLETRANSLATE(C1169, ""en"", ""ru"")"),"аниматор")</f>
        <v>аниматор</v>
      </c>
      <c r="I1169" s="8" t="str">
        <f>IFERROR(__xludf.DUMMYFUNCTION("GOOGLETRANSLATE(C1169, ""en"", ""ar"")"),"رسام الرسوم المتحركة")</f>
        <v>رسام الرسوم المتحركة</v>
      </c>
      <c r="J1169" s="8"/>
      <c r="K1169" s="7" t="str">
        <f>IFERROR(__xludf.DUMMYFUNCTION("CONCAT(REGEXREPLACE(C1169,""[ ,]+"",""_""),"".mp3"")"),"animator.mp3")</f>
        <v>animator.mp3</v>
      </c>
      <c r="M1169" s="4" t="s">
        <v>10</v>
      </c>
    </row>
    <row r="1170" ht="15.75" customHeight="1">
      <c r="A1170" s="1">
        <v>2538.0</v>
      </c>
      <c r="B1170" s="3">
        <v>150.0</v>
      </c>
      <c r="C1170" s="7" t="s">
        <v>1185</v>
      </c>
      <c r="D1170" s="8" t="str">
        <f>IFERROR(__xludf.DUMMYFUNCTION("GOOGLETRANSLATE(C1170, ""en"", ""pt"")"),"ator")</f>
        <v>ator</v>
      </c>
      <c r="E1170" s="8" t="str">
        <f>IFERROR(__xludf.DUMMYFUNCTION("GOOGLETRANSLATE(C1170, ""en"", ""es"")"),"actor")</f>
        <v>actor</v>
      </c>
      <c r="F1170" s="8" t="str">
        <f>IFERROR(__xludf.DUMMYFUNCTION("GOOGLETRANSLATE(C1170, ""en"", ""fr"")"),"acteur")</f>
        <v>acteur</v>
      </c>
      <c r="G1170" s="8" t="str">
        <f>IFERROR(__xludf.DUMMYFUNCTION("GOOGLETRANSLATE(C1170, ""en"", ""de"")"),"Schauspieler")</f>
        <v>Schauspieler</v>
      </c>
      <c r="H1170" s="8" t="str">
        <f>IFERROR(__xludf.DUMMYFUNCTION("GOOGLETRANSLATE(C1170, ""en"", ""ru"")"),"актёр")</f>
        <v>актёр</v>
      </c>
      <c r="I1170" s="8" t="str">
        <f>IFERROR(__xludf.DUMMYFUNCTION("GOOGLETRANSLATE(C1170, ""en"", ""ar"")"),"ممثل")</f>
        <v>ممثل</v>
      </c>
      <c r="J1170" s="8"/>
      <c r="K1170" s="7" t="str">
        <f>IFERROR(__xludf.DUMMYFUNCTION("CONCAT(REGEXREPLACE(C1170,""[ ,]+"",""_""),"".mp3"")"),"actor.mp3")</f>
        <v>actor.mp3</v>
      </c>
      <c r="M1170" s="4" t="s">
        <v>10</v>
      </c>
    </row>
    <row r="1171" ht="15.75" customHeight="1">
      <c r="A1171" s="1">
        <v>2539.0</v>
      </c>
      <c r="B1171" s="3">
        <v>150.0</v>
      </c>
      <c r="C1171" s="7" t="s">
        <v>1186</v>
      </c>
      <c r="D1171" s="8" t="str">
        <f>IFERROR(__xludf.DUMMYFUNCTION("GOOGLETRANSLATE(C1171, ""en"", ""pt"")"),"atriz")</f>
        <v>atriz</v>
      </c>
      <c r="E1171" s="8" t="str">
        <f>IFERROR(__xludf.DUMMYFUNCTION("GOOGLETRANSLATE(C1171, ""en"", ""es"")"),"actriz")</f>
        <v>actriz</v>
      </c>
      <c r="F1171" s="8" t="str">
        <f>IFERROR(__xludf.DUMMYFUNCTION("GOOGLETRANSLATE(C1171, ""en"", ""fr"")"),"actrice")</f>
        <v>actrice</v>
      </c>
      <c r="G1171" s="8" t="str">
        <f>IFERROR(__xludf.DUMMYFUNCTION("GOOGLETRANSLATE(C1171, ""en"", ""de"")"),"Darstellerin")</f>
        <v>Darstellerin</v>
      </c>
      <c r="H1171" s="8" t="str">
        <f>IFERROR(__xludf.DUMMYFUNCTION("GOOGLETRANSLATE(C1171, ""en"", ""ru"")"),"актриса")</f>
        <v>актриса</v>
      </c>
      <c r="I1171" s="8" t="str">
        <f>IFERROR(__xludf.DUMMYFUNCTION("GOOGLETRANSLATE(C1171, ""en"", ""ar"")"),"ممثلة")</f>
        <v>ممثلة</v>
      </c>
      <c r="J1171" s="8"/>
      <c r="K1171" s="7" t="str">
        <f>IFERROR(__xludf.DUMMYFUNCTION("CONCAT(REGEXREPLACE(C1171,""[ ,]+"",""_""),"".mp3"")"),"actress.mp3")</f>
        <v>actress.mp3</v>
      </c>
      <c r="M1171" s="4" t="s">
        <v>10</v>
      </c>
    </row>
    <row r="1172" ht="15.75" customHeight="1">
      <c r="A1172" s="1">
        <v>2540.0</v>
      </c>
      <c r="B1172" s="3">
        <v>150.0</v>
      </c>
      <c r="C1172" s="7" t="s">
        <v>1187</v>
      </c>
      <c r="D1172" s="8" t="str">
        <f>IFERROR(__xludf.DUMMYFUNCTION("GOOGLETRANSLATE(C1172, ""en"", ""pt"")"),"diretor")</f>
        <v>diretor</v>
      </c>
      <c r="E1172" s="8" t="str">
        <f>IFERROR(__xludf.DUMMYFUNCTION("GOOGLETRANSLATE(C1172, ""en"", ""es"")"),"director")</f>
        <v>director</v>
      </c>
      <c r="F1172" s="8" t="str">
        <f>IFERROR(__xludf.DUMMYFUNCTION("GOOGLETRANSLATE(C1172, ""en"", ""fr"")"),"directeur")</f>
        <v>directeur</v>
      </c>
      <c r="G1172" s="8" t="str">
        <f>IFERROR(__xludf.DUMMYFUNCTION("GOOGLETRANSLATE(C1172, ""en"", ""de"")"),"Direktor")</f>
        <v>Direktor</v>
      </c>
      <c r="H1172" s="8" t="str">
        <f>IFERROR(__xludf.DUMMYFUNCTION("GOOGLETRANSLATE(C1172, ""en"", ""ru"")"),"режиссер")</f>
        <v>режиссер</v>
      </c>
      <c r="I1172" s="8" t="str">
        <f>IFERROR(__xludf.DUMMYFUNCTION("GOOGLETRANSLATE(C1172, ""en"", ""ar"")"),"مخرج")</f>
        <v>مخرج</v>
      </c>
      <c r="J1172" s="8"/>
      <c r="K1172" s="7" t="str">
        <f>IFERROR(__xludf.DUMMYFUNCTION("CONCAT(REGEXREPLACE(C1172,""[ ,]+"",""_""),"".mp3"")"),"director.mp3")</f>
        <v>director.mp3</v>
      </c>
      <c r="M1172" s="4" t="s">
        <v>10</v>
      </c>
    </row>
    <row r="1173" ht="15.75" customHeight="1">
      <c r="A1173" s="1">
        <v>2541.0</v>
      </c>
      <c r="B1173" s="3">
        <v>150.0</v>
      </c>
      <c r="C1173" s="7" t="s">
        <v>1188</v>
      </c>
      <c r="D1173" s="8" t="str">
        <f>IFERROR(__xludf.DUMMYFUNCTION("GOOGLETRANSLATE(C1173, ""en"", ""pt"")"),"produtor")</f>
        <v>produtor</v>
      </c>
      <c r="E1173" s="8" t="str">
        <f>IFERROR(__xludf.DUMMYFUNCTION("GOOGLETRANSLATE(C1173, ""en"", ""es"")"),"productor")</f>
        <v>productor</v>
      </c>
      <c r="F1173" s="8" t="str">
        <f>IFERROR(__xludf.DUMMYFUNCTION("GOOGLETRANSLATE(C1173, ""en"", ""fr"")"),"producteur")</f>
        <v>producteur</v>
      </c>
      <c r="G1173" s="8" t="str">
        <f>IFERROR(__xludf.DUMMYFUNCTION("GOOGLETRANSLATE(C1173, ""en"", ""de"")"),"Produzent")</f>
        <v>Produzent</v>
      </c>
      <c r="H1173" s="8" t="str">
        <f>IFERROR(__xludf.DUMMYFUNCTION("GOOGLETRANSLATE(C1173, ""en"", ""ru"")"),"продюсер")</f>
        <v>продюсер</v>
      </c>
      <c r="I1173" s="8" t="str">
        <f>IFERROR(__xludf.DUMMYFUNCTION("GOOGLETRANSLATE(C1173, ""en"", ""ar"")"),"منتج")</f>
        <v>منتج</v>
      </c>
      <c r="J1173" s="8"/>
      <c r="K1173" s="7" t="str">
        <f>IFERROR(__xludf.DUMMYFUNCTION("CONCAT(REGEXREPLACE(C1173,""[ ,]+"",""_""),"".mp3"")"),"producer.mp3")</f>
        <v>producer.mp3</v>
      </c>
      <c r="M1173" s="4" t="s">
        <v>10</v>
      </c>
    </row>
    <row r="1174" ht="15.75" customHeight="1">
      <c r="A1174" s="1">
        <v>2542.0</v>
      </c>
      <c r="B1174" s="3">
        <v>150.0</v>
      </c>
      <c r="C1174" s="7" t="s">
        <v>1189</v>
      </c>
      <c r="D1174" s="8" t="str">
        <f>IFERROR(__xludf.DUMMYFUNCTION("GOOGLETRANSLATE(C1174, ""en"", ""pt"")"),"roteirista")</f>
        <v>roteirista</v>
      </c>
      <c r="E1174" s="8" t="str">
        <f>IFERROR(__xludf.DUMMYFUNCTION("GOOGLETRANSLATE(C1174, ""en"", ""es"")"),"guionista")</f>
        <v>guionista</v>
      </c>
      <c r="F1174" s="8" t="str">
        <f>IFERROR(__xludf.DUMMYFUNCTION("GOOGLETRANSLATE(C1174, ""en"", ""fr"")"),"scénariste")</f>
        <v>scénariste</v>
      </c>
      <c r="G1174" s="8" t="str">
        <f>IFERROR(__xludf.DUMMYFUNCTION("GOOGLETRANSLATE(C1174, ""en"", ""de"")"),"Drehbuchautor")</f>
        <v>Drehbuchautor</v>
      </c>
      <c r="H1174" s="8" t="str">
        <f>IFERROR(__xludf.DUMMYFUNCTION("GOOGLETRANSLATE(C1174, ""en"", ""ru"")"),"сценарист")</f>
        <v>сценарист</v>
      </c>
      <c r="I1174" s="8" t="str">
        <f>IFERROR(__xludf.DUMMYFUNCTION("GOOGLETRANSLATE(C1174, ""en"", ""ar"")"),"كاتب السيناريو")</f>
        <v>كاتب السيناريو</v>
      </c>
      <c r="J1174" s="8"/>
      <c r="K1174" s="7" t="str">
        <f>IFERROR(__xludf.DUMMYFUNCTION("CONCAT(REGEXREPLACE(C1174,""[ ,]+"",""_""),"".mp3"")"),"screenwriter.mp3")</f>
        <v>screenwriter.mp3</v>
      </c>
      <c r="M1174" s="4" t="s">
        <v>10</v>
      </c>
    </row>
    <row r="1175" ht="15.75" customHeight="1">
      <c r="A1175" s="1">
        <v>2543.0</v>
      </c>
      <c r="B1175" s="3">
        <v>150.0</v>
      </c>
      <c r="C1175" s="7" t="s">
        <v>1190</v>
      </c>
      <c r="D1175" s="8" t="str">
        <f>IFERROR(__xludf.DUMMYFUNCTION("GOOGLETRANSLATE(C1175, ""en"", ""pt"")"),"jornalista")</f>
        <v>jornalista</v>
      </c>
      <c r="E1175" s="8" t="str">
        <f>IFERROR(__xludf.DUMMYFUNCTION("GOOGLETRANSLATE(C1175, ""en"", ""es"")"),"periodista")</f>
        <v>periodista</v>
      </c>
      <c r="F1175" s="8" t="str">
        <f>IFERROR(__xludf.DUMMYFUNCTION("GOOGLETRANSLATE(C1175, ""en"", ""fr"")"),"journaliste")</f>
        <v>journaliste</v>
      </c>
      <c r="G1175" s="8" t="str">
        <f>IFERROR(__xludf.DUMMYFUNCTION("GOOGLETRANSLATE(C1175, ""en"", ""de"")"),"Journalist")</f>
        <v>Journalist</v>
      </c>
      <c r="H1175" s="8" t="str">
        <f>IFERROR(__xludf.DUMMYFUNCTION("GOOGLETRANSLATE(C1175, ""en"", ""ru"")"),"журналист")</f>
        <v>журналист</v>
      </c>
      <c r="I1175" s="8" t="str">
        <f>IFERROR(__xludf.DUMMYFUNCTION("GOOGLETRANSLATE(C1175, ""en"", ""ar"")"),"صحفي")</f>
        <v>صحفي</v>
      </c>
      <c r="J1175" s="8"/>
      <c r="K1175" s="7" t="str">
        <f>IFERROR(__xludf.DUMMYFUNCTION("CONCAT(REGEXREPLACE(C1175,""[ ,]+"",""_""),"".mp3"")"),"journalist.mp3")</f>
        <v>journalist.mp3</v>
      </c>
      <c r="M1175" s="4" t="s">
        <v>10</v>
      </c>
    </row>
    <row r="1176" ht="15.75" customHeight="1">
      <c r="A1176" s="1">
        <v>2544.0</v>
      </c>
      <c r="B1176" s="3">
        <v>150.0</v>
      </c>
      <c r="C1176" s="7" t="s">
        <v>1191</v>
      </c>
      <c r="D1176" s="8" t="str">
        <f>IFERROR(__xludf.DUMMYFUNCTION("GOOGLETRANSLATE(C1176, ""en"", ""pt"")"),"repórter")</f>
        <v>repórter</v>
      </c>
      <c r="E1176" s="8" t="str">
        <f>IFERROR(__xludf.DUMMYFUNCTION("GOOGLETRANSLATE(C1176, ""en"", ""es"")"),"reportero")</f>
        <v>reportero</v>
      </c>
      <c r="F1176" s="8" t="str">
        <f>IFERROR(__xludf.DUMMYFUNCTION("GOOGLETRANSLATE(C1176, ""en"", ""fr"")"),"journaliste")</f>
        <v>journaliste</v>
      </c>
      <c r="G1176" s="8" t="str">
        <f>IFERROR(__xludf.DUMMYFUNCTION("GOOGLETRANSLATE(C1176, ""en"", ""de"")"),"Reporter")</f>
        <v>Reporter</v>
      </c>
      <c r="H1176" s="8" t="str">
        <f>IFERROR(__xludf.DUMMYFUNCTION("GOOGLETRANSLATE(C1176, ""en"", ""ru"")"),"репортер")</f>
        <v>репортер</v>
      </c>
      <c r="I1176" s="8" t="str">
        <f>IFERROR(__xludf.DUMMYFUNCTION("GOOGLETRANSLATE(C1176, ""en"", ""ar"")"),"مراسل")</f>
        <v>مراسل</v>
      </c>
      <c r="J1176" s="8"/>
      <c r="K1176" s="7" t="str">
        <f>IFERROR(__xludf.DUMMYFUNCTION("CONCAT(REGEXREPLACE(C1176,""[ ,]+"",""_""),"".mp3"")"),"reporter.mp3")</f>
        <v>reporter.mp3</v>
      </c>
      <c r="M1176" s="4" t="s">
        <v>10</v>
      </c>
    </row>
    <row r="1177" ht="15.75" customHeight="1">
      <c r="A1177" s="1">
        <v>2545.0</v>
      </c>
      <c r="B1177" s="3">
        <v>150.0</v>
      </c>
      <c r="C1177" s="7" t="s">
        <v>1192</v>
      </c>
      <c r="D1177" s="8" t="str">
        <f>IFERROR(__xludf.DUMMYFUNCTION("GOOGLETRANSLATE(C1177, ""en"", ""pt"")"),"editor")</f>
        <v>editor</v>
      </c>
      <c r="E1177" s="8" t="str">
        <f>IFERROR(__xludf.DUMMYFUNCTION("GOOGLETRANSLATE(C1177, ""en"", ""es"")"),"editor")</f>
        <v>editor</v>
      </c>
      <c r="F1177" s="8" t="str">
        <f>IFERROR(__xludf.DUMMYFUNCTION("GOOGLETRANSLATE(C1177, ""en"", ""fr"")"),"éditeur")</f>
        <v>éditeur</v>
      </c>
      <c r="G1177" s="8" t="str">
        <f>IFERROR(__xludf.DUMMYFUNCTION("GOOGLETRANSLATE(C1177, ""en"", ""de"")"),"Editor")</f>
        <v>Editor</v>
      </c>
      <c r="H1177" s="8" t="str">
        <f>IFERROR(__xludf.DUMMYFUNCTION("GOOGLETRANSLATE(C1177, ""en"", ""ru"")"),"редактор")</f>
        <v>редактор</v>
      </c>
      <c r="I1177" s="8" t="str">
        <f>IFERROR(__xludf.DUMMYFUNCTION("GOOGLETRANSLATE(C1177, ""en"", ""ar"")"),"محرر")</f>
        <v>محرر</v>
      </c>
      <c r="J1177" s="8"/>
      <c r="K1177" s="7" t="str">
        <f>IFERROR(__xludf.DUMMYFUNCTION("CONCAT(REGEXREPLACE(C1177,""[ ,]+"",""_""),"".mp3"")"),"editor.mp3")</f>
        <v>editor.mp3</v>
      </c>
      <c r="M1177" s="4" t="s">
        <v>10</v>
      </c>
    </row>
    <row r="1178" ht="15.75" customHeight="1">
      <c r="A1178" s="1">
        <v>2546.0</v>
      </c>
      <c r="B1178" s="3">
        <v>150.0</v>
      </c>
      <c r="C1178" s="7" t="s">
        <v>1193</v>
      </c>
      <c r="D1178" s="8" t="str">
        <f>IFERROR(__xludf.DUMMYFUNCTION("GOOGLETRANSLATE(C1178, ""en"", ""pt"")"),"apresentador de notícias")</f>
        <v>apresentador de notícias</v>
      </c>
      <c r="E1178" s="8" t="str">
        <f>IFERROR(__xludf.DUMMYFUNCTION("GOOGLETRANSLATE(C1178, ""en"", ""es"")"),"locutor de telediario")</f>
        <v>locutor de telediario</v>
      </c>
      <c r="F1178" s="8" t="str">
        <f>IFERROR(__xludf.DUMMYFUNCTION("GOOGLETRANSLATE(C1178, ""en"", ""fr"")"),"présentateur de nouvelles")</f>
        <v>présentateur de nouvelles</v>
      </c>
      <c r="G1178" s="8" t="str">
        <f>IFERROR(__xludf.DUMMYFUNCTION("GOOGLETRANSLATE(C1178, ""en"", ""de"")"),"Nachrichtensprecher")</f>
        <v>Nachrichtensprecher</v>
      </c>
      <c r="H1178" s="8" t="str">
        <f>IFERROR(__xludf.DUMMYFUNCTION("GOOGLETRANSLATE(C1178, ""en"", ""ru"")"),"диктор новостей")</f>
        <v>диктор новостей</v>
      </c>
      <c r="I1178" s="8" t="str">
        <f>IFERROR(__xludf.DUMMYFUNCTION("GOOGLETRANSLATE(C1178, ""en"", ""ar"")"),"قارئ الأخبار")</f>
        <v>قارئ الأخبار</v>
      </c>
      <c r="J1178" s="8"/>
      <c r="K1178" s="7" t="str">
        <f>IFERROR(__xludf.DUMMYFUNCTION("CONCAT(REGEXREPLACE(C1178,""[ ,]+"",""_""),"".mp3"")"),"newsreader.mp3")</f>
        <v>newsreader.mp3</v>
      </c>
      <c r="M1178" s="4" t="s">
        <v>10</v>
      </c>
    </row>
    <row r="1179" ht="15.75" customHeight="1">
      <c r="A1179" s="1">
        <v>2547.0</v>
      </c>
      <c r="B1179" s="3">
        <v>150.0</v>
      </c>
      <c r="C1179" s="7" t="s">
        <v>1194</v>
      </c>
      <c r="D1179" s="8" t="str">
        <f>IFERROR(__xludf.DUMMYFUNCTION("GOOGLETRANSLATE(C1179, ""en"", ""pt"")"),"escritor")</f>
        <v>escritor</v>
      </c>
      <c r="E1179" s="8" t="str">
        <f>IFERROR(__xludf.DUMMYFUNCTION("GOOGLETRANSLATE(C1179, ""en"", ""es"")"),"escritor")</f>
        <v>escritor</v>
      </c>
      <c r="F1179" s="8" t="str">
        <f>IFERROR(__xludf.DUMMYFUNCTION("GOOGLETRANSLATE(C1179, ""en"", ""fr"")"),"écrivain")</f>
        <v>écrivain</v>
      </c>
      <c r="G1179" s="8" t="str">
        <f>IFERROR(__xludf.DUMMYFUNCTION("GOOGLETRANSLATE(C1179, ""en"", ""de"")"),"Schriftsteller")</f>
        <v>Schriftsteller</v>
      </c>
      <c r="H1179" s="8" t="str">
        <f>IFERROR(__xludf.DUMMYFUNCTION("GOOGLETRANSLATE(C1179, ""en"", ""ru"")"),"писатель")</f>
        <v>писатель</v>
      </c>
      <c r="I1179" s="8" t="str">
        <f>IFERROR(__xludf.DUMMYFUNCTION("GOOGLETRANSLATE(C1179, ""en"", ""ar"")"),"الكاتب")</f>
        <v>الكاتب</v>
      </c>
      <c r="J1179" s="8"/>
      <c r="K1179" s="7" t="str">
        <f>IFERROR(__xludf.DUMMYFUNCTION("CONCAT(REGEXREPLACE(C1179,""[ ,]+"",""_""),"".mp3"")"),"writer.mp3")</f>
        <v>writer.mp3</v>
      </c>
      <c r="M1179" s="4" t="s">
        <v>10</v>
      </c>
    </row>
    <row r="1180" ht="15.75" customHeight="1">
      <c r="A1180" s="1">
        <v>2548.0</v>
      </c>
      <c r="B1180" s="3">
        <v>150.0</v>
      </c>
      <c r="C1180" s="7" t="s">
        <v>1195</v>
      </c>
      <c r="D1180" s="8" t="str">
        <f>IFERROR(__xludf.DUMMYFUNCTION("GOOGLETRANSLATE(C1180, ""en"", ""pt"")"),"autor")</f>
        <v>autor</v>
      </c>
      <c r="E1180" s="8" t="str">
        <f>IFERROR(__xludf.DUMMYFUNCTION("GOOGLETRANSLATE(C1180, ""en"", ""es"")"),"autor")</f>
        <v>autor</v>
      </c>
      <c r="F1180" s="8" t="str">
        <f>IFERROR(__xludf.DUMMYFUNCTION("GOOGLETRANSLATE(C1180, ""en"", ""fr"")"),"auteur")</f>
        <v>auteur</v>
      </c>
      <c r="G1180" s="8" t="str">
        <f>IFERROR(__xludf.DUMMYFUNCTION("GOOGLETRANSLATE(C1180, ""en"", ""de"")"),"Autor")</f>
        <v>Autor</v>
      </c>
      <c r="H1180" s="8" t="str">
        <f>IFERROR(__xludf.DUMMYFUNCTION("GOOGLETRANSLATE(C1180, ""en"", ""ru"")"),"автор")</f>
        <v>автор</v>
      </c>
      <c r="I1180" s="8" t="str">
        <f>IFERROR(__xludf.DUMMYFUNCTION("GOOGLETRANSLATE(C1180, ""en"", ""ar"")"),"مؤلف")</f>
        <v>مؤلف</v>
      </c>
      <c r="J1180" s="8"/>
      <c r="K1180" s="7" t="str">
        <f>IFERROR(__xludf.DUMMYFUNCTION("CONCAT(REGEXREPLACE(C1180,""[ ,]+"",""_""),"".mp3"")"),"author.mp3")</f>
        <v>author.mp3</v>
      </c>
      <c r="M1180" s="4" t="s">
        <v>10</v>
      </c>
    </row>
    <row r="1181" ht="15.75" customHeight="1">
      <c r="A1181" s="1">
        <v>2549.0</v>
      </c>
      <c r="B1181" s="3">
        <v>150.0</v>
      </c>
      <c r="C1181" s="7" t="s">
        <v>1196</v>
      </c>
      <c r="D1181" s="8" t="str">
        <f>IFERROR(__xludf.DUMMYFUNCTION("GOOGLETRANSLATE(C1181, ""en"", ""pt"")"),"poeta")</f>
        <v>poeta</v>
      </c>
      <c r="E1181" s="8" t="str">
        <f>IFERROR(__xludf.DUMMYFUNCTION("GOOGLETRANSLATE(C1181, ""en"", ""es"")"),"poeta")</f>
        <v>poeta</v>
      </c>
      <c r="F1181" s="8" t="str">
        <f>IFERROR(__xludf.DUMMYFUNCTION("GOOGLETRANSLATE(C1181, ""en"", ""fr"")"),"poète")</f>
        <v>poète</v>
      </c>
      <c r="G1181" s="8" t="str">
        <f>IFERROR(__xludf.DUMMYFUNCTION("GOOGLETRANSLATE(C1181, ""en"", ""de"")"),"Dichter")</f>
        <v>Dichter</v>
      </c>
      <c r="H1181" s="8" t="str">
        <f>IFERROR(__xludf.DUMMYFUNCTION("GOOGLETRANSLATE(C1181, ""en"", ""ru"")"),"поэт")</f>
        <v>поэт</v>
      </c>
      <c r="I1181" s="8" t="str">
        <f>IFERROR(__xludf.DUMMYFUNCTION("GOOGLETRANSLATE(C1181, ""en"", ""ar"")"),"شاعر")</f>
        <v>شاعر</v>
      </c>
      <c r="J1181" s="8"/>
      <c r="K1181" s="7" t="str">
        <f>IFERROR(__xludf.DUMMYFUNCTION("CONCAT(REGEXREPLACE(C1181,""[ ,]+"",""_""),"".mp3"")"),"poet.mp3")</f>
        <v>poet.mp3</v>
      </c>
      <c r="M1181" s="4" t="s">
        <v>10</v>
      </c>
    </row>
    <row r="1182" ht="15.75" customHeight="1">
      <c r="A1182" s="1">
        <v>2550.0</v>
      </c>
      <c r="B1182" s="3">
        <v>150.0</v>
      </c>
      <c r="C1182" s="7" t="s">
        <v>1197</v>
      </c>
      <c r="D1182" s="8" t="str">
        <f>IFERROR(__xludf.DUMMYFUNCTION("GOOGLETRANSLATE(C1182, ""en"", ""pt"")"),"músico")</f>
        <v>músico</v>
      </c>
      <c r="E1182" s="8" t="str">
        <f>IFERROR(__xludf.DUMMYFUNCTION("GOOGLETRANSLATE(C1182, ""en"", ""es"")"),"músico")</f>
        <v>músico</v>
      </c>
      <c r="F1182" s="8" t="str">
        <f>IFERROR(__xludf.DUMMYFUNCTION("GOOGLETRANSLATE(C1182, ""en"", ""fr"")"),"musicien")</f>
        <v>musicien</v>
      </c>
      <c r="G1182" s="8" t="str">
        <f>IFERROR(__xludf.DUMMYFUNCTION("GOOGLETRANSLATE(C1182, ""en"", ""de"")"),"Musiker")</f>
        <v>Musiker</v>
      </c>
      <c r="H1182" s="8" t="str">
        <f>IFERROR(__xludf.DUMMYFUNCTION("GOOGLETRANSLATE(C1182, ""en"", ""ru"")"),"музыкант")</f>
        <v>музыкант</v>
      </c>
      <c r="I1182" s="8" t="str">
        <f>IFERROR(__xludf.DUMMYFUNCTION("GOOGLETRANSLATE(C1182, ""en"", ""ar"")"),"موسيقي")</f>
        <v>موسيقي</v>
      </c>
      <c r="J1182" s="8"/>
      <c r="K1182" s="7" t="str">
        <f>IFERROR(__xludf.DUMMYFUNCTION("CONCAT(REGEXREPLACE(C1182,""[ ,]+"",""_""),"".mp3"")"),"musician.mp3")</f>
        <v>musician.mp3</v>
      </c>
      <c r="M1182" s="4" t="s">
        <v>10</v>
      </c>
    </row>
    <row r="1183" ht="15.75" customHeight="1">
      <c r="A1183" s="1">
        <v>2551.0</v>
      </c>
      <c r="B1183" s="3">
        <v>150.0</v>
      </c>
      <c r="C1183" s="7" t="s">
        <v>1198</v>
      </c>
      <c r="D1183" s="8" t="str">
        <f>IFERROR(__xludf.DUMMYFUNCTION("GOOGLETRANSLATE(C1183, ""en"", ""pt"")"),"cantor")</f>
        <v>cantor</v>
      </c>
      <c r="E1183" s="8" t="str">
        <f>IFERROR(__xludf.DUMMYFUNCTION("GOOGLETRANSLATE(C1183, ""en"", ""es"")"),"cantante")</f>
        <v>cantante</v>
      </c>
      <c r="F1183" s="8" t="str">
        <f>IFERROR(__xludf.DUMMYFUNCTION("GOOGLETRANSLATE(C1183, ""en"", ""fr"")"),"chanteur")</f>
        <v>chanteur</v>
      </c>
      <c r="G1183" s="8" t="str">
        <f>IFERROR(__xludf.DUMMYFUNCTION("GOOGLETRANSLATE(C1183, ""en"", ""de"")"),"Sänger")</f>
        <v>Sänger</v>
      </c>
      <c r="H1183" s="8" t="str">
        <f>IFERROR(__xludf.DUMMYFUNCTION("GOOGLETRANSLATE(C1183, ""en"", ""ru"")"),"певец")</f>
        <v>певец</v>
      </c>
      <c r="I1183" s="8" t="str">
        <f>IFERROR(__xludf.DUMMYFUNCTION("GOOGLETRANSLATE(C1183, ""en"", ""ar"")"),"مغني")</f>
        <v>مغني</v>
      </c>
      <c r="J1183" s="8"/>
      <c r="K1183" s="7" t="str">
        <f>IFERROR(__xludf.DUMMYFUNCTION("CONCAT(REGEXREPLACE(C1183,""[ ,]+"",""_""),"".mp3"")"),"singer.mp3")</f>
        <v>singer.mp3</v>
      </c>
      <c r="M1183" s="4" t="s">
        <v>10</v>
      </c>
    </row>
    <row r="1184" ht="15.75" customHeight="1">
      <c r="A1184" s="1">
        <v>2552.0</v>
      </c>
      <c r="B1184" s="3">
        <v>150.0</v>
      </c>
      <c r="C1184" s="7" t="s">
        <v>1199</v>
      </c>
      <c r="D1184" s="8" t="str">
        <f>IFERROR(__xludf.DUMMYFUNCTION("GOOGLETRANSLATE(C1184, ""en"", ""pt"")"),"compositor")</f>
        <v>compositor</v>
      </c>
      <c r="E1184" s="8" t="str">
        <f>IFERROR(__xludf.DUMMYFUNCTION("GOOGLETRANSLATE(C1184, ""en"", ""es"")"),"compositor de canciones")</f>
        <v>compositor de canciones</v>
      </c>
      <c r="F1184" s="8" t="str">
        <f>IFERROR(__xludf.DUMMYFUNCTION("GOOGLETRANSLATE(C1184, ""en"", ""fr"")"),"auteur-compositeur")</f>
        <v>auteur-compositeur</v>
      </c>
      <c r="G1184" s="8" t="str">
        <f>IFERROR(__xludf.DUMMYFUNCTION("GOOGLETRANSLATE(C1184, ""en"", ""de"")"),"Liedermacher")</f>
        <v>Liedermacher</v>
      </c>
      <c r="H1184" s="8" t="str">
        <f>IFERROR(__xludf.DUMMYFUNCTION("GOOGLETRANSLATE(C1184, ""en"", ""ru"")"),"автор песен")</f>
        <v>автор песен</v>
      </c>
      <c r="I1184" s="8" t="str">
        <f>IFERROR(__xludf.DUMMYFUNCTION("GOOGLETRANSLATE(C1184, ""en"", ""ar"")"),"كاتب أغاني")</f>
        <v>كاتب أغاني</v>
      </c>
      <c r="J1184" s="8"/>
      <c r="K1184" s="7" t="str">
        <f>IFERROR(__xludf.DUMMYFUNCTION("CONCAT(REGEXREPLACE(C1184,""[ ,]+"",""_""),"".mp3"")"),"songwriter.mp3")</f>
        <v>songwriter.mp3</v>
      </c>
      <c r="M1184" s="4" t="s">
        <v>10</v>
      </c>
    </row>
    <row r="1185" ht="15.75" customHeight="1">
      <c r="A1185" s="1">
        <v>2553.0</v>
      </c>
      <c r="B1185" s="3">
        <v>150.0</v>
      </c>
      <c r="C1185" s="7" t="s">
        <v>1200</v>
      </c>
      <c r="D1185" s="8" t="str">
        <f>IFERROR(__xludf.DUMMYFUNCTION("GOOGLETRANSLATE(C1185, ""en"", ""pt"")"),"compositor")</f>
        <v>compositor</v>
      </c>
      <c r="E1185" s="8" t="str">
        <f>IFERROR(__xludf.DUMMYFUNCTION("GOOGLETRANSLATE(C1185, ""en"", ""es"")"),"compositor")</f>
        <v>compositor</v>
      </c>
      <c r="F1185" s="8" t="str">
        <f>IFERROR(__xludf.DUMMYFUNCTION("GOOGLETRANSLATE(C1185, ""en"", ""fr"")"),"compositeur")</f>
        <v>compositeur</v>
      </c>
      <c r="G1185" s="8" t="str">
        <f>IFERROR(__xludf.DUMMYFUNCTION("GOOGLETRANSLATE(C1185, ""en"", ""de"")"),"Komponist")</f>
        <v>Komponist</v>
      </c>
      <c r="H1185" s="8" t="str">
        <f>IFERROR(__xludf.DUMMYFUNCTION("GOOGLETRANSLATE(C1185, ""en"", ""ru"")"),"композитор")</f>
        <v>композитор</v>
      </c>
      <c r="I1185" s="8" t="str">
        <f>IFERROR(__xludf.DUMMYFUNCTION("GOOGLETRANSLATE(C1185, ""en"", ""ar"")"),"ملحن")</f>
        <v>ملحن</v>
      </c>
      <c r="J1185" s="8"/>
      <c r="K1185" s="7" t="str">
        <f>IFERROR(__xludf.DUMMYFUNCTION("CONCAT(REGEXREPLACE(C1185,""[ ,]+"",""_""),"".mp3"")"),"composer.mp3")</f>
        <v>composer.mp3</v>
      </c>
      <c r="M1185" s="4" t="s">
        <v>10</v>
      </c>
    </row>
    <row r="1186" ht="15.75" customHeight="1">
      <c r="A1186" s="1">
        <v>2554.0</v>
      </c>
      <c r="B1186" s="3">
        <v>150.0</v>
      </c>
      <c r="C1186" s="7" t="s">
        <v>1201</v>
      </c>
      <c r="D1186" s="8" t="str">
        <f>IFERROR(__xludf.DUMMYFUNCTION("GOOGLETRANSLATE(C1186, ""en"", ""pt"")"),"condutor")</f>
        <v>condutor</v>
      </c>
      <c r="E1186" s="8" t="str">
        <f>IFERROR(__xludf.DUMMYFUNCTION("GOOGLETRANSLATE(C1186, ""en"", ""es"")"),"conductor")</f>
        <v>conductor</v>
      </c>
      <c r="F1186" s="8" t="str">
        <f>IFERROR(__xludf.DUMMYFUNCTION("GOOGLETRANSLATE(C1186, ""en"", ""fr"")"),"conducteur")</f>
        <v>conducteur</v>
      </c>
      <c r="G1186" s="8" t="str">
        <f>IFERROR(__xludf.DUMMYFUNCTION("GOOGLETRANSLATE(C1186, ""en"", ""de"")"),"Leiter")</f>
        <v>Leiter</v>
      </c>
      <c r="H1186" s="8" t="str">
        <f>IFERROR(__xludf.DUMMYFUNCTION("GOOGLETRANSLATE(C1186, ""en"", ""ru"")"),"дирижер")</f>
        <v>дирижер</v>
      </c>
      <c r="I1186" s="8" t="str">
        <f>IFERROR(__xludf.DUMMYFUNCTION("GOOGLETRANSLATE(C1186, ""en"", ""ar"")"),"موصل")</f>
        <v>موصل</v>
      </c>
      <c r="J1186" s="8"/>
      <c r="K1186" s="7" t="str">
        <f>IFERROR(__xludf.DUMMYFUNCTION("CONCAT(REGEXREPLACE(C1186,""[ ,]+"",""_""),"".mp3"")"),"conductor.mp3")</f>
        <v>conductor.mp3</v>
      </c>
      <c r="M1186" s="4" t="s">
        <v>10</v>
      </c>
    </row>
    <row r="1187" ht="15.75" customHeight="1">
      <c r="A1187" s="1">
        <v>2555.0</v>
      </c>
      <c r="B1187" s="3">
        <v>150.0</v>
      </c>
      <c r="C1187" s="7" t="s">
        <v>1202</v>
      </c>
      <c r="D1187" s="8" t="str">
        <f>IFERROR(__xludf.DUMMYFUNCTION("GOOGLETRANSLATE(C1187, ""en"", ""pt"")"),"pianista")</f>
        <v>pianista</v>
      </c>
      <c r="E1187" s="8" t="str">
        <f>IFERROR(__xludf.DUMMYFUNCTION("GOOGLETRANSLATE(C1187, ""en"", ""es"")"),"pianista")</f>
        <v>pianista</v>
      </c>
      <c r="F1187" s="8" t="str">
        <f>IFERROR(__xludf.DUMMYFUNCTION("GOOGLETRANSLATE(C1187, ""en"", ""fr"")"),"pianiste")</f>
        <v>pianiste</v>
      </c>
      <c r="G1187" s="8" t="str">
        <f>IFERROR(__xludf.DUMMYFUNCTION("GOOGLETRANSLATE(C1187, ""en"", ""de"")"),"Pianist")</f>
        <v>Pianist</v>
      </c>
      <c r="H1187" s="8" t="str">
        <f>IFERROR(__xludf.DUMMYFUNCTION("GOOGLETRANSLATE(C1187, ""en"", ""ru"")"),"пианист")</f>
        <v>пианист</v>
      </c>
      <c r="I1187" s="8" t="str">
        <f>IFERROR(__xludf.DUMMYFUNCTION("GOOGLETRANSLATE(C1187, ""en"", ""ar"")"),"عازف البيانو")</f>
        <v>عازف البيانو</v>
      </c>
      <c r="J1187" s="8"/>
      <c r="K1187" s="7" t="str">
        <f>IFERROR(__xludf.DUMMYFUNCTION("CONCAT(REGEXREPLACE(C1187,""[ ,]+"",""_""),"".mp3"")"),"pianist.mp3")</f>
        <v>pianist.mp3</v>
      </c>
      <c r="M1187" s="4" t="s">
        <v>10</v>
      </c>
    </row>
    <row r="1188" ht="15.75" customHeight="1">
      <c r="A1188" s="1">
        <v>2556.0</v>
      </c>
      <c r="B1188" s="3">
        <v>150.0</v>
      </c>
      <c r="C1188" s="7" t="s">
        <v>1203</v>
      </c>
      <c r="D1188" s="8" t="str">
        <f>IFERROR(__xludf.DUMMYFUNCTION("GOOGLETRANSLATE(C1188, ""en"", ""pt"")"),"guitarrista")</f>
        <v>guitarrista</v>
      </c>
      <c r="E1188" s="8" t="str">
        <f>IFERROR(__xludf.DUMMYFUNCTION("GOOGLETRANSLATE(C1188, ""en"", ""es"")"),"guitarrista")</f>
        <v>guitarrista</v>
      </c>
      <c r="F1188" s="8" t="str">
        <f>IFERROR(__xludf.DUMMYFUNCTION("GOOGLETRANSLATE(C1188, ""en"", ""fr"")"),"guitariste")</f>
        <v>guitariste</v>
      </c>
      <c r="G1188" s="8" t="str">
        <f>IFERROR(__xludf.DUMMYFUNCTION("GOOGLETRANSLATE(C1188, ""en"", ""de"")"),"Gitarrist")</f>
        <v>Gitarrist</v>
      </c>
      <c r="H1188" s="8" t="str">
        <f>IFERROR(__xludf.DUMMYFUNCTION("GOOGLETRANSLATE(C1188, ""en"", ""ru"")"),"гитарист")</f>
        <v>гитарист</v>
      </c>
      <c r="I1188" s="8" t="str">
        <f>IFERROR(__xludf.DUMMYFUNCTION("GOOGLETRANSLATE(C1188, ""en"", ""ar"")"),"عازف الجيتار")</f>
        <v>عازف الجيتار</v>
      </c>
      <c r="J1188" s="8"/>
      <c r="K1188" s="7" t="str">
        <f>IFERROR(__xludf.DUMMYFUNCTION("CONCAT(REGEXREPLACE(C1188,""[ ,]+"",""_""),"".mp3"")"),"guitarist.mp3")</f>
        <v>guitarist.mp3</v>
      </c>
      <c r="M1188" s="4" t="s">
        <v>10</v>
      </c>
    </row>
    <row r="1189" ht="15.75" customHeight="1">
      <c r="A1189" s="1">
        <v>2557.0</v>
      </c>
      <c r="B1189" s="3">
        <v>150.0</v>
      </c>
      <c r="C1189" s="7" t="s">
        <v>1204</v>
      </c>
      <c r="D1189" s="8" t="str">
        <f>IFERROR(__xludf.DUMMYFUNCTION("GOOGLETRANSLATE(C1189, ""en"", ""pt"")"),"violinista")</f>
        <v>violinista</v>
      </c>
      <c r="E1189" s="8" t="str">
        <f>IFERROR(__xludf.DUMMYFUNCTION("GOOGLETRANSLATE(C1189, ""en"", ""es"")"),"violinista")</f>
        <v>violinista</v>
      </c>
      <c r="F1189" s="8" t="str">
        <f>IFERROR(__xludf.DUMMYFUNCTION("GOOGLETRANSLATE(C1189, ""en"", ""fr"")"),"violoniste")</f>
        <v>violoniste</v>
      </c>
      <c r="G1189" s="8" t="str">
        <f>IFERROR(__xludf.DUMMYFUNCTION("GOOGLETRANSLATE(C1189, ""en"", ""de"")"),"Violinist")</f>
        <v>Violinist</v>
      </c>
      <c r="H1189" s="8" t="str">
        <f>IFERROR(__xludf.DUMMYFUNCTION("GOOGLETRANSLATE(C1189, ""en"", ""ru"")"),"скрипач")</f>
        <v>скрипач</v>
      </c>
      <c r="I1189" s="8" t="str">
        <f>IFERROR(__xludf.DUMMYFUNCTION("GOOGLETRANSLATE(C1189, ""en"", ""ar"")"),"عازف الكمان")</f>
        <v>عازف الكمان</v>
      </c>
      <c r="J1189" s="8"/>
      <c r="K1189" s="7" t="str">
        <f>IFERROR(__xludf.DUMMYFUNCTION("CONCAT(REGEXREPLACE(C1189,""[ ,]+"",""_""),"".mp3"")"),"violinist.mp3")</f>
        <v>violinist.mp3</v>
      </c>
      <c r="M1189" s="4" t="s">
        <v>10</v>
      </c>
    </row>
    <row r="1190" ht="15.75" customHeight="1">
      <c r="A1190" s="1">
        <v>2558.0</v>
      </c>
      <c r="B1190" s="3">
        <v>150.0</v>
      </c>
      <c r="C1190" s="7" t="s">
        <v>1205</v>
      </c>
      <c r="D1190" s="8" t="str">
        <f>IFERROR(__xludf.DUMMYFUNCTION("GOOGLETRANSLATE(C1190, ""en"", ""pt"")"),"baterista")</f>
        <v>baterista</v>
      </c>
      <c r="E1190" s="8" t="str">
        <f>IFERROR(__xludf.DUMMYFUNCTION("GOOGLETRANSLATE(C1190, ""en"", ""es"")"),"batería")</f>
        <v>batería</v>
      </c>
      <c r="F1190" s="8" t="str">
        <f>IFERROR(__xludf.DUMMYFUNCTION("GOOGLETRANSLATE(C1190, ""en"", ""fr"")"),"batteur")</f>
        <v>batteur</v>
      </c>
      <c r="G1190" s="8" t="str">
        <f>IFERROR(__xludf.DUMMYFUNCTION("GOOGLETRANSLATE(C1190, ""en"", ""de"")"),"Schlagzeuger")</f>
        <v>Schlagzeuger</v>
      </c>
      <c r="H1190" s="8" t="str">
        <f>IFERROR(__xludf.DUMMYFUNCTION("GOOGLETRANSLATE(C1190, ""en"", ""ru"")"),"барабанщик")</f>
        <v>барабанщик</v>
      </c>
      <c r="I1190" s="8" t="str">
        <f>IFERROR(__xludf.DUMMYFUNCTION("GOOGLETRANSLATE(C1190, ""en"", ""ar"")"),"عازف الطبول")</f>
        <v>عازف الطبول</v>
      </c>
      <c r="J1190" s="8"/>
      <c r="K1190" s="7" t="str">
        <f>IFERROR(__xludf.DUMMYFUNCTION("CONCAT(REGEXREPLACE(C1190,""[ ,]+"",""_""),"".mp3"")"),"drummer.mp3")</f>
        <v>drummer.mp3</v>
      </c>
      <c r="M1190" s="4" t="s">
        <v>10</v>
      </c>
    </row>
    <row r="1191" ht="15.75" customHeight="1">
      <c r="A1191" s="1">
        <v>2559.0</v>
      </c>
      <c r="B1191" s="3">
        <v>150.0</v>
      </c>
      <c r="C1191" s="7" t="s">
        <v>1206</v>
      </c>
      <c r="D1191" s="8" t="str">
        <f>IFERROR(__xludf.DUMMYFUNCTION("GOOGLETRANSLATE(C1191, ""en"", ""pt"")"),"dançarino")</f>
        <v>dançarino</v>
      </c>
      <c r="E1191" s="8" t="str">
        <f>IFERROR(__xludf.DUMMYFUNCTION("GOOGLETRANSLATE(C1191, ""en"", ""es"")"),"bailarín")</f>
        <v>bailarín</v>
      </c>
      <c r="F1191" s="8" t="str">
        <f>IFERROR(__xludf.DUMMYFUNCTION("GOOGLETRANSLATE(C1191, ""en"", ""fr"")"),"danseur")</f>
        <v>danseur</v>
      </c>
      <c r="G1191" s="8" t="str">
        <f>IFERROR(__xludf.DUMMYFUNCTION("GOOGLETRANSLATE(C1191, ""en"", ""de"")"),"Tänzer")</f>
        <v>Tänzer</v>
      </c>
      <c r="H1191" s="8" t="str">
        <f>IFERROR(__xludf.DUMMYFUNCTION("GOOGLETRANSLATE(C1191, ""en"", ""ru"")"),"танцовщица")</f>
        <v>танцовщица</v>
      </c>
      <c r="I1191" s="8" t="str">
        <f>IFERROR(__xludf.DUMMYFUNCTION("GOOGLETRANSLATE(C1191, ""en"", ""ar"")"),"راقصة")</f>
        <v>راقصة</v>
      </c>
      <c r="J1191" s="8"/>
      <c r="K1191" s="7" t="str">
        <f>IFERROR(__xludf.DUMMYFUNCTION("CONCAT(REGEXREPLACE(C1191,""[ ,]+"",""_""),"".mp3"")"),"dancer.mp3")</f>
        <v>dancer.mp3</v>
      </c>
      <c r="M1191" s="4" t="s">
        <v>10</v>
      </c>
    </row>
    <row r="1192" ht="15.75" customHeight="1">
      <c r="A1192" s="1">
        <v>2560.0</v>
      </c>
      <c r="B1192" s="3">
        <v>150.0</v>
      </c>
      <c r="C1192" s="7" t="s">
        <v>1207</v>
      </c>
      <c r="D1192" s="8" t="str">
        <f>IFERROR(__xludf.DUMMYFUNCTION("GOOGLETRANSLATE(C1192, ""en"", ""pt"")"),"coreógrafo")</f>
        <v>coreógrafo</v>
      </c>
      <c r="E1192" s="8" t="str">
        <f>IFERROR(__xludf.DUMMYFUNCTION("GOOGLETRANSLATE(C1192, ""en"", ""es"")"),"coreógrafo")</f>
        <v>coreógrafo</v>
      </c>
      <c r="F1192" s="8" t="str">
        <f>IFERROR(__xludf.DUMMYFUNCTION("GOOGLETRANSLATE(C1192, ""en"", ""fr"")"),"chorégraphe")</f>
        <v>chorégraphe</v>
      </c>
      <c r="G1192" s="8" t="str">
        <f>IFERROR(__xludf.DUMMYFUNCTION("GOOGLETRANSLATE(C1192, ""en"", ""de"")"),"Choreograph")</f>
        <v>Choreograph</v>
      </c>
      <c r="H1192" s="8" t="str">
        <f>IFERROR(__xludf.DUMMYFUNCTION("GOOGLETRANSLATE(C1192, ""en"", ""ru"")"),"хореограф")</f>
        <v>хореограф</v>
      </c>
      <c r="I1192" s="8" t="str">
        <f>IFERROR(__xludf.DUMMYFUNCTION("GOOGLETRANSLATE(C1192, ""en"", ""ar"")"),"مصمم رقصات")</f>
        <v>مصمم رقصات</v>
      </c>
      <c r="J1192" s="8"/>
      <c r="K1192" s="7" t="str">
        <f>IFERROR(__xludf.DUMMYFUNCTION("CONCAT(REGEXREPLACE(C1192,""[ ,]+"",""_""),"".mp3"")"),"choreographer.mp3")</f>
        <v>choreographer.mp3</v>
      </c>
      <c r="M1192" s="4" t="s">
        <v>10</v>
      </c>
    </row>
    <row r="1193" ht="15.75" customHeight="1">
      <c r="A1193" s="1">
        <v>2561.0</v>
      </c>
      <c r="B1193" s="3">
        <v>150.0</v>
      </c>
      <c r="C1193" s="7" t="s">
        <v>1208</v>
      </c>
      <c r="D1193" s="8" t="str">
        <f>IFERROR(__xludf.DUMMYFUNCTION("GOOGLETRANSLATE(C1193, ""en"", ""pt"")"),"bailarina")</f>
        <v>bailarina</v>
      </c>
      <c r="E1193" s="8" t="str">
        <f>IFERROR(__xludf.DUMMYFUNCTION("GOOGLETRANSLATE(C1193, ""en"", ""es"")"),"bailarina de ballet")</f>
        <v>bailarina de ballet</v>
      </c>
      <c r="F1193" s="8" t="str">
        <f>IFERROR(__xludf.DUMMYFUNCTION("GOOGLETRANSLATE(C1193, ""en"", ""fr"")"),"danseuse de ballet")</f>
        <v>danseuse de ballet</v>
      </c>
      <c r="G1193" s="8" t="str">
        <f>IFERROR(__xludf.DUMMYFUNCTION("GOOGLETRANSLATE(C1193, ""en"", ""de"")"),"Balletttänzerin")</f>
        <v>Balletttänzerin</v>
      </c>
      <c r="H1193" s="8" t="str">
        <f>IFERROR(__xludf.DUMMYFUNCTION("GOOGLETRANSLATE(C1193, ""en"", ""ru"")"),"балерина")</f>
        <v>балерина</v>
      </c>
      <c r="I1193" s="8" t="str">
        <f>IFERROR(__xludf.DUMMYFUNCTION("GOOGLETRANSLATE(C1193, ""en"", ""ar"")"),"راقصة باليه")</f>
        <v>راقصة باليه</v>
      </c>
      <c r="J1193" s="8"/>
      <c r="K1193" s="7" t="str">
        <f>IFERROR(__xludf.DUMMYFUNCTION("CONCAT(REGEXREPLACE(C1193,""[ ,]+"",""_""),"".mp3"")"),"ballet_dancer.mp3")</f>
        <v>ballet_dancer.mp3</v>
      </c>
      <c r="M1193" s="4" t="s">
        <v>10</v>
      </c>
    </row>
    <row r="1194" ht="15.75" customHeight="1">
      <c r="A1194" s="1">
        <v>2562.0</v>
      </c>
      <c r="B1194" s="3">
        <v>150.0</v>
      </c>
      <c r="C1194" s="7" t="s">
        <v>1209</v>
      </c>
      <c r="D1194" s="8" t="str">
        <f>IFERROR(__xludf.DUMMYFUNCTION("GOOGLETRANSLATE(C1194, ""en"", ""pt"")"),"DJ")</f>
        <v>DJ</v>
      </c>
      <c r="E1194" s="8" t="str">
        <f>IFERROR(__xludf.DUMMYFUNCTION("GOOGLETRANSLATE(C1194, ""en"", ""es"")"),"DJ")</f>
        <v>DJ</v>
      </c>
      <c r="F1194" s="8" t="str">
        <f>IFERROR(__xludf.DUMMYFUNCTION("GOOGLETRANSLATE(C1194, ""en"", ""fr"")"),"DJ")</f>
        <v>DJ</v>
      </c>
      <c r="G1194" s="8" t="str">
        <f>IFERROR(__xludf.DUMMYFUNCTION("GOOGLETRANSLATE(C1194, ""en"", ""de"")"),"DJ")</f>
        <v>DJ</v>
      </c>
      <c r="H1194" s="8" t="str">
        <f>IFERROR(__xludf.DUMMYFUNCTION("GOOGLETRANSLATE(C1194, ""en"", ""ru"")"),"Диджей")</f>
        <v>Диджей</v>
      </c>
      <c r="I1194" s="8" t="str">
        <f>IFERROR(__xludf.DUMMYFUNCTION("GOOGLETRANSLATE(C1194, ""en"", ""ar"")"),"دي جي")</f>
        <v>دي جي</v>
      </c>
      <c r="J1194" s="8"/>
      <c r="K1194" s="7" t="str">
        <f>IFERROR(__xludf.DUMMYFUNCTION("CONCAT(REGEXREPLACE(C1194,""[ ,]+"",""_""),"".mp3"")"),"DJ.mp3")</f>
        <v>DJ.mp3</v>
      </c>
      <c r="M1194" s="4" t="s">
        <v>10</v>
      </c>
    </row>
    <row r="1195" ht="15.75" customHeight="1">
      <c r="A1195" s="1">
        <v>2563.0</v>
      </c>
      <c r="B1195" s="3">
        <v>150.0</v>
      </c>
      <c r="C1195" s="7" t="s">
        <v>1210</v>
      </c>
      <c r="D1195" s="8" t="str">
        <f>IFERROR(__xludf.DUMMYFUNCTION("GOOGLETRANSLATE(C1195, ""en"", ""pt"")"),"chef")</f>
        <v>chef</v>
      </c>
      <c r="E1195" s="8" t="str">
        <f>IFERROR(__xludf.DUMMYFUNCTION("GOOGLETRANSLATE(C1195, ""en"", ""es"")"),"cocinero")</f>
        <v>cocinero</v>
      </c>
      <c r="F1195" s="8" t="str">
        <f>IFERROR(__xludf.DUMMYFUNCTION("GOOGLETRANSLATE(C1195, ""en"", ""fr"")"),"cuisinier")</f>
        <v>cuisinier</v>
      </c>
      <c r="G1195" s="8" t="str">
        <f>IFERROR(__xludf.DUMMYFUNCTION("GOOGLETRANSLATE(C1195, ""en"", ""de"")"),"Küchenchef")</f>
        <v>Küchenchef</v>
      </c>
      <c r="H1195" s="8" t="str">
        <f>IFERROR(__xludf.DUMMYFUNCTION("GOOGLETRANSLATE(C1195, ""en"", ""ru"")"),"шеф-повар")</f>
        <v>шеф-повар</v>
      </c>
      <c r="I1195" s="8" t="str">
        <f>IFERROR(__xludf.DUMMYFUNCTION("GOOGLETRANSLATE(C1195, ""en"", ""ar"")"),"الشيف")</f>
        <v>الشيف</v>
      </c>
      <c r="J1195" s="8"/>
      <c r="K1195" s="7" t="str">
        <f>IFERROR(__xludf.DUMMYFUNCTION("CONCAT(REGEXREPLACE(C1195,""[ ,]+"",""_""),"".mp3"")"),"chef.mp3")</f>
        <v>chef.mp3</v>
      </c>
      <c r="M1195" s="4" t="s">
        <v>10</v>
      </c>
    </row>
    <row r="1196" ht="15.75" customHeight="1">
      <c r="A1196" s="1">
        <v>2564.0</v>
      </c>
      <c r="B1196" s="3">
        <v>150.0</v>
      </c>
      <c r="C1196" s="7" t="s">
        <v>1211</v>
      </c>
      <c r="D1196" s="8" t="str">
        <f>IFERROR(__xludf.DUMMYFUNCTION("GOOGLETRANSLATE(C1196, ""en"", ""pt"")"),"cozinhar")</f>
        <v>cozinhar</v>
      </c>
      <c r="E1196" s="8" t="str">
        <f>IFERROR(__xludf.DUMMYFUNCTION("GOOGLETRANSLATE(C1196, ""en"", ""es"")"),"cocinar")</f>
        <v>cocinar</v>
      </c>
      <c r="F1196" s="8" t="str">
        <f>IFERROR(__xludf.DUMMYFUNCTION("GOOGLETRANSLATE(C1196, ""en"", ""fr"")"),"cuisiner")</f>
        <v>cuisiner</v>
      </c>
      <c r="G1196" s="8" t="str">
        <f>IFERROR(__xludf.DUMMYFUNCTION("GOOGLETRANSLATE(C1196, ""en"", ""de"")"),"kochen")</f>
        <v>kochen</v>
      </c>
      <c r="H1196" s="8" t="str">
        <f>IFERROR(__xludf.DUMMYFUNCTION("GOOGLETRANSLATE(C1196, ""en"", ""ru"")"),"готовить")</f>
        <v>готовить</v>
      </c>
      <c r="I1196" s="8" t="str">
        <f>IFERROR(__xludf.DUMMYFUNCTION("GOOGLETRANSLATE(C1196, ""en"", ""ar"")"),"يطبخ")</f>
        <v>يطبخ</v>
      </c>
      <c r="J1196" s="8"/>
      <c r="K1196" s="7" t="str">
        <f>IFERROR(__xludf.DUMMYFUNCTION("CONCAT(REGEXREPLACE(C1196,""[ ,]+"",""_""),"".mp3"")"),"cook.mp3")</f>
        <v>cook.mp3</v>
      </c>
      <c r="M1196" s="4" t="s">
        <v>10</v>
      </c>
    </row>
    <row r="1197" ht="15.75" customHeight="1">
      <c r="A1197" s="1">
        <v>2565.0</v>
      </c>
      <c r="B1197" s="3">
        <v>150.0</v>
      </c>
      <c r="C1197" s="7" t="s">
        <v>1212</v>
      </c>
      <c r="D1197" s="8" t="str">
        <f>IFERROR(__xludf.DUMMYFUNCTION("GOOGLETRANSLATE(C1197, ""en"", ""pt"")"),"padeiro")</f>
        <v>padeiro</v>
      </c>
      <c r="E1197" s="8" t="str">
        <f>IFERROR(__xludf.DUMMYFUNCTION("GOOGLETRANSLATE(C1197, ""en"", ""es"")"),"panadero")</f>
        <v>panadero</v>
      </c>
      <c r="F1197" s="8" t="str">
        <f>IFERROR(__xludf.DUMMYFUNCTION("GOOGLETRANSLATE(C1197, ""en"", ""fr"")"),"boulanger")</f>
        <v>boulanger</v>
      </c>
      <c r="G1197" s="8" t="str">
        <f>IFERROR(__xludf.DUMMYFUNCTION("GOOGLETRANSLATE(C1197, ""en"", ""de"")"),"Bäcker")</f>
        <v>Bäcker</v>
      </c>
      <c r="H1197" s="8" t="str">
        <f>IFERROR(__xludf.DUMMYFUNCTION("GOOGLETRANSLATE(C1197, ""en"", ""ru"")"),"пекарь")</f>
        <v>пекарь</v>
      </c>
      <c r="I1197" s="8" t="str">
        <f>IFERROR(__xludf.DUMMYFUNCTION("GOOGLETRANSLATE(C1197, ""en"", ""ar"")"),"خباز")</f>
        <v>خباز</v>
      </c>
      <c r="J1197" s="8"/>
      <c r="K1197" s="7" t="str">
        <f>IFERROR(__xludf.DUMMYFUNCTION("CONCAT(REGEXREPLACE(C1197,""[ ,]+"",""_""),"".mp3"")"),"baker.mp3")</f>
        <v>baker.mp3</v>
      </c>
      <c r="M1197" s="4" t="s">
        <v>10</v>
      </c>
    </row>
    <row r="1198" ht="15.75" customHeight="1">
      <c r="A1198" s="1">
        <v>2566.0</v>
      </c>
      <c r="B1198" s="3">
        <v>150.0</v>
      </c>
      <c r="C1198" s="7" t="s">
        <v>699</v>
      </c>
      <c r="D1198" s="8" t="str">
        <f>IFERROR(__xludf.DUMMYFUNCTION("GOOGLETRANSLATE(C1198, ""en"", ""pt"")"),"açougueiro")</f>
        <v>açougueiro</v>
      </c>
      <c r="E1198" s="8" t="str">
        <f>IFERROR(__xludf.DUMMYFUNCTION("GOOGLETRANSLATE(C1198, ""en"", ""es"")"),"carnicero")</f>
        <v>carnicero</v>
      </c>
      <c r="F1198" s="8" t="str">
        <f>IFERROR(__xludf.DUMMYFUNCTION("GOOGLETRANSLATE(C1198, ""en"", ""fr"")"),"Boucher")</f>
        <v>Boucher</v>
      </c>
      <c r="G1198" s="8" t="str">
        <f>IFERROR(__xludf.DUMMYFUNCTION("GOOGLETRANSLATE(C1198, ""en"", ""de"")"),"Metzger")</f>
        <v>Metzger</v>
      </c>
      <c r="H1198" s="8" t="str">
        <f>IFERROR(__xludf.DUMMYFUNCTION("GOOGLETRANSLATE(C1198, ""en"", ""ru"")"),"мясник")</f>
        <v>мясник</v>
      </c>
      <c r="I1198" s="8" t="str">
        <f>IFERROR(__xludf.DUMMYFUNCTION("GOOGLETRANSLATE(C1198, ""en"", ""ar"")"),"جزار")</f>
        <v>جزار</v>
      </c>
      <c r="J1198" s="8"/>
      <c r="K1198" s="7" t="str">
        <f>IFERROR(__xludf.DUMMYFUNCTION("CONCAT(REGEXREPLACE(C1198,""[ ,]+"",""_""),"".mp3"")"),"butcher.mp3")</f>
        <v>butcher.mp3</v>
      </c>
      <c r="M1198" s="4" t="s">
        <v>10</v>
      </c>
    </row>
    <row r="1199" ht="15.75" customHeight="1">
      <c r="A1199" s="1">
        <v>2567.0</v>
      </c>
      <c r="B1199" s="3">
        <v>150.0</v>
      </c>
      <c r="C1199" s="7" t="s">
        <v>1213</v>
      </c>
      <c r="D1199" s="8" t="str">
        <f>IFERROR(__xludf.DUMMYFUNCTION("GOOGLETRANSLATE(C1199, ""en"", ""pt"")"),"garçom")</f>
        <v>garçom</v>
      </c>
      <c r="E1199" s="8" t="str">
        <f>IFERROR(__xludf.DUMMYFUNCTION("GOOGLETRANSLATE(C1199, ""en"", ""es"")"),"mesero")</f>
        <v>mesero</v>
      </c>
      <c r="F1199" s="8" t="str">
        <f>IFERROR(__xludf.DUMMYFUNCTION("GOOGLETRANSLATE(C1199, ""en"", ""fr"")"),"serveur")</f>
        <v>serveur</v>
      </c>
      <c r="G1199" s="8" t="str">
        <f>IFERROR(__xludf.DUMMYFUNCTION("GOOGLETRANSLATE(C1199, ""en"", ""de"")"),"Kellner")</f>
        <v>Kellner</v>
      </c>
      <c r="H1199" s="8" t="str">
        <f>IFERROR(__xludf.DUMMYFUNCTION("GOOGLETRANSLATE(C1199, ""en"", ""ru"")"),"официант")</f>
        <v>официант</v>
      </c>
      <c r="I1199" s="8" t="str">
        <f>IFERROR(__xludf.DUMMYFUNCTION("GOOGLETRANSLATE(C1199, ""en"", ""ar"")"),"النادل")</f>
        <v>النادل</v>
      </c>
      <c r="J1199" s="8"/>
      <c r="K1199" s="7" t="str">
        <f>IFERROR(__xludf.DUMMYFUNCTION("CONCAT(REGEXREPLACE(C1199,""[ ,]+"",""_""),"".mp3"")"),"waiter.mp3")</f>
        <v>waiter.mp3</v>
      </c>
      <c r="M1199" s="4" t="s">
        <v>10</v>
      </c>
    </row>
    <row r="1200" ht="15.75" customHeight="1">
      <c r="A1200" s="1">
        <v>2568.0</v>
      </c>
      <c r="B1200" s="3">
        <v>150.0</v>
      </c>
      <c r="C1200" s="7" t="s">
        <v>1214</v>
      </c>
      <c r="D1200" s="8" t="str">
        <f>IFERROR(__xludf.DUMMYFUNCTION("GOOGLETRANSLATE(C1200, ""en"", ""pt"")"),"garçonete")</f>
        <v>garçonete</v>
      </c>
      <c r="E1200" s="8" t="str">
        <f>IFERROR(__xludf.DUMMYFUNCTION("GOOGLETRANSLATE(C1200, ""en"", ""es"")"),"camarera")</f>
        <v>camarera</v>
      </c>
      <c r="F1200" s="8" t="str">
        <f>IFERROR(__xludf.DUMMYFUNCTION("GOOGLETRANSLATE(C1200, ""en"", ""fr"")"),"serveuse")</f>
        <v>serveuse</v>
      </c>
      <c r="G1200" s="8" t="str">
        <f>IFERROR(__xludf.DUMMYFUNCTION("GOOGLETRANSLATE(C1200, ""en"", ""de"")"),"Kellnerin")</f>
        <v>Kellnerin</v>
      </c>
      <c r="H1200" s="8" t="str">
        <f>IFERROR(__xludf.DUMMYFUNCTION("GOOGLETRANSLATE(C1200, ""en"", ""ru"")"),"официантка")</f>
        <v>официантка</v>
      </c>
      <c r="I1200" s="8" t="str">
        <f>IFERROR(__xludf.DUMMYFUNCTION("GOOGLETRANSLATE(C1200, ""en"", ""ar"")"),"نادلة")</f>
        <v>نادلة</v>
      </c>
      <c r="J1200" s="8"/>
      <c r="K1200" s="7" t="str">
        <f>IFERROR(__xludf.DUMMYFUNCTION("CONCAT(REGEXREPLACE(C1200,""[ ,]+"",""_""),"".mp3"")"),"waitress.mp3")</f>
        <v>waitress.mp3</v>
      </c>
      <c r="M1200" s="4" t="s">
        <v>10</v>
      </c>
    </row>
    <row r="1201" ht="15.75" customHeight="1">
      <c r="A1201" s="1">
        <v>2569.0</v>
      </c>
      <c r="B1201" s="3">
        <v>150.0</v>
      </c>
      <c r="C1201" s="7" t="s">
        <v>1215</v>
      </c>
      <c r="D1201" s="8" t="str">
        <f>IFERROR(__xludf.DUMMYFUNCTION("GOOGLETRANSLATE(C1201, ""en"", ""pt"")"),"barman")</f>
        <v>barman</v>
      </c>
      <c r="E1201" s="8" t="str">
        <f>IFERROR(__xludf.DUMMYFUNCTION("GOOGLETRANSLATE(C1201, ""en"", ""es"")"),"barman")</f>
        <v>barman</v>
      </c>
      <c r="F1201" s="8" t="str">
        <f>IFERROR(__xludf.DUMMYFUNCTION("GOOGLETRANSLATE(C1201, ""en"", ""fr"")"),"barman")</f>
        <v>barman</v>
      </c>
      <c r="G1201" s="8" t="str">
        <f>IFERROR(__xludf.DUMMYFUNCTION("GOOGLETRANSLATE(C1201, ""en"", ""de"")"),"Barmann")</f>
        <v>Barmann</v>
      </c>
      <c r="H1201" s="8" t="str">
        <f>IFERROR(__xludf.DUMMYFUNCTION("GOOGLETRANSLATE(C1201, ""en"", ""ru"")"),"бармен")</f>
        <v>бармен</v>
      </c>
      <c r="I1201" s="8" t="str">
        <f>IFERROR(__xludf.DUMMYFUNCTION("GOOGLETRANSLATE(C1201, ""en"", ""ar"")"),"نادل")</f>
        <v>نادل</v>
      </c>
      <c r="J1201" s="8"/>
      <c r="K1201" s="7" t="str">
        <f>IFERROR(__xludf.DUMMYFUNCTION("CONCAT(REGEXREPLACE(C1201,""[ ,]+"",""_""),"".mp3"")"),"bartender.mp3")</f>
        <v>bartender.mp3</v>
      </c>
      <c r="M1201" s="4" t="s">
        <v>10</v>
      </c>
    </row>
    <row r="1202" ht="15.75" customHeight="1">
      <c r="A1202" s="1">
        <v>2570.0</v>
      </c>
      <c r="B1202" s="3">
        <v>150.0</v>
      </c>
      <c r="C1202" s="7" t="s">
        <v>1216</v>
      </c>
      <c r="D1202" s="8" t="str">
        <f>IFERROR(__xludf.DUMMYFUNCTION("GOOGLETRANSLATE(C1202, ""en"", ""pt"")"),"barista")</f>
        <v>barista</v>
      </c>
      <c r="E1202" s="8" t="str">
        <f>IFERROR(__xludf.DUMMYFUNCTION("GOOGLETRANSLATE(C1202, ""en"", ""es"")"),"barista")</f>
        <v>barista</v>
      </c>
      <c r="F1202" s="8" t="str">
        <f>IFERROR(__xludf.DUMMYFUNCTION("GOOGLETRANSLATE(C1202, ""en"", ""fr"")"),"barista")</f>
        <v>barista</v>
      </c>
      <c r="G1202" s="8" t="str">
        <f>IFERROR(__xludf.DUMMYFUNCTION("GOOGLETRANSLATE(C1202, ""en"", ""de"")"),"Barista")</f>
        <v>Barista</v>
      </c>
      <c r="H1202" s="8" t="str">
        <f>IFERROR(__xludf.DUMMYFUNCTION("GOOGLETRANSLATE(C1202, ""en"", ""ru"")"),"бариста")</f>
        <v>бариста</v>
      </c>
      <c r="I1202" s="8" t="str">
        <f>IFERROR(__xludf.DUMMYFUNCTION("GOOGLETRANSLATE(C1202, ""en"", ""ar"")"),"باريستا")</f>
        <v>باريستا</v>
      </c>
      <c r="J1202" s="8"/>
      <c r="K1202" s="7" t="str">
        <f>IFERROR(__xludf.DUMMYFUNCTION("CONCAT(REGEXREPLACE(C1202,""[ ,]+"",""_""),"".mp3"")"),"barista.mp3")</f>
        <v>barista.mp3</v>
      </c>
      <c r="M1202" s="4" t="s">
        <v>10</v>
      </c>
    </row>
    <row r="1203" ht="15.75" customHeight="1">
      <c r="A1203" s="1">
        <v>2571.0</v>
      </c>
      <c r="B1203" s="3">
        <v>150.0</v>
      </c>
      <c r="C1203" s="7" t="s">
        <v>1217</v>
      </c>
      <c r="D1203" s="8" t="str">
        <f>IFERROR(__xludf.DUMMYFUNCTION("GOOGLETRANSLATE(C1203, ""en"", ""pt"")"),"gerente de restaurante")</f>
        <v>gerente de restaurante</v>
      </c>
      <c r="E1203" s="8" t="str">
        <f>IFERROR(__xludf.DUMMYFUNCTION("GOOGLETRANSLATE(C1203, ""en"", ""es"")"),"gerente de restaurante")</f>
        <v>gerente de restaurante</v>
      </c>
      <c r="F1203" s="8" t="str">
        <f>IFERROR(__xludf.DUMMYFUNCTION("GOOGLETRANSLATE(C1203, ""en"", ""fr"")"),"gérant de restaurant")</f>
        <v>gérant de restaurant</v>
      </c>
      <c r="G1203" s="8" t="str">
        <f>IFERROR(__xludf.DUMMYFUNCTION("GOOGLETRANSLATE(C1203, ""en"", ""de"")"),"Restaurantleiter")</f>
        <v>Restaurantleiter</v>
      </c>
      <c r="H1203" s="8" t="str">
        <f>IFERROR(__xludf.DUMMYFUNCTION("GOOGLETRANSLATE(C1203, ""en"", ""ru"")"),"менеджер ресторана")</f>
        <v>менеджер ресторана</v>
      </c>
      <c r="I1203" s="8" t="str">
        <f>IFERROR(__xludf.DUMMYFUNCTION("GOOGLETRANSLATE(C1203, ""en"", ""ar"")"),"مدير مطعم")</f>
        <v>مدير مطعم</v>
      </c>
      <c r="J1203" s="8"/>
      <c r="K1203" s="7" t="str">
        <f>IFERROR(__xludf.DUMMYFUNCTION("CONCAT(REGEXREPLACE(C1203,""[ ,]+"",""_""),"".mp3"")"),"restaurant_manager.mp3")</f>
        <v>restaurant_manager.mp3</v>
      </c>
      <c r="M1203" s="4" t="s">
        <v>10</v>
      </c>
    </row>
    <row r="1204" ht="15.75" customHeight="1">
      <c r="A1204" s="1">
        <v>2572.0</v>
      </c>
      <c r="B1204" s="3">
        <v>150.0</v>
      </c>
      <c r="C1204" s="7" t="s">
        <v>1218</v>
      </c>
      <c r="D1204" s="8" t="str">
        <f>IFERROR(__xludf.DUMMYFUNCTION("GOOGLETRANSLATE(C1204, ""en"", ""pt"")"),"gerente de hotel")</f>
        <v>gerente de hotel</v>
      </c>
      <c r="E1204" s="8" t="str">
        <f>IFERROR(__xludf.DUMMYFUNCTION("GOOGLETRANSLATE(C1204, ""en"", ""es"")"),"gerente de hotel")</f>
        <v>gerente de hotel</v>
      </c>
      <c r="F1204" s="8" t="str">
        <f>IFERROR(__xludf.DUMMYFUNCTION("GOOGLETRANSLATE(C1204, ""en"", ""fr"")"),"directeur d'hôtel")</f>
        <v>directeur d'hôtel</v>
      </c>
      <c r="G1204" s="8" t="str">
        <f>IFERROR(__xludf.DUMMYFUNCTION("GOOGLETRANSLATE(C1204, ""en"", ""de"")"),"Hotelmanager")</f>
        <v>Hotelmanager</v>
      </c>
      <c r="H1204" s="8" t="str">
        <f>IFERROR(__xludf.DUMMYFUNCTION("GOOGLETRANSLATE(C1204, ""en"", ""ru"")"),"менеджер отеля")</f>
        <v>менеджер отеля</v>
      </c>
      <c r="I1204" s="8" t="str">
        <f>IFERROR(__xludf.DUMMYFUNCTION("GOOGLETRANSLATE(C1204, ""en"", ""ar"")"),"مدير الفندق")</f>
        <v>مدير الفندق</v>
      </c>
      <c r="J1204" s="8"/>
      <c r="K1204" s="7" t="str">
        <f>IFERROR(__xludf.DUMMYFUNCTION("CONCAT(REGEXREPLACE(C1204,""[ ,]+"",""_""),"".mp3"")"),"hotel_manager.mp3")</f>
        <v>hotel_manager.mp3</v>
      </c>
      <c r="M1204" s="4" t="s">
        <v>10</v>
      </c>
    </row>
    <row r="1205" ht="15.75" customHeight="1">
      <c r="A1205" s="1">
        <v>2573.0</v>
      </c>
      <c r="B1205" s="3">
        <v>150.0</v>
      </c>
      <c r="C1205" s="7" t="s">
        <v>1219</v>
      </c>
      <c r="D1205" s="8" t="str">
        <f>IFERROR(__xludf.DUMMYFUNCTION("GOOGLETRANSLATE(C1205, ""en"", ""pt"")"),"governanta")</f>
        <v>governanta</v>
      </c>
      <c r="E1205" s="8" t="str">
        <f>IFERROR(__xludf.DUMMYFUNCTION("GOOGLETRANSLATE(C1205, ""en"", ""es"")"),"ama de llaves")</f>
        <v>ama de llaves</v>
      </c>
      <c r="F1205" s="8" t="str">
        <f>IFERROR(__xludf.DUMMYFUNCTION("GOOGLETRANSLATE(C1205, ""en"", ""fr"")"),"gouvernante")</f>
        <v>gouvernante</v>
      </c>
      <c r="G1205" s="8" t="str">
        <f>IFERROR(__xludf.DUMMYFUNCTION("GOOGLETRANSLATE(C1205, ""en"", ""de"")"),"Haushälterin")</f>
        <v>Haushälterin</v>
      </c>
      <c r="H1205" s="8" t="str">
        <f>IFERROR(__xludf.DUMMYFUNCTION("GOOGLETRANSLATE(C1205, ""en"", ""ru"")"),"домработница")</f>
        <v>домработница</v>
      </c>
      <c r="I1205" s="8" t="str">
        <f>IFERROR(__xludf.DUMMYFUNCTION("GOOGLETRANSLATE(C1205, ""en"", ""ar"")"),"مدبرة منزل")</f>
        <v>مدبرة منزل</v>
      </c>
      <c r="J1205" s="8"/>
      <c r="K1205" s="7" t="str">
        <f>IFERROR(__xludf.DUMMYFUNCTION("CONCAT(REGEXREPLACE(C1205,""[ ,]+"",""_""),"".mp3"")"),"housekeeper.mp3")</f>
        <v>housekeeper.mp3</v>
      </c>
      <c r="M1205" s="4" t="s">
        <v>10</v>
      </c>
    </row>
    <row r="1206" ht="15.75" customHeight="1">
      <c r="A1206" s="1">
        <v>2574.0</v>
      </c>
      <c r="B1206" s="3">
        <v>150.0</v>
      </c>
      <c r="C1206" s="7" t="s">
        <v>1220</v>
      </c>
      <c r="D1206" s="8" t="str">
        <f>IFERROR(__xludf.DUMMYFUNCTION("GOOGLETRANSLATE(C1206, ""en"", ""pt"")"),"limpador")</f>
        <v>limpador</v>
      </c>
      <c r="E1206" s="8" t="str">
        <f>IFERROR(__xludf.DUMMYFUNCTION("GOOGLETRANSLATE(C1206, ""en"", ""es"")"),"limpiador")</f>
        <v>limpiador</v>
      </c>
      <c r="F1206" s="8" t="str">
        <f>IFERROR(__xludf.DUMMYFUNCTION("GOOGLETRANSLATE(C1206, ""en"", ""fr"")"),"nettoyeur")</f>
        <v>nettoyeur</v>
      </c>
      <c r="G1206" s="8" t="str">
        <f>IFERROR(__xludf.DUMMYFUNCTION("GOOGLETRANSLATE(C1206, ""en"", ""de"")"),"Reiniger")</f>
        <v>Reiniger</v>
      </c>
      <c r="H1206" s="8" t="str">
        <f>IFERROR(__xludf.DUMMYFUNCTION("GOOGLETRANSLATE(C1206, ""en"", ""ru"")"),"чистящее средство")</f>
        <v>чистящее средство</v>
      </c>
      <c r="I1206" s="8" t="str">
        <f>IFERROR(__xludf.DUMMYFUNCTION("GOOGLETRANSLATE(C1206, ""en"", ""ar"")"),"منظف")</f>
        <v>منظف</v>
      </c>
      <c r="J1206" s="8"/>
      <c r="K1206" s="7" t="str">
        <f>IFERROR(__xludf.DUMMYFUNCTION("CONCAT(REGEXREPLACE(C1206,""[ ,]+"",""_""),"".mp3"")"),"cleaner.mp3")</f>
        <v>cleaner.mp3</v>
      </c>
      <c r="M1206" s="4" t="s">
        <v>10</v>
      </c>
    </row>
    <row r="1207" ht="15.75" customHeight="1">
      <c r="A1207" s="1">
        <v>2575.0</v>
      </c>
      <c r="B1207" s="3">
        <v>150.0</v>
      </c>
      <c r="C1207" s="7" t="s">
        <v>1221</v>
      </c>
      <c r="D1207" s="8" t="str">
        <f>IFERROR(__xludf.DUMMYFUNCTION("GOOGLETRANSLATE(C1207, ""en"", ""pt"")"),"empregada doméstica")</f>
        <v>empregada doméstica</v>
      </c>
      <c r="E1207" s="8" t="str">
        <f>IFERROR(__xludf.DUMMYFUNCTION("GOOGLETRANSLATE(C1207, ""en"", ""es"")"),"mucama")</f>
        <v>mucama</v>
      </c>
      <c r="F1207" s="8" t="str">
        <f>IFERROR(__xludf.DUMMYFUNCTION("GOOGLETRANSLATE(C1207, ""en"", ""fr"")"),"femme de ménage")</f>
        <v>femme de ménage</v>
      </c>
      <c r="G1207" s="8" t="str">
        <f>IFERROR(__xludf.DUMMYFUNCTION("GOOGLETRANSLATE(C1207, ""en"", ""de"")"),"Dienstmädchen")</f>
        <v>Dienstmädchen</v>
      </c>
      <c r="H1207" s="8" t="str">
        <f>IFERROR(__xludf.DUMMYFUNCTION("GOOGLETRANSLATE(C1207, ""en"", ""ru"")"),"служанка")</f>
        <v>служанка</v>
      </c>
      <c r="I1207" s="8" t="str">
        <f>IFERROR(__xludf.DUMMYFUNCTION("GOOGLETRANSLATE(C1207, ""en"", ""ar"")"),"خادمة")</f>
        <v>خادمة</v>
      </c>
      <c r="J1207" s="8"/>
      <c r="K1207" s="7" t="str">
        <f>IFERROR(__xludf.DUMMYFUNCTION("CONCAT(REGEXREPLACE(C1207,""[ ,]+"",""_""),"".mp3"")"),"maid.mp3")</f>
        <v>maid.mp3</v>
      </c>
      <c r="M1207" s="4" t="s">
        <v>10</v>
      </c>
    </row>
    <row r="1208" ht="15.75" customHeight="1">
      <c r="A1208" s="1">
        <v>2576.0</v>
      </c>
      <c r="B1208" s="3">
        <v>150.0</v>
      </c>
      <c r="C1208" s="7" t="s">
        <v>1222</v>
      </c>
      <c r="D1208" s="8" t="str">
        <f>IFERROR(__xludf.DUMMYFUNCTION("GOOGLETRANSLATE(C1208, ""en"", ""pt"")"),"guia de turismo")</f>
        <v>guia de turismo</v>
      </c>
      <c r="E1208" s="8" t="str">
        <f>IFERROR(__xludf.DUMMYFUNCTION("GOOGLETRANSLATE(C1208, ""en"", ""es"")"),"guía turístico")</f>
        <v>guía turístico</v>
      </c>
      <c r="F1208" s="8" t="str">
        <f>IFERROR(__xludf.DUMMYFUNCTION("GOOGLETRANSLATE(C1208, ""en"", ""fr"")"),"guide touristique")</f>
        <v>guide touristique</v>
      </c>
      <c r="G1208" s="8" t="str">
        <f>IFERROR(__xludf.DUMMYFUNCTION("GOOGLETRANSLATE(C1208, ""en"", ""de"")"),"Reiseleiter")</f>
        <v>Reiseleiter</v>
      </c>
      <c r="H1208" s="8" t="str">
        <f>IFERROR(__xludf.DUMMYFUNCTION("GOOGLETRANSLATE(C1208, ""en"", ""ru"")"),"экскурсовод")</f>
        <v>экскурсовод</v>
      </c>
      <c r="I1208" s="8" t="str">
        <f>IFERROR(__xludf.DUMMYFUNCTION("GOOGLETRANSLATE(C1208, ""en"", ""ar"")"),"مرشد سياحي")</f>
        <v>مرشد سياحي</v>
      </c>
      <c r="J1208" s="8"/>
      <c r="K1208" s="7" t="str">
        <f>IFERROR(__xludf.DUMMYFUNCTION("CONCAT(REGEXREPLACE(C1208,""[ ,]+"",""_""),"".mp3"")"),"tour_guide.mp3")</f>
        <v>tour_guide.mp3</v>
      </c>
      <c r="M1208" s="4" t="s">
        <v>10</v>
      </c>
    </row>
    <row r="1209" ht="15.75" customHeight="1">
      <c r="A1209" s="1">
        <v>2577.0</v>
      </c>
      <c r="B1209" s="3">
        <v>150.0</v>
      </c>
      <c r="C1209" s="7" t="s">
        <v>1223</v>
      </c>
      <c r="D1209" s="8" t="str">
        <f>IFERROR(__xludf.DUMMYFUNCTION("GOOGLETRANSLATE(C1209, ""en"", ""pt"")"),"agente de viagens")</f>
        <v>agente de viagens</v>
      </c>
      <c r="E1209" s="8" t="str">
        <f>IFERROR(__xludf.DUMMYFUNCTION("GOOGLETRANSLATE(C1209, ""en"", ""es"")"),"agente de viajes")</f>
        <v>agente de viajes</v>
      </c>
      <c r="F1209" s="8" t="str">
        <f>IFERROR(__xludf.DUMMYFUNCTION("GOOGLETRANSLATE(C1209, ""en"", ""fr"")"),"agent de voyage")</f>
        <v>agent de voyage</v>
      </c>
      <c r="G1209" s="8" t="str">
        <f>IFERROR(__xludf.DUMMYFUNCTION("GOOGLETRANSLATE(C1209, ""en"", ""de"")"),"Reisebüro")</f>
        <v>Reisebüro</v>
      </c>
      <c r="H1209" s="8" t="str">
        <f>IFERROR(__xludf.DUMMYFUNCTION("GOOGLETRANSLATE(C1209, ""en"", ""ru"")"),"турагент")</f>
        <v>турагент</v>
      </c>
      <c r="I1209" s="8" t="str">
        <f>IFERROR(__xludf.DUMMYFUNCTION("GOOGLETRANSLATE(C1209, ""en"", ""ar"")"),"وكيل سفر")</f>
        <v>وكيل سفر</v>
      </c>
      <c r="J1209" s="8"/>
      <c r="K1209" s="7" t="str">
        <f>IFERROR(__xludf.DUMMYFUNCTION("CONCAT(REGEXREPLACE(C1209,""[ ,]+"",""_""),"".mp3"")"),"travel_agent.mp3")</f>
        <v>travel_agent.mp3</v>
      </c>
      <c r="M1209" s="4" t="s">
        <v>10</v>
      </c>
    </row>
    <row r="1210" ht="15.75" customHeight="1">
      <c r="A1210" s="1">
        <v>2578.0</v>
      </c>
      <c r="B1210" s="3">
        <v>150.0</v>
      </c>
      <c r="C1210" s="7" t="s">
        <v>1224</v>
      </c>
      <c r="D1210" s="8" t="str">
        <f>IFERROR(__xludf.DUMMYFUNCTION("GOOGLETRANSLATE(C1210, ""en"", ""pt"")"),"motorista")</f>
        <v>motorista</v>
      </c>
      <c r="E1210" s="8" t="str">
        <f>IFERROR(__xludf.DUMMYFUNCTION("GOOGLETRANSLATE(C1210, ""en"", ""es"")"),"conductor")</f>
        <v>conductor</v>
      </c>
      <c r="F1210" s="8" t="str">
        <f>IFERROR(__xludf.DUMMYFUNCTION("GOOGLETRANSLATE(C1210, ""en"", ""fr"")"),"conducteur")</f>
        <v>conducteur</v>
      </c>
      <c r="G1210" s="8" t="str">
        <f>IFERROR(__xludf.DUMMYFUNCTION("GOOGLETRANSLATE(C1210, ""en"", ""de"")"),"Treiber")</f>
        <v>Treiber</v>
      </c>
      <c r="H1210" s="8" t="str">
        <f>IFERROR(__xludf.DUMMYFUNCTION("GOOGLETRANSLATE(C1210, ""en"", ""ru"")"),"водитель")</f>
        <v>водитель</v>
      </c>
      <c r="I1210" s="8" t="str">
        <f>IFERROR(__xludf.DUMMYFUNCTION("GOOGLETRANSLATE(C1210, ""en"", ""ar"")"),"سائق")</f>
        <v>سائق</v>
      </c>
      <c r="J1210" s="8"/>
      <c r="K1210" s="7" t="str">
        <f>IFERROR(__xludf.DUMMYFUNCTION("CONCAT(REGEXREPLACE(C1210,""[ ,]+"",""_""),"".mp3"")"),"driver.mp3")</f>
        <v>driver.mp3</v>
      </c>
      <c r="M1210" s="4" t="s">
        <v>10</v>
      </c>
    </row>
    <row r="1211" ht="15.75" customHeight="1">
      <c r="A1211" s="1">
        <v>2579.0</v>
      </c>
      <c r="B1211" s="3">
        <v>150.0</v>
      </c>
      <c r="C1211" s="7" t="s">
        <v>1225</v>
      </c>
      <c r="D1211" s="8" t="str">
        <f>IFERROR(__xludf.DUMMYFUNCTION("GOOGLETRANSLATE(C1211, ""en"", ""pt"")"),"motorista de táxi")</f>
        <v>motorista de táxi</v>
      </c>
      <c r="E1211" s="8" t="str">
        <f>IFERROR(__xludf.DUMMYFUNCTION("GOOGLETRANSLATE(C1211, ""en"", ""es"")"),"taxista")</f>
        <v>taxista</v>
      </c>
      <c r="F1211" s="8" t="str">
        <f>IFERROR(__xludf.DUMMYFUNCTION("GOOGLETRANSLATE(C1211, ""en"", ""fr"")"),"chauffeur de taxi")</f>
        <v>chauffeur de taxi</v>
      </c>
      <c r="G1211" s="8" t="str">
        <f>IFERROR(__xludf.DUMMYFUNCTION("GOOGLETRANSLATE(C1211, ""en"", ""de"")"),"Taxifahrer")</f>
        <v>Taxifahrer</v>
      </c>
      <c r="H1211" s="8" t="str">
        <f>IFERROR(__xludf.DUMMYFUNCTION("GOOGLETRANSLATE(C1211, ""en"", ""ru"")"),"таксист")</f>
        <v>таксист</v>
      </c>
      <c r="I1211" s="8" t="str">
        <f>IFERROR(__xludf.DUMMYFUNCTION("GOOGLETRANSLATE(C1211, ""en"", ""ar"")"),"سائق سيارة أجرة")</f>
        <v>سائق سيارة أجرة</v>
      </c>
      <c r="J1211" s="8"/>
      <c r="K1211" s="7" t="str">
        <f>IFERROR(__xludf.DUMMYFUNCTION("CONCAT(REGEXREPLACE(C1211,""[ ,]+"",""_""),"".mp3"")"),"taxi_driver.mp3")</f>
        <v>taxi_driver.mp3</v>
      </c>
      <c r="M1211" s="4" t="s">
        <v>10</v>
      </c>
    </row>
    <row r="1212" ht="15.75" customHeight="1">
      <c r="A1212" s="1">
        <v>2580.0</v>
      </c>
      <c r="B1212" s="3">
        <v>150.0</v>
      </c>
      <c r="C1212" s="7" t="s">
        <v>1226</v>
      </c>
      <c r="D1212" s="8" t="str">
        <f>IFERROR(__xludf.DUMMYFUNCTION("GOOGLETRANSLATE(C1212, ""en"", ""pt"")"),"motorista de ônibus")</f>
        <v>motorista de ônibus</v>
      </c>
      <c r="E1212" s="8" t="str">
        <f>IFERROR(__xludf.DUMMYFUNCTION("GOOGLETRANSLATE(C1212, ""en"", ""es"")"),"conductor de autobús")</f>
        <v>conductor de autobús</v>
      </c>
      <c r="F1212" s="8" t="str">
        <f>IFERROR(__xludf.DUMMYFUNCTION("GOOGLETRANSLATE(C1212, ""en"", ""fr"")"),"chauffeur de bus")</f>
        <v>chauffeur de bus</v>
      </c>
      <c r="G1212" s="8" t="str">
        <f>IFERROR(__xludf.DUMMYFUNCTION("GOOGLETRANSLATE(C1212, ""en"", ""de"")"),"Busfahrer")</f>
        <v>Busfahrer</v>
      </c>
      <c r="H1212" s="8" t="str">
        <f>IFERROR(__xludf.DUMMYFUNCTION("GOOGLETRANSLATE(C1212, ""en"", ""ru"")"),"водитель автобуса")</f>
        <v>водитель автобуса</v>
      </c>
      <c r="I1212" s="8" t="str">
        <f>IFERROR(__xludf.DUMMYFUNCTION("GOOGLETRANSLATE(C1212, ""en"", ""ar"")"),"سائق الحافلة")</f>
        <v>سائق الحافلة</v>
      </c>
      <c r="J1212" s="8"/>
      <c r="K1212" s="7" t="str">
        <f>IFERROR(__xludf.DUMMYFUNCTION("CONCAT(REGEXREPLACE(C1212,""[ ,]+"",""_""),"".mp3"")"),"bus_driver.mp3")</f>
        <v>bus_driver.mp3</v>
      </c>
      <c r="M1212" s="4" t="s">
        <v>10</v>
      </c>
    </row>
    <row r="1213" ht="15.75" customHeight="1">
      <c r="A1213" s="1">
        <v>2581.0</v>
      </c>
      <c r="B1213" s="3">
        <v>150.0</v>
      </c>
      <c r="C1213" s="7" t="s">
        <v>1227</v>
      </c>
      <c r="D1213" s="8" t="str">
        <f>IFERROR(__xludf.DUMMYFUNCTION("GOOGLETRANSLATE(C1213, ""en"", ""pt"")"),"motorista de caminhão")</f>
        <v>motorista de caminhão</v>
      </c>
      <c r="E1213" s="8" t="str">
        <f>IFERROR(__xludf.DUMMYFUNCTION("GOOGLETRANSLATE(C1213, ""en"", ""es"")"),"conductor de camión")</f>
        <v>conductor de camión</v>
      </c>
      <c r="F1213" s="8" t="str">
        <f>IFERROR(__xludf.DUMMYFUNCTION("GOOGLETRANSLATE(C1213, ""en"", ""fr"")"),"chauffeur de camion")</f>
        <v>chauffeur de camion</v>
      </c>
      <c r="G1213" s="8" t="str">
        <f>IFERROR(__xludf.DUMMYFUNCTION("GOOGLETRANSLATE(C1213, ""en"", ""de"")"),"LKW-Fahrer")</f>
        <v>LKW-Fahrer</v>
      </c>
      <c r="H1213" s="8" t="str">
        <f>IFERROR(__xludf.DUMMYFUNCTION("GOOGLETRANSLATE(C1213, ""en"", ""ru"")"),"водитель грузовика")</f>
        <v>водитель грузовика</v>
      </c>
      <c r="I1213" s="8" t="str">
        <f>IFERROR(__xludf.DUMMYFUNCTION("GOOGLETRANSLATE(C1213, ""en"", ""ar"")"),"سائق شاحنة")</f>
        <v>سائق شاحنة</v>
      </c>
      <c r="J1213" s="8"/>
      <c r="K1213" s="7" t="str">
        <f>IFERROR(__xludf.DUMMYFUNCTION("CONCAT(REGEXREPLACE(C1213,""[ ,]+"",""_""),"".mp3"")"),"truck_driver.mp3")</f>
        <v>truck_driver.mp3</v>
      </c>
      <c r="M1213" s="4" t="s">
        <v>10</v>
      </c>
    </row>
    <row r="1214" ht="15.75" customHeight="1">
      <c r="A1214" s="1">
        <v>2582.0</v>
      </c>
      <c r="B1214" s="3">
        <v>150.0</v>
      </c>
      <c r="C1214" s="7" t="s">
        <v>1228</v>
      </c>
      <c r="D1214" s="8" t="str">
        <f>IFERROR(__xludf.DUMMYFUNCTION("GOOGLETRANSLATE(C1214, ""en"", ""pt"")"),"motorista de entrega")</f>
        <v>motorista de entrega</v>
      </c>
      <c r="E1214" s="8" t="str">
        <f>IFERROR(__xludf.DUMMYFUNCTION("GOOGLETRANSLATE(C1214, ""en"", ""es"")"),"conductor de reparto")</f>
        <v>conductor de reparto</v>
      </c>
      <c r="F1214" s="8" t="str">
        <f>IFERROR(__xludf.DUMMYFUNCTION("GOOGLETRANSLATE(C1214, ""en"", ""fr"")"),"livreur")</f>
        <v>livreur</v>
      </c>
      <c r="G1214" s="8" t="str">
        <f>IFERROR(__xludf.DUMMYFUNCTION("GOOGLETRANSLATE(C1214, ""en"", ""de"")"),"Zustellfahrer")</f>
        <v>Zustellfahrer</v>
      </c>
      <c r="H1214" s="8" t="str">
        <f>IFERROR(__xludf.DUMMYFUNCTION("GOOGLETRANSLATE(C1214, ""en"", ""ru"")"),"водитель-курьер")</f>
        <v>водитель-курьер</v>
      </c>
      <c r="I1214" s="8" t="str">
        <f>IFERROR(__xludf.DUMMYFUNCTION("GOOGLETRANSLATE(C1214, ""en"", ""ar"")"),"سائق توصيل")</f>
        <v>سائق توصيل</v>
      </c>
      <c r="J1214" s="8"/>
      <c r="K1214" s="7" t="str">
        <f>IFERROR(__xludf.DUMMYFUNCTION("CONCAT(REGEXREPLACE(C1214,""[ ,]+"",""_""),"".mp3"")"),"delivery_driver.mp3")</f>
        <v>delivery_driver.mp3</v>
      </c>
      <c r="M1214" s="4" t="s">
        <v>10</v>
      </c>
    </row>
    <row r="1215" ht="15.75" customHeight="1">
      <c r="A1215" s="1">
        <v>2583.0</v>
      </c>
      <c r="B1215" s="3">
        <v>150.0</v>
      </c>
      <c r="C1215" s="7" t="s">
        <v>1229</v>
      </c>
      <c r="D1215" s="8" t="str">
        <f>IFERROR(__xludf.DUMMYFUNCTION("GOOGLETRANSLATE(C1215, ""en"", ""pt"")"),"correio")</f>
        <v>correio</v>
      </c>
      <c r="E1215" s="8" t="str">
        <f>IFERROR(__xludf.DUMMYFUNCTION("GOOGLETRANSLATE(C1215, ""en"", ""es"")"),"mensajero")</f>
        <v>mensajero</v>
      </c>
      <c r="F1215" s="8" t="str">
        <f>IFERROR(__xludf.DUMMYFUNCTION("GOOGLETRANSLATE(C1215, ""en"", ""fr"")"),"courrier")</f>
        <v>courrier</v>
      </c>
      <c r="G1215" s="8" t="str">
        <f>IFERROR(__xludf.DUMMYFUNCTION("GOOGLETRANSLATE(C1215, ""en"", ""de"")"),"Kurier")</f>
        <v>Kurier</v>
      </c>
      <c r="H1215" s="8" t="str">
        <f>IFERROR(__xludf.DUMMYFUNCTION("GOOGLETRANSLATE(C1215, ""en"", ""ru"")"),"курьер")</f>
        <v>курьер</v>
      </c>
      <c r="I1215" s="8" t="str">
        <f>IFERROR(__xludf.DUMMYFUNCTION("GOOGLETRANSLATE(C1215, ""en"", ""ar"")"),"ساعي")</f>
        <v>ساعي</v>
      </c>
      <c r="J1215" s="8"/>
      <c r="K1215" s="7" t="str">
        <f>IFERROR(__xludf.DUMMYFUNCTION("CONCAT(REGEXREPLACE(C1215,""[ ,]+"",""_""),"".mp3"")"),"courier.mp3")</f>
        <v>courier.mp3</v>
      </c>
      <c r="M1215" s="4" t="s">
        <v>10</v>
      </c>
    </row>
    <row r="1216" ht="15.75" customHeight="1">
      <c r="A1216" s="1">
        <v>2584.0</v>
      </c>
      <c r="B1216" s="3">
        <v>150.0</v>
      </c>
      <c r="C1216" s="7" t="s">
        <v>1230</v>
      </c>
      <c r="D1216" s="8" t="str">
        <f>IFERROR(__xludf.DUMMYFUNCTION("GOOGLETRANSLATE(C1216, ""en"", ""pt"")"),"piloto")</f>
        <v>piloto</v>
      </c>
      <c r="E1216" s="8" t="str">
        <f>IFERROR(__xludf.DUMMYFUNCTION("GOOGLETRANSLATE(C1216, ""en"", ""es"")"),"piloto")</f>
        <v>piloto</v>
      </c>
      <c r="F1216" s="8" t="str">
        <f>IFERROR(__xludf.DUMMYFUNCTION("GOOGLETRANSLATE(C1216, ""en"", ""fr"")"),"pilote")</f>
        <v>pilote</v>
      </c>
      <c r="G1216" s="8" t="str">
        <f>IFERROR(__xludf.DUMMYFUNCTION("GOOGLETRANSLATE(C1216, ""en"", ""de"")"),"Pilot")</f>
        <v>Pilot</v>
      </c>
      <c r="H1216" s="8" t="str">
        <f>IFERROR(__xludf.DUMMYFUNCTION("GOOGLETRANSLATE(C1216, ""en"", ""ru"")"),"пилот")</f>
        <v>пилот</v>
      </c>
      <c r="I1216" s="8" t="str">
        <f>IFERROR(__xludf.DUMMYFUNCTION("GOOGLETRANSLATE(C1216, ""en"", ""ar"")"),"طيار")</f>
        <v>طيار</v>
      </c>
      <c r="J1216" s="8"/>
      <c r="K1216" s="7" t="str">
        <f>IFERROR(__xludf.DUMMYFUNCTION("CONCAT(REGEXREPLACE(C1216,""[ ,]+"",""_""),"".mp3"")"),"pilot.mp3")</f>
        <v>pilot.mp3</v>
      </c>
      <c r="M1216" s="4" t="s">
        <v>10</v>
      </c>
    </row>
    <row r="1217" ht="15.75" customHeight="1">
      <c r="A1217" s="1">
        <v>2585.0</v>
      </c>
      <c r="B1217" s="3">
        <v>150.0</v>
      </c>
      <c r="C1217" s="7" t="s">
        <v>1231</v>
      </c>
      <c r="D1217" s="8" t="str">
        <f>IFERROR(__xludf.DUMMYFUNCTION("GOOGLETRANSLATE(C1217, ""en"", ""pt"")"),"comissário de bordo")</f>
        <v>comissário de bordo</v>
      </c>
      <c r="E1217" s="8" t="str">
        <f>IFERROR(__xludf.DUMMYFUNCTION("GOOGLETRANSLATE(C1217, ""en"", ""es"")"),"auxiliar de vuelo")</f>
        <v>auxiliar de vuelo</v>
      </c>
      <c r="F1217" s="8" t="str">
        <f>IFERROR(__xludf.DUMMYFUNCTION("GOOGLETRANSLATE(C1217, ""en"", ""fr"")"),"hôtesse de l'air")</f>
        <v>hôtesse de l'air</v>
      </c>
      <c r="G1217" s="8" t="str">
        <f>IFERROR(__xludf.DUMMYFUNCTION("GOOGLETRANSLATE(C1217, ""en"", ""de"")"),"Flugbegleiterin")</f>
        <v>Flugbegleiterin</v>
      </c>
      <c r="H1217" s="8" t="str">
        <f>IFERROR(__xludf.DUMMYFUNCTION("GOOGLETRANSLATE(C1217, ""en"", ""ru"")"),"бортпроводник")</f>
        <v>бортпроводник</v>
      </c>
      <c r="I1217" s="8" t="str">
        <f>IFERROR(__xludf.DUMMYFUNCTION("GOOGLETRANSLATE(C1217, ""en"", ""ar"")"),"مضيفة طيران")</f>
        <v>مضيفة طيران</v>
      </c>
      <c r="J1217" s="8"/>
      <c r="K1217" s="7" t="str">
        <f>IFERROR(__xludf.DUMMYFUNCTION("CONCAT(REGEXREPLACE(C1217,""[ ,]+"",""_""),"".mp3"")"),"flight_attendant.mp3")</f>
        <v>flight_attendant.mp3</v>
      </c>
      <c r="M1217" s="4" t="s">
        <v>10</v>
      </c>
    </row>
    <row r="1218" ht="15.75" customHeight="1">
      <c r="A1218" s="1">
        <v>2586.0</v>
      </c>
      <c r="B1218" s="3">
        <v>150.0</v>
      </c>
      <c r="C1218" s="7" t="s">
        <v>1232</v>
      </c>
      <c r="D1218" s="8" t="str">
        <f>IFERROR(__xludf.DUMMYFUNCTION("GOOGLETRANSLATE(C1218, ""en"", ""pt"")"),"condutor do trem")</f>
        <v>condutor do trem</v>
      </c>
      <c r="E1218" s="8" t="str">
        <f>IFERROR(__xludf.DUMMYFUNCTION("GOOGLETRANSLATE(C1218, ""en"", ""es"")"),"conductor de tren")</f>
        <v>conductor de tren</v>
      </c>
      <c r="F1218" s="8" t="str">
        <f>IFERROR(__xludf.DUMMYFUNCTION("GOOGLETRANSLATE(C1218, ""en"", ""fr"")"),"chef de train")</f>
        <v>chef de train</v>
      </c>
      <c r="G1218" s="8" t="str">
        <f>IFERROR(__xludf.DUMMYFUNCTION("GOOGLETRANSLATE(C1218, ""en"", ""de"")"),"Zugführer")</f>
        <v>Zugführer</v>
      </c>
      <c r="H1218" s="8" t="str">
        <f>IFERROR(__xludf.DUMMYFUNCTION("GOOGLETRANSLATE(C1218, ""en"", ""ru"")"),"проводник поезда")</f>
        <v>проводник поезда</v>
      </c>
      <c r="I1218" s="8" t="str">
        <f>IFERROR(__xludf.DUMMYFUNCTION("GOOGLETRANSLATE(C1218, ""en"", ""ar"")"),"قائد القطار")</f>
        <v>قائد القطار</v>
      </c>
      <c r="J1218" s="8"/>
      <c r="K1218" s="7" t="str">
        <f>IFERROR(__xludf.DUMMYFUNCTION("CONCAT(REGEXREPLACE(C1218,""[ ,]+"",""_""),"".mp3"")"),"train_conductor.mp3")</f>
        <v>train_conductor.mp3</v>
      </c>
      <c r="M1218" s="4" t="s">
        <v>10</v>
      </c>
    </row>
    <row r="1219" ht="15.75" customHeight="1">
      <c r="A1219" s="1">
        <v>2587.0</v>
      </c>
      <c r="B1219" s="3">
        <v>150.0</v>
      </c>
      <c r="C1219" s="7" t="s">
        <v>1233</v>
      </c>
      <c r="D1219" s="8" t="str">
        <f>IFERROR(__xludf.DUMMYFUNCTION("GOOGLETRANSLATE(C1219, ""en"", ""pt"")"),"trabalhador ferroviário")</f>
        <v>trabalhador ferroviário</v>
      </c>
      <c r="E1219" s="8" t="str">
        <f>IFERROR(__xludf.DUMMYFUNCTION("GOOGLETRANSLATE(C1219, ""en"", ""es"")"),"trabajador ferroviario")</f>
        <v>trabajador ferroviario</v>
      </c>
      <c r="F1219" s="8" t="str">
        <f>IFERROR(__xludf.DUMMYFUNCTION("GOOGLETRANSLATE(C1219, ""en"", ""fr"")"),"cheminot")</f>
        <v>cheminot</v>
      </c>
      <c r="G1219" s="8" t="str">
        <f>IFERROR(__xludf.DUMMYFUNCTION("GOOGLETRANSLATE(C1219, ""en"", ""de"")"),"Eisenbahnarbeiter")</f>
        <v>Eisenbahnarbeiter</v>
      </c>
      <c r="H1219" s="8" t="str">
        <f>IFERROR(__xludf.DUMMYFUNCTION("GOOGLETRANSLATE(C1219, ""en"", ""ru"")"),"железнодорожный рабочий")</f>
        <v>железнодорожный рабочий</v>
      </c>
      <c r="I1219" s="8" t="str">
        <f>IFERROR(__xludf.DUMMYFUNCTION("GOOGLETRANSLATE(C1219, ""en"", ""ar"")"),"عامل سكة حديد")</f>
        <v>عامل سكة حديد</v>
      </c>
      <c r="J1219" s="8"/>
      <c r="K1219" s="7" t="str">
        <f>IFERROR(__xludf.DUMMYFUNCTION("CONCAT(REGEXREPLACE(C1219,""[ ,]+"",""_""),"".mp3"")"),"railway_worker.mp3")</f>
        <v>railway_worker.mp3</v>
      </c>
      <c r="M1219" s="4" t="s">
        <v>10</v>
      </c>
    </row>
    <row r="1220" ht="15.75" customHeight="1">
      <c r="A1220" s="1">
        <v>2588.0</v>
      </c>
      <c r="B1220" s="3">
        <v>150.0</v>
      </c>
      <c r="C1220" s="7" t="s">
        <v>1234</v>
      </c>
      <c r="D1220" s="8" t="str">
        <f>IFERROR(__xludf.DUMMYFUNCTION("GOOGLETRANSLATE(C1220, ""en"", ""pt"")"),"capitão do navio")</f>
        <v>capitão do navio</v>
      </c>
      <c r="E1220" s="8" t="str">
        <f>IFERROR(__xludf.DUMMYFUNCTION("GOOGLETRANSLATE(C1220, ""en"", ""es"")"),"capitán del barco")</f>
        <v>capitán del barco</v>
      </c>
      <c r="F1220" s="8" t="str">
        <f>IFERROR(__xludf.DUMMYFUNCTION("GOOGLETRANSLATE(C1220, ""en"", ""fr"")"),"capitaine du navire")</f>
        <v>capitaine du navire</v>
      </c>
      <c r="G1220" s="8" t="str">
        <f>IFERROR(__xludf.DUMMYFUNCTION("GOOGLETRANSLATE(C1220, ""en"", ""de"")"),"Schiffskapitän")</f>
        <v>Schiffskapitän</v>
      </c>
      <c r="H1220" s="8" t="str">
        <f>IFERROR(__xludf.DUMMYFUNCTION("GOOGLETRANSLATE(C1220, ""en"", ""ru"")"),"капитан корабля")</f>
        <v>капитан корабля</v>
      </c>
      <c r="I1220" s="8" t="str">
        <f>IFERROR(__xludf.DUMMYFUNCTION("GOOGLETRANSLATE(C1220, ""en"", ""ar"")"),"قبطان السفينة")</f>
        <v>قبطان السفينة</v>
      </c>
      <c r="J1220" s="8"/>
      <c r="K1220" s="7" t="str">
        <f>IFERROR(__xludf.DUMMYFUNCTION("CONCAT(REGEXREPLACE(C1220,""[ ,]+"",""_""),"".mp3"")"),"ship_captain.mp3")</f>
        <v>ship_captain.mp3</v>
      </c>
      <c r="M1220" s="4" t="s">
        <v>10</v>
      </c>
    </row>
    <row r="1221" ht="15.75" customHeight="1">
      <c r="A1221" s="1">
        <v>2589.0</v>
      </c>
      <c r="B1221" s="3">
        <v>150.0</v>
      </c>
      <c r="C1221" s="7" t="s">
        <v>1235</v>
      </c>
      <c r="D1221" s="8" t="str">
        <f>IFERROR(__xludf.DUMMYFUNCTION("GOOGLETRANSLATE(C1221, ""en"", ""pt"")"),"marinheiro")</f>
        <v>marinheiro</v>
      </c>
      <c r="E1221" s="8" t="str">
        <f>IFERROR(__xludf.DUMMYFUNCTION("GOOGLETRANSLATE(C1221, ""en"", ""es"")"),"marinero")</f>
        <v>marinero</v>
      </c>
      <c r="F1221" s="8" t="str">
        <f>IFERROR(__xludf.DUMMYFUNCTION("GOOGLETRANSLATE(C1221, ""en"", ""fr"")"),"marin")</f>
        <v>marin</v>
      </c>
      <c r="G1221" s="8" t="str">
        <f>IFERROR(__xludf.DUMMYFUNCTION("GOOGLETRANSLATE(C1221, ""en"", ""de"")"),"Seemann")</f>
        <v>Seemann</v>
      </c>
      <c r="H1221" s="8" t="str">
        <f>IFERROR(__xludf.DUMMYFUNCTION("GOOGLETRANSLATE(C1221, ""en"", ""ru"")"),"моряк")</f>
        <v>моряк</v>
      </c>
      <c r="I1221" s="8" t="str">
        <f>IFERROR(__xludf.DUMMYFUNCTION("GOOGLETRANSLATE(C1221, ""en"", ""ar"")"),"بحار")</f>
        <v>بحار</v>
      </c>
      <c r="J1221" s="8"/>
      <c r="K1221" s="7" t="str">
        <f>IFERROR(__xludf.DUMMYFUNCTION("CONCAT(REGEXREPLACE(C1221,""[ ,]+"",""_""),"".mp3"")"),"sailor.mp3")</f>
        <v>sailor.mp3</v>
      </c>
      <c r="M1221" s="4" t="s">
        <v>10</v>
      </c>
    </row>
    <row r="1222" ht="15.75" customHeight="1">
      <c r="A1222" s="1">
        <v>2590.0</v>
      </c>
      <c r="B1222" s="3">
        <v>150.0</v>
      </c>
      <c r="C1222" s="7" t="s">
        <v>1236</v>
      </c>
      <c r="D1222" s="8" t="str">
        <f>IFERROR(__xludf.DUMMYFUNCTION("GOOGLETRANSLATE(C1222, ""en"", ""pt"")"),"gerente de logística")</f>
        <v>gerente de logística</v>
      </c>
      <c r="E1222" s="8" t="str">
        <f>IFERROR(__xludf.DUMMYFUNCTION("GOOGLETRANSLATE(C1222, ""en"", ""es"")"),"gerente de logística")</f>
        <v>gerente de logística</v>
      </c>
      <c r="F1222" s="8" t="str">
        <f>IFERROR(__xludf.DUMMYFUNCTION("GOOGLETRANSLATE(C1222, ""en"", ""fr"")"),"responsable logistique")</f>
        <v>responsable logistique</v>
      </c>
      <c r="G1222" s="8" t="str">
        <f>IFERROR(__xludf.DUMMYFUNCTION("GOOGLETRANSLATE(C1222, ""en"", ""de"")"),"Logistikmanager")</f>
        <v>Logistikmanager</v>
      </c>
      <c r="H1222" s="8" t="str">
        <f>IFERROR(__xludf.DUMMYFUNCTION("GOOGLETRANSLATE(C1222, ""en"", ""ru"")"),"менеджер по логистике")</f>
        <v>менеджер по логистике</v>
      </c>
      <c r="I1222" s="8" t="str">
        <f>IFERROR(__xludf.DUMMYFUNCTION("GOOGLETRANSLATE(C1222, ""en"", ""ar"")"),"مدير الخدمات اللوجستية")</f>
        <v>مدير الخدمات اللوجستية</v>
      </c>
      <c r="J1222" s="8"/>
      <c r="K1222" s="7" t="str">
        <f>IFERROR(__xludf.DUMMYFUNCTION("CONCAT(REGEXREPLACE(C1222,""[ ,]+"",""_""),"".mp3"")"),"logistics_manager.mp3")</f>
        <v>logistics_manager.mp3</v>
      </c>
      <c r="M1222" s="4" t="s">
        <v>10</v>
      </c>
    </row>
    <row r="1223" ht="15.75" customHeight="1">
      <c r="A1223" s="1">
        <v>2591.0</v>
      </c>
      <c r="B1223" s="3">
        <v>150.0</v>
      </c>
      <c r="C1223" s="7" t="s">
        <v>1237</v>
      </c>
      <c r="D1223" s="8" t="str">
        <f>IFERROR(__xludf.DUMMYFUNCTION("GOOGLETRANSLATE(C1223, ""en"", ""pt"")"),"operário de armazém")</f>
        <v>operário de armazém</v>
      </c>
      <c r="E1223" s="8" t="str">
        <f>IFERROR(__xludf.DUMMYFUNCTION("GOOGLETRANSLATE(C1223, ""en"", ""es"")"),"trabajador de almacén")</f>
        <v>trabajador de almacén</v>
      </c>
      <c r="F1223" s="8" t="str">
        <f>IFERROR(__xludf.DUMMYFUNCTION("GOOGLETRANSLATE(C1223, ""en"", ""fr"")"),"employé d'entrepôt")</f>
        <v>employé d'entrepôt</v>
      </c>
      <c r="G1223" s="8" t="str">
        <f>IFERROR(__xludf.DUMMYFUNCTION("GOOGLETRANSLATE(C1223, ""en"", ""de"")"),"Lagerarbeiter")</f>
        <v>Lagerarbeiter</v>
      </c>
      <c r="H1223" s="8" t="str">
        <f>IFERROR(__xludf.DUMMYFUNCTION("GOOGLETRANSLATE(C1223, ""en"", ""ru"")"),"работник склада")</f>
        <v>работник склада</v>
      </c>
      <c r="I1223" s="8" t="str">
        <f>IFERROR(__xludf.DUMMYFUNCTION("GOOGLETRANSLATE(C1223, ""en"", ""ar"")"),"عامل مستودع")</f>
        <v>عامل مستودع</v>
      </c>
      <c r="J1223" s="8"/>
      <c r="K1223" s="7" t="str">
        <f>IFERROR(__xludf.DUMMYFUNCTION("CONCAT(REGEXREPLACE(C1223,""[ ,]+"",""_""),"".mp3"")"),"warehouse_worker.mp3")</f>
        <v>warehouse_worker.mp3</v>
      </c>
      <c r="M1223" s="4" t="s">
        <v>10</v>
      </c>
    </row>
    <row r="1224" ht="15.75" customHeight="1">
      <c r="A1224" s="1">
        <v>2592.0</v>
      </c>
      <c r="B1224" s="3">
        <v>150.0</v>
      </c>
      <c r="C1224" s="7" t="s">
        <v>1238</v>
      </c>
      <c r="D1224" s="8" t="str">
        <f>IFERROR(__xludf.DUMMYFUNCTION("GOOGLETRANSLATE(C1224, ""en"", ""pt"")"),"agricultor")</f>
        <v>agricultor</v>
      </c>
      <c r="E1224" s="8" t="str">
        <f>IFERROR(__xludf.DUMMYFUNCTION("GOOGLETRANSLATE(C1224, ""en"", ""es"")"),"agricultor")</f>
        <v>agricultor</v>
      </c>
      <c r="F1224" s="8" t="str">
        <f>IFERROR(__xludf.DUMMYFUNCTION("GOOGLETRANSLATE(C1224, ""en"", ""fr"")"),"fermier")</f>
        <v>fermier</v>
      </c>
      <c r="G1224" s="8" t="str">
        <f>IFERROR(__xludf.DUMMYFUNCTION("GOOGLETRANSLATE(C1224, ""en"", ""de"")"),"Bauer")</f>
        <v>Bauer</v>
      </c>
      <c r="H1224" s="8" t="str">
        <f>IFERROR(__xludf.DUMMYFUNCTION("GOOGLETRANSLATE(C1224, ""en"", ""ru"")"),"фермер")</f>
        <v>фермер</v>
      </c>
      <c r="I1224" s="8" t="str">
        <f>IFERROR(__xludf.DUMMYFUNCTION("GOOGLETRANSLATE(C1224, ""en"", ""ar"")"),"مزارع")</f>
        <v>مزارع</v>
      </c>
      <c r="J1224" s="8"/>
      <c r="K1224" s="7" t="str">
        <f>IFERROR(__xludf.DUMMYFUNCTION("CONCAT(REGEXREPLACE(C1224,""[ ,]+"",""_""),"".mp3"")"),"farmer.mp3")</f>
        <v>farmer.mp3</v>
      </c>
      <c r="M1224" s="4" t="s">
        <v>10</v>
      </c>
    </row>
    <row r="1225" ht="15.75" customHeight="1">
      <c r="A1225" s="1">
        <v>2593.0</v>
      </c>
      <c r="B1225" s="3">
        <v>150.0</v>
      </c>
      <c r="C1225" s="7" t="s">
        <v>1239</v>
      </c>
      <c r="D1225" s="8" t="str">
        <f>IFERROR(__xludf.DUMMYFUNCTION("GOOGLETRANSLATE(C1225, ""en"", ""pt"")"),"trabalhador agrícola")</f>
        <v>trabalhador agrícola</v>
      </c>
      <c r="E1225" s="8" t="str">
        <f>IFERROR(__xludf.DUMMYFUNCTION("GOOGLETRANSLATE(C1225, ""en"", ""es"")"),"trabajador agrícola")</f>
        <v>trabajador agrícola</v>
      </c>
      <c r="F1225" s="8" t="str">
        <f>IFERROR(__xludf.DUMMYFUNCTION("GOOGLETRANSLATE(C1225, ""en"", ""fr"")"),"travailleur agricole")</f>
        <v>travailleur agricole</v>
      </c>
      <c r="G1225" s="8" t="str">
        <f>IFERROR(__xludf.DUMMYFUNCTION("GOOGLETRANSLATE(C1225, ""en"", ""de"")"),"Landarbeiter")</f>
        <v>Landarbeiter</v>
      </c>
      <c r="H1225" s="8" t="str">
        <f>IFERROR(__xludf.DUMMYFUNCTION("GOOGLETRANSLATE(C1225, ""en"", ""ru"")"),"сельскохозяйственный рабочий")</f>
        <v>сельскохозяйственный рабочий</v>
      </c>
      <c r="I1225" s="8" t="str">
        <f>IFERROR(__xludf.DUMMYFUNCTION("GOOGLETRANSLATE(C1225, ""en"", ""ar"")"),"عامل زراعي")</f>
        <v>عامل زراعي</v>
      </c>
      <c r="J1225" s="8"/>
      <c r="K1225" s="7" t="str">
        <f>IFERROR(__xludf.DUMMYFUNCTION("CONCAT(REGEXREPLACE(C1225,""[ ,]+"",""_""),"".mp3"")"),"agricultural_worker.mp3")</f>
        <v>agricultural_worker.mp3</v>
      </c>
      <c r="M1225" s="4" t="s">
        <v>10</v>
      </c>
    </row>
    <row r="1226" ht="15.75" customHeight="1">
      <c r="A1226" s="1">
        <v>2594.0</v>
      </c>
      <c r="B1226" s="3">
        <v>150.0</v>
      </c>
      <c r="C1226" s="7" t="s">
        <v>1240</v>
      </c>
      <c r="D1226" s="8" t="str">
        <f>IFERROR(__xludf.DUMMYFUNCTION("GOOGLETRANSLATE(C1226, ""en"", ""pt"")"),"rancheiro")</f>
        <v>rancheiro</v>
      </c>
      <c r="E1226" s="8" t="str">
        <f>IFERROR(__xludf.DUMMYFUNCTION("GOOGLETRANSLATE(C1226, ""en"", ""es"")"),"ranchero")</f>
        <v>ranchero</v>
      </c>
      <c r="F1226" s="8" t="str">
        <f>IFERROR(__xludf.DUMMYFUNCTION("GOOGLETRANSLATE(C1226, ""en"", ""fr"")"),"propriétaire de ranch")</f>
        <v>propriétaire de ranch</v>
      </c>
      <c r="G1226" s="8" t="str">
        <f>IFERROR(__xludf.DUMMYFUNCTION("GOOGLETRANSLATE(C1226, ""en"", ""de"")"),"Rancher")</f>
        <v>Rancher</v>
      </c>
      <c r="H1226" s="8" t="str">
        <f>IFERROR(__xludf.DUMMYFUNCTION("GOOGLETRANSLATE(C1226, ""en"", ""ru"")"),"ранчо")</f>
        <v>ранчо</v>
      </c>
      <c r="I1226" s="8" t="str">
        <f>IFERROR(__xludf.DUMMYFUNCTION("GOOGLETRANSLATE(C1226, ""en"", ""ar"")"),"مربي ماشية")</f>
        <v>مربي ماشية</v>
      </c>
      <c r="J1226" s="8"/>
      <c r="K1226" s="7" t="str">
        <f>IFERROR(__xludf.DUMMYFUNCTION("CONCAT(REGEXREPLACE(C1226,""[ ,]+"",""_""),"".mp3"")"),"rancher.mp3")</f>
        <v>rancher.mp3</v>
      </c>
      <c r="M1226" s="4" t="s">
        <v>10</v>
      </c>
    </row>
    <row r="1227" ht="15.75" customHeight="1">
      <c r="A1227" s="1">
        <v>2595.0</v>
      </c>
      <c r="B1227" s="3">
        <v>150.0</v>
      </c>
      <c r="C1227" s="7" t="s">
        <v>1241</v>
      </c>
      <c r="D1227" s="8" t="str">
        <f>IFERROR(__xludf.DUMMYFUNCTION("GOOGLETRANSLATE(C1227, ""en"", ""pt"")"),"jardineiro")</f>
        <v>jardineiro</v>
      </c>
      <c r="E1227" s="8" t="str">
        <f>IFERROR(__xludf.DUMMYFUNCTION("GOOGLETRANSLATE(C1227, ""en"", ""es"")"),"jardinero")</f>
        <v>jardinero</v>
      </c>
      <c r="F1227" s="8" t="str">
        <f>IFERROR(__xludf.DUMMYFUNCTION("GOOGLETRANSLATE(C1227, ""en"", ""fr"")"),"jardinier")</f>
        <v>jardinier</v>
      </c>
      <c r="G1227" s="8" t="str">
        <f>IFERROR(__xludf.DUMMYFUNCTION("GOOGLETRANSLATE(C1227, ""en"", ""de"")"),"Gärtner")</f>
        <v>Gärtner</v>
      </c>
      <c r="H1227" s="8" t="str">
        <f>IFERROR(__xludf.DUMMYFUNCTION("GOOGLETRANSLATE(C1227, ""en"", ""ru"")"),"садовник")</f>
        <v>садовник</v>
      </c>
      <c r="I1227" s="8" t="str">
        <f>IFERROR(__xludf.DUMMYFUNCTION("GOOGLETRANSLATE(C1227, ""en"", ""ar"")"),"بستاني")</f>
        <v>بستاني</v>
      </c>
      <c r="J1227" s="8"/>
      <c r="K1227" s="7" t="str">
        <f>IFERROR(__xludf.DUMMYFUNCTION("CONCAT(REGEXREPLACE(C1227,""[ ,]+"",""_""),"".mp3"")"),"gardener.mp3")</f>
        <v>gardener.mp3</v>
      </c>
      <c r="M1227" s="4" t="s">
        <v>10</v>
      </c>
    </row>
    <row r="1228" ht="15.75" customHeight="1">
      <c r="A1228" s="1">
        <v>2596.0</v>
      </c>
      <c r="B1228" s="3">
        <v>150.0</v>
      </c>
      <c r="C1228" s="7" t="s">
        <v>1242</v>
      </c>
      <c r="D1228" s="8" t="str">
        <f>IFERROR(__xludf.DUMMYFUNCTION("GOOGLETRANSLATE(C1228, ""en"", ""pt"")"),"paisagista")</f>
        <v>paisagista</v>
      </c>
      <c r="E1228" s="8" t="str">
        <f>IFERROR(__xludf.DUMMYFUNCTION("GOOGLETRANSLATE(C1228, ""en"", ""es"")"),"paisajista")</f>
        <v>paisajista</v>
      </c>
      <c r="F1228" s="8" t="str">
        <f>IFERROR(__xludf.DUMMYFUNCTION("GOOGLETRANSLATE(C1228, ""en"", ""fr"")"),"paysagiste")</f>
        <v>paysagiste</v>
      </c>
      <c r="G1228" s="8" t="str">
        <f>IFERROR(__xludf.DUMMYFUNCTION("GOOGLETRANSLATE(C1228, ""en"", ""de"")"),"Landschaftsgärtner")</f>
        <v>Landschaftsgärtner</v>
      </c>
      <c r="H1228" s="8" t="str">
        <f>IFERROR(__xludf.DUMMYFUNCTION("GOOGLETRANSLATE(C1228, ""en"", ""ru"")"),"ландшафтный дизайнер")</f>
        <v>ландшафтный дизайнер</v>
      </c>
      <c r="I1228" s="8" t="str">
        <f>IFERROR(__xludf.DUMMYFUNCTION("GOOGLETRANSLATE(C1228, ""en"", ""ar"")"),"منسق حدائق")</f>
        <v>منسق حدائق</v>
      </c>
      <c r="J1228" s="8"/>
      <c r="K1228" s="7" t="str">
        <f>IFERROR(__xludf.DUMMYFUNCTION("CONCAT(REGEXREPLACE(C1228,""[ ,]+"",""_""),"".mp3"")"),"landscaper.mp3")</f>
        <v>landscaper.mp3</v>
      </c>
      <c r="M1228" s="4" t="s">
        <v>10</v>
      </c>
    </row>
    <row r="1229" ht="15.75" customHeight="1">
      <c r="A1229" s="1">
        <v>2597.0</v>
      </c>
      <c r="B1229" s="3">
        <v>150.0</v>
      </c>
      <c r="C1229" s="7" t="s">
        <v>1243</v>
      </c>
      <c r="D1229" s="8" t="str">
        <f>IFERROR(__xludf.DUMMYFUNCTION("GOOGLETRANSLATE(C1229, ""en"", ""pt"")"),"florista")</f>
        <v>florista</v>
      </c>
      <c r="E1229" s="8" t="str">
        <f>IFERROR(__xludf.DUMMYFUNCTION("GOOGLETRANSLATE(C1229, ""en"", ""es"")"),"florista")</f>
        <v>florista</v>
      </c>
      <c r="F1229" s="8" t="str">
        <f>IFERROR(__xludf.DUMMYFUNCTION("GOOGLETRANSLATE(C1229, ""en"", ""fr"")"),"fleuriste")</f>
        <v>fleuriste</v>
      </c>
      <c r="G1229" s="8" t="str">
        <f>IFERROR(__xludf.DUMMYFUNCTION("GOOGLETRANSLATE(C1229, ""en"", ""de"")"),"Florist")</f>
        <v>Florist</v>
      </c>
      <c r="H1229" s="8" t="str">
        <f>IFERROR(__xludf.DUMMYFUNCTION("GOOGLETRANSLATE(C1229, ""en"", ""ru"")"),"флорист")</f>
        <v>флорист</v>
      </c>
      <c r="I1229" s="8" t="str">
        <f>IFERROR(__xludf.DUMMYFUNCTION("GOOGLETRANSLATE(C1229, ""en"", ""ar"")"),"بائع الزهور")</f>
        <v>بائع الزهور</v>
      </c>
      <c r="J1229" s="8"/>
      <c r="K1229" s="7" t="str">
        <f>IFERROR(__xludf.DUMMYFUNCTION("CONCAT(REGEXREPLACE(C1229,""[ ,]+"",""_""),"".mp3"")"),"florist.mp3")</f>
        <v>florist.mp3</v>
      </c>
      <c r="M1229" s="4" t="s">
        <v>10</v>
      </c>
    </row>
    <row r="1230" ht="15.75" customHeight="1">
      <c r="A1230" s="1">
        <v>2598.0</v>
      </c>
      <c r="B1230" s="3">
        <v>150.0</v>
      </c>
      <c r="C1230" s="7" t="s">
        <v>1244</v>
      </c>
      <c r="D1230" s="8" t="str">
        <f>IFERROR(__xludf.DUMMYFUNCTION("GOOGLETRANSLATE(C1230, ""en"", ""pt"")"),"silvicultor")</f>
        <v>silvicultor</v>
      </c>
      <c r="E1230" s="8" t="str">
        <f>IFERROR(__xludf.DUMMYFUNCTION("GOOGLETRANSLATE(C1230, ""en"", ""es"")"),"guardabosque")</f>
        <v>guardabosque</v>
      </c>
      <c r="F1230" s="8" t="str">
        <f>IFERROR(__xludf.DUMMYFUNCTION("GOOGLETRANSLATE(C1230, ""en"", ""fr"")"),"forestier")</f>
        <v>forestier</v>
      </c>
      <c r="G1230" s="8" t="str">
        <f>IFERROR(__xludf.DUMMYFUNCTION("GOOGLETRANSLATE(C1230, ""en"", ""de"")"),"Förster")</f>
        <v>Förster</v>
      </c>
      <c r="H1230" s="8" t="str">
        <f>IFERROR(__xludf.DUMMYFUNCTION("GOOGLETRANSLATE(C1230, ""en"", ""ru"")"),"лесничий")</f>
        <v>лесничий</v>
      </c>
      <c r="I1230" s="8" t="str">
        <f>IFERROR(__xludf.DUMMYFUNCTION("GOOGLETRANSLATE(C1230, ""en"", ""ar"")"),"حارس غابات")</f>
        <v>حارس غابات</v>
      </c>
      <c r="J1230" s="8"/>
      <c r="K1230" s="7" t="str">
        <f>IFERROR(__xludf.DUMMYFUNCTION("CONCAT(REGEXREPLACE(C1230,""[ ,]+"",""_""),"".mp3"")"),"forester.mp3")</f>
        <v>forester.mp3</v>
      </c>
      <c r="M1230" s="4" t="s">
        <v>10</v>
      </c>
    </row>
    <row r="1231" ht="15.75" customHeight="1">
      <c r="A1231" s="1">
        <v>2599.0</v>
      </c>
      <c r="B1231" s="3">
        <v>150.0</v>
      </c>
      <c r="C1231" s="7" t="s">
        <v>1245</v>
      </c>
      <c r="D1231" s="8" t="str">
        <f>IFERROR(__xludf.DUMMYFUNCTION("GOOGLETRANSLATE(C1231, ""en"", ""pt"")"),"guarda florestal")</f>
        <v>guarda florestal</v>
      </c>
      <c r="E1231" s="8" t="str">
        <f>IFERROR(__xludf.DUMMYFUNCTION("GOOGLETRANSLATE(C1231, ""en"", ""es"")"),"guardabosques")</f>
        <v>guardabosques</v>
      </c>
      <c r="F1231" s="8" t="str">
        <f>IFERROR(__xludf.DUMMYFUNCTION("GOOGLETRANSLATE(C1231, ""en"", ""fr"")"),"garde forestier")</f>
        <v>garde forestier</v>
      </c>
      <c r="G1231" s="8" t="str">
        <f>IFERROR(__xludf.DUMMYFUNCTION("GOOGLETRANSLATE(C1231, ""en"", ""de"")"),"Förster")</f>
        <v>Förster</v>
      </c>
      <c r="H1231" s="8" t="str">
        <f>IFERROR(__xludf.DUMMYFUNCTION("GOOGLETRANSLATE(C1231, ""en"", ""ru"")"),"лесничий")</f>
        <v>лесничий</v>
      </c>
      <c r="I1231" s="8" t="str">
        <f>IFERROR(__xludf.DUMMYFUNCTION("GOOGLETRANSLATE(C1231, ""en"", ""ar"")"),"حارس غابات")</f>
        <v>حارس غابات</v>
      </c>
      <c r="J1231" s="8"/>
      <c r="K1231" s="7" t="str">
        <f>IFERROR(__xludf.DUMMYFUNCTION("CONCAT(REGEXREPLACE(C1231,""[ ,]+"",""_""),"".mp3"")"),"forest_ranger.mp3")</f>
        <v>forest_ranger.mp3</v>
      </c>
      <c r="M1231" s="4" t="s">
        <v>10</v>
      </c>
    </row>
    <row r="1232" ht="15.75" customHeight="1">
      <c r="A1232" s="1">
        <v>2600.0</v>
      </c>
      <c r="B1232" s="3">
        <v>150.0</v>
      </c>
      <c r="C1232" s="7" t="s">
        <v>1246</v>
      </c>
      <c r="D1232" s="8" t="str">
        <f>IFERROR(__xludf.DUMMYFUNCTION("GOOGLETRANSLATE(C1232, ""en"", ""pt"")"),"pescador")</f>
        <v>pescador</v>
      </c>
      <c r="E1232" s="8" t="str">
        <f>IFERROR(__xludf.DUMMYFUNCTION("GOOGLETRANSLATE(C1232, ""en"", ""es"")"),"pescador")</f>
        <v>pescador</v>
      </c>
      <c r="F1232" s="8" t="str">
        <f>IFERROR(__xludf.DUMMYFUNCTION("GOOGLETRANSLATE(C1232, ""en"", ""fr"")"),"pêcheur")</f>
        <v>pêcheur</v>
      </c>
      <c r="G1232" s="8" t="str">
        <f>IFERROR(__xludf.DUMMYFUNCTION("GOOGLETRANSLATE(C1232, ""en"", ""de"")"),"Fischer")</f>
        <v>Fischer</v>
      </c>
      <c r="H1232" s="8" t="str">
        <f>IFERROR(__xludf.DUMMYFUNCTION("GOOGLETRANSLATE(C1232, ""en"", ""ru"")"),"рыбак")</f>
        <v>рыбак</v>
      </c>
      <c r="I1232" s="8" t="str">
        <f>IFERROR(__xludf.DUMMYFUNCTION("GOOGLETRANSLATE(C1232, ""en"", ""ar"")"),"صياد")</f>
        <v>صياد</v>
      </c>
      <c r="J1232" s="8"/>
      <c r="K1232" s="7" t="str">
        <f>IFERROR(__xludf.DUMMYFUNCTION("CONCAT(REGEXREPLACE(C1232,""[ ,]+"",""_""),"".mp3"")"),"fisherman.mp3")</f>
        <v>fisherman.mp3</v>
      </c>
      <c r="M1232" s="4" t="s">
        <v>10</v>
      </c>
    </row>
    <row r="1233" ht="15.75" customHeight="1">
      <c r="A1233" s="1">
        <v>2601.0</v>
      </c>
      <c r="B1233" s="3">
        <v>150.0</v>
      </c>
      <c r="C1233" s="7" t="s">
        <v>1247</v>
      </c>
      <c r="D1233" s="8" t="str">
        <f>IFERROR(__xludf.DUMMYFUNCTION("GOOGLETRANSLATE(C1233, ""en"", ""pt"")"),"trabalhador da pesca")</f>
        <v>trabalhador da pesca</v>
      </c>
      <c r="E1233" s="8" t="str">
        <f>IFERROR(__xludf.DUMMYFUNCTION("GOOGLETRANSLATE(C1233, ""en"", ""es"")"),"trabajador pesquero")</f>
        <v>trabajador pesquero</v>
      </c>
      <c r="F1233" s="8" t="str">
        <f>IFERROR(__xludf.DUMMYFUNCTION("GOOGLETRANSLATE(C1233, ""en"", ""fr"")"),"travailleur des pêches")</f>
        <v>travailleur des pêches</v>
      </c>
      <c r="G1233" s="8" t="str">
        <f>IFERROR(__xludf.DUMMYFUNCTION("GOOGLETRANSLATE(C1233, ""en"", ""de"")"),"Fischereiarbeiter")</f>
        <v>Fischereiarbeiter</v>
      </c>
      <c r="H1233" s="8" t="str">
        <f>IFERROR(__xludf.DUMMYFUNCTION("GOOGLETRANSLATE(C1233, ""en"", ""ru"")"),"работник рыболовства")</f>
        <v>работник рыболовства</v>
      </c>
      <c r="I1233" s="8" t="str">
        <f>IFERROR(__xludf.DUMMYFUNCTION("GOOGLETRANSLATE(C1233, ""en"", ""ar"")"),"عامل في مجال مصايد الأسماك")</f>
        <v>عامل في مجال مصايد الأسماك</v>
      </c>
      <c r="J1233" s="8"/>
      <c r="K1233" s="7" t="str">
        <f>IFERROR(__xludf.DUMMYFUNCTION("CONCAT(REGEXREPLACE(C1233,""[ ,]+"",""_""),"".mp3"")"),"fishery_worker.mp3")</f>
        <v>fishery_worker.mp3</v>
      </c>
      <c r="M1233" s="4" t="s">
        <v>10</v>
      </c>
    </row>
    <row r="1234" ht="15.75" customHeight="1">
      <c r="A1234" s="1">
        <v>2602.0</v>
      </c>
      <c r="B1234" s="3">
        <v>150.0</v>
      </c>
      <c r="C1234" s="7" t="s">
        <v>1248</v>
      </c>
      <c r="D1234" s="8" t="str">
        <f>IFERROR(__xludf.DUMMYFUNCTION("GOOGLETRANSLATE(C1234, ""en"", ""pt"")"),"apicultor")</f>
        <v>apicultor</v>
      </c>
      <c r="E1234" s="8" t="str">
        <f>IFERROR(__xludf.DUMMYFUNCTION("GOOGLETRANSLATE(C1234, ""en"", ""es"")"),"apicultor")</f>
        <v>apicultor</v>
      </c>
      <c r="F1234" s="8" t="str">
        <f>IFERROR(__xludf.DUMMYFUNCTION("GOOGLETRANSLATE(C1234, ""en"", ""fr"")"),"apiculteur")</f>
        <v>apiculteur</v>
      </c>
      <c r="G1234" s="8" t="str">
        <f>IFERROR(__xludf.DUMMYFUNCTION("GOOGLETRANSLATE(C1234, ""en"", ""de"")"),"Imker")</f>
        <v>Imker</v>
      </c>
      <c r="H1234" s="8" t="str">
        <f>IFERROR(__xludf.DUMMYFUNCTION("GOOGLETRANSLATE(C1234, ""en"", ""ru"")"),"пчеловод")</f>
        <v>пчеловод</v>
      </c>
      <c r="I1234" s="8" t="str">
        <f>IFERROR(__xludf.DUMMYFUNCTION("GOOGLETRANSLATE(C1234, ""en"", ""ar"")"),"النحال")</f>
        <v>النحال</v>
      </c>
      <c r="J1234" s="8"/>
      <c r="K1234" s="7" t="str">
        <f>IFERROR(__xludf.DUMMYFUNCTION("CONCAT(REGEXREPLACE(C1234,""[ ,]+"",""_""),"".mp3"")"),"beekeeper.mp3")</f>
        <v>beekeeper.mp3</v>
      </c>
      <c r="M1234" s="4" t="s">
        <v>10</v>
      </c>
    </row>
    <row r="1235" ht="15.75" customHeight="1">
      <c r="A1235" s="1">
        <v>2603.0</v>
      </c>
      <c r="B1235" s="3">
        <v>150.0</v>
      </c>
      <c r="C1235" s="7" t="s">
        <v>1249</v>
      </c>
      <c r="D1235" s="8" t="str">
        <f>IFERROR(__xludf.DUMMYFUNCTION("GOOGLETRANSLATE(C1235, ""en"", ""pt"")"),"tratador de animais")</f>
        <v>tratador de animais</v>
      </c>
      <c r="E1235" s="8" t="str">
        <f>IFERROR(__xludf.DUMMYFUNCTION("GOOGLETRANSLATE(C1235, ""en"", ""es"")"),"cuidador de zoológico")</f>
        <v>cuidador de zoológico</v>
      </c>
      <c r="F1235" s="8" t="str">
        <f>IFERROR(__xludf.DUMMYFUNCTION("GOOGLETRANSLATE(C1235, ""en"", ""fr"")"),"gardien de zoo")</f>
        <v>gardien de zoo</v>
      </c>
      <c r="G1235" s="8" t="str">
        <f>IFERROR(__xludf.DUMMYFUNCTION("GOOGLETRANSLATE(C1235, ""en"", ""de"")"),"Tierpfleger")</f>
        <v>Tierpfleger</v>
      </c>
      <c r="H1235" s="8" t="str">
        <f>IFERROR(__xludf.DUMMYFUNCTION("GOOGLETRANSLATE(C1235, ""en"", ""ru"")"),"смотритель зоопарка")</f>
        <v>смотритель зоопарка</v>
      </c>
      <c r="I1235" s="8" t="str">
        <f>IFERROR(__xludf.DUMMYFUNCTION("GOOGLETRANSLATE(C1235, ""en"", ""ar"")"),"حارس حديقة الحيوان")</f>
        <v>حارس حديقة الحيوان</v>
      </c>
      <c r="J1235" s="8"/>
      <c r="K1235" s="7" t="str">
        <f>IFERROR(__xludf.DUMMYFUNCTION("CONCAT(REGEXREPLACE(C1235,""[ ,]+"",""_""),"".mp3"")"),"zookeeper.mp3")</f>
        <v>zookeeper.mp3</v>
      </c>
      <c r="M1235" s="4" t="s">
        <v>10</v>
      </c>
    </row>
    <row r="1236" ht="15.75" customHeight="1">
      <c r="A1236" s="1">
        <v>2604.0</v>
      </c>
      <c r="B1236" s="3">
        <v>150.0</v>
      </c>
      <c r="C1236" s="7" t="s">
        <v>1250</v>
      </c>
      <c r="D1236" s="8" t="str">
        <f>IFERROR(__xludf.DUMMYFUNCTION("GOOGLETRANSLATE(C1236, ""en"", ""pt"")"),"biólogo da vida selvagem")</f>
        <v>biólogo da vida selvagem</v>
      </c>
      <c r="E1236" s="8" t="str">
        <f>IFERROR(__xludf.DUMMYFUNCTION("GOOGLETRANSLATE(C1236, ""en"", ""es"")"),"biólogo de vida silvestre")</f>
        <v>biólogo de vida silvestre</v>
      </c>
      <c r="F1236" s="8" t="str">
        <f>IFERROR(__xludf.DUMMYFUNCTION("GOOGLETRANSLATE(C1236, ""en"", ""fr"")"),"biologiste de la faune")</f>
        <v>biologiste de la faune</v>
      </c>
      <c r="G1236" s="8" t="str">
        <f>IFERROR(__xludf.DUMMYFUNCTION("GOOGLETRANSLATE(C1236, ""en"", ""de"")"),"Wildtierbiologe")</f>
        <v>Wildtierbiologe</v>
      </c>
      <c r="H1236" s="8" t="str">
        <f>IFERROR(__xludf.DUMMYFUNCTION("GOOGLETRANSLATE(C1236, ""en"", ""ru"")"),"биолог-специалист по дикой природе")</f>
        <v>биолог-специалист по дикой природе</v>
      </c>
      <c r="I1236" s="8" t="str">
        <f>IFERROR(__xludf.DUMMYFUNCTION("GOOGLETRANSLATE(C1236, ""en"", ""ar"")"),"عالم أحياء برية")</f>
        <v>عالم أحياء برية</v>
      </c>
      <c r="J1236" s="8"/>
      <c r="K1236" s="7" t="str">
        <f>IFERROR(__xludf.DUMMYFUNCTION("CONCAT(REGEXREPLACE(C1236,""[ ,]+"",""_""),"".mp3"")"),"wildlife_biologist.mp3")</f>
        <v>wildlife_biologist.mp3</v>
      </c>
      <c r="M1236" s="4" t="s">
        <v>10</v>
      </c>
    </row>
    <row r="1237" ht="15.75" customHeight="1">
      <c r="A1237" s="1">
        <v>2605.0</v>
      </c>
      <c r="B1237" s="3">
        <v>150.0</v>
      </c>
      <c r="C1237" s="7" t="s">
        <v>1251</v>
      </c>
      <c r="D1237" s="8" t="str">
        <f>IFERROR(__xludf.DUMMYFUNCTION("GOOGLETRANSLATE(C1237, ""en"", ""pt"")"),"cabeleireiro")</f>
        <v>cabeleireiro</v>
      </c>
      <c r="E1237" s="8" t="str">
        <f>IFERROR(__xludf.DUMMYFUNCTION("GOOGLETRANSLATE(C1237, ""en"", ""es"")"),"peluquero")</f>
        <v>peluquero</v>
      </c>
      <c r="F1237" s="8" t="str">
        <f>IFERROR(__xludf.DUMMYFUNCTION("GOOGLETRANSLATE(C1237, ""en"", ""fr"")"),"coiffeur")</f>
        <v>coiffeur</v>
      </c>
      <c r="G1237" s="8" t="str">
        <f>IFERROR(__xludf.DUMMYFUNCTION("GOOGLETRANSLATE(C1237, ""en"", ""de"")"),"Friseur")</f>
        <v>Friseur</v>
      </c>
      <c r="H1237" s="8" t="str">
        <f>IFERROR(__xludf.DUMMYFUNCTION("GOOGLETRANSLATE(C1237, ""en"", ""ru"")"),"парикмахер")</f>
        <v>парикмахер</v>
      </c>
      <c r="I1237" s="8" t="str">
        <f>IFERROR(__xludf.DUMMYFUNCTION("GOOGLETRANSLATE(C1237, ""en"", ""ar"")"),"مصفف شعر")</f>
        <v>مصفف شعر</v>
      </c>
      <c r="J1237" s="8"/>
      <c r="K1237" s="7" t="str">
        <f>IFERROR(__xludf.DUMMYFUNCTION("CONCAT(REGEXREPLACE(C1237,""[ ,]+"",""_""),"".mp3"")"),"hairdresser.mp3")</f>
        <v>hairdresser.mp3</v>
      </c>
      <c r="M1237" s="4" t="s">
        <v>10</v>
      </c>
    </row>
    <row r="1238" ht="15.75" customHeight="1">
      <c r="A1238" s="1">
        <v>2606.0</v>
      </c>
      <c r="B1238" s="3">
        <v>150.0</v>
      </c>
      <c r="C1238" s="7" t="s">
        <v>1252</v>
      </c>
      <c r="D1238" s="8" t="str">
        <f>IFERROR(__xludf.DUMMYFUNCTION("GOOGLETRANSLATE(C1238, ""en"", ""pt"")"),"barbeiro")</f>
        <v>barbeiro</v>
      </c>
      <c r="E1238" s="8" t="str">
        <f>IFERROR(__xludf.DUMMYFUNCTION("GOOGLETRANSLATE(C1238, ""en"", ""es"")"),"barbero")</f>
        <v>barbero</v>
      </c>
      <c r="F1238" s="8" t="str">
        <f>IFERROR(__xludf.DUMMYFUNCTION("GOOGLETRANSLATE(C1238, ""en"", ""fr"")"),"coiffeur")</f>
        <v>coiffeur</v>
      </c>
      <c r="G1238" s="8" t="str">
        <f>IFERROR(__xludf.DUMMYFUNCTION("GOOGLETRANSLATE(C1238, ""en"", ""de"")"),"Barbier")</f>
        <v>Barbier</v>
      </c>
      <c r="H1238" s="8" t="str">
        <f>IFERROR(__xludf.DUMMYFUNCTION("GOOGLETRANSLATE(C1238, ""en"", ""ru"")"),"парикмахер")</f>
        <v>парикмахер</v>
      </c>
      <c r="I1238" s="8" t="str">
        <f>IFERROR(__xludf.DUMMYFUNCTION("GOOGLETRANSLATE(C1238, ""en"", ""ar"")"),"حلاق")</f>
        <v>حلاق</v>
      </c>
      <c r="J1238" s="8"/>
      <c r="K1238" s="7" t="str">
        <f>IFERROR(__xludf.DUMMYFUNCTION("CONCAT(REGEXREPLACE(C1238,""[ ,]+"",""_""),"".mp3"")"),"barber.mp3")</f>
        <v>barber.mp3</v>
      </c>
      <c r="M1238" s="4" t="s">
        <v>10</v>
      </c>
    </row>
    <row r="1239" ht="15.75" customHeight="1">
      <c r="A1239" s="1">
        <v>2607.0</v>
      </c>
      <c r="B1239" s="3">
        <v>150.0</v>
      </c>
      <c r="C1239" s="7" t="s">
        <v>1253</v>
      </c>
      <c r="D1239" s="8" t="str">
        <f>IFERROR(__xludf.DUMMYFUNCTION("GOOGLETRANSLATE(C1239, ""en"", ""pt"")"),"esteticista")</f>
        <v>esteticista</v>
      </c>
      <c r="E1239" s="8" t="str">
        <f>IFERROR(__xludf.DUMMYFUNCTION("GOOGLETRANSLATE(C1239, ""en"", ""es"")"),"cosmetólogo")</f>
        <v>cosmetólogo</v>
      </c>
      <c r="F1239" s="8" t="str">
        <f>IFERROR(__xludf.DUMMYFUNCTION("GOOGLETRANSLATE(C1239, ""en"", ""fr"")"),"esthéticien")</f>
        <v>esthéticien</v>
      </c>
      <c r="G1239" s="8" t="str">
        <f>IFERROR(__xludf.DUMMYFUNCTION("GOOGLETRANSLATE(C1239, ""en"", ""de"")"),"Kosmetikerin")</f>
        <v>Kosmetikerin</v>
      </c>
      <c r="H1239" s="8" t="str">
        <f>IFERROR(__xludf.DUMMYFUNCTION("GOOGLETRANSLATE(C1239, ""en"", ""ru"")"),"косметолог")</f>
        <v>косметолог</v>
      </c>
      <c r="I1239" s="8" t="str">
        <f>IFERROR(__xludf.DUMMYFUNCTION("GOOGLETRANSLATE(C1239, ""en"", ""ar"")"),"خبيرة تجميل")</f>
        <v>خبيرة تجميل</v>
      </c>
      <c r="J1239" s="8"/>
      <c r="K1239" s="7" t="str">
        <f>IFERROR(__xludf.DUMMYFUNCTION("CONCAT(REGEXREPLACE(C1239,""[ ,]+"",""_""),"".mp3"")"),"beautician.mp3")</f>
        <v>beautician.mp3</v>
      </c>
      <c r="M1239" s="4" t="s">
        <v>10</v>
      </c>
    </row>
    <row r="1240" ht="15.75" customHeight="1">
      <c r="A1240" s="1">
        <v>2608.0</v>
      </c>
      <c r="B1240" s="3">
        <v>150.0</v>
      </c>
      <c r="C1240" s="7" t="s">
        <v>1254</v>
      </c>
      <c r="D1240" s="8" t="str">
        <f>IFERROR(__xludf.DUMMYFUNCTION("GOOGLETRANSLATE(C1240, ""en"", ""pt"")"),"maquiador")</f>
        <v>maquiador</v>
      </c>
      <c r="E1240" s="8" t="str">
        <f>IFERROR(__xludf.DUMMYFUNCTION("GOOGLETRANSLATE(C1240, ""en"", ""es"")"),"maquillador")</f>
        <v>maquillador</v>
      </c>
      <c r="F1240" s="8" t="str">
        <f>IFERROR(__xludf.DUMMYFUNCTION("GOOGLETRANSLATE(C1240, ""en"", ""fr"")"),"maquilleur")</f>
        <v>maquilleur</v>
      </c>
      <c r="G1240" s="8" t="str">
        <f>IFERROR(__xludf.DUMMYFUNCTION("GOOGLETRANSLATE(C1240, ""en"", ""de"")"),"Visagistin")</f>
        <v>Visagistin</v>
      </c>
      <c r="H1240" s="8" t="str">
        <f>IFERROR(__xludf.DUMMYFUNCTION("GOOGLETRANSLATE(C1240, ""en"", ""ru"")"),"визажист")</f>
        <v>визажист</v>
      </c>
      <c r="I1240" s="8" t="str">
        <f>IFERROR(__xludf.DUMMYFUNCTION("GOOGLETRANSLATE(C1240, ""en"", ""ar"")"),"خبيرة تجميل")</f>
        <v>خبيرة تجميل</v>
      </c>
      <c r="J1240" s="8"/>
      <c r="K1240" s="7" t="str">
        <f>IFERROR(__xludf.DUMMYFUNCTION("CONCAT(REGEXREPLACE(C1240,""[ ,]+"",""_""),"".mp3"")"),"makeup_artist.mp3")</f>
        <v>makeup_artist.mp3</v>
      </c>
      <c r="M1240" s="4" t="s">
        <v>10</v>
      </c>
    </row>
    <row r="1241" ht="15.75" customHeight="1">
      <c r="A1241" s="1">
        <v>2609.0</v>
      </c>
      <c r="B1241" s="3">
        <v>150.0</v>
      </c>
      <c r="C1241" s="7" t="s">
        <v>1255</v>
      </c>
      <c r="D1241" s="8" t="str">
        <f>IFERROR(__xludf.DUMMYFUNCTION("GOOGLETRANSLATE(C1241, ""en"", ""pt"")"),"estilista")</f>
        <v>estilista</v>
      </c>
      <c r="E1241" s="8" t="str">
        <f>IFERROR(__xludf.DUMMYFUNCTION("GOOGLETRANSLATE(C1241, ""en"", ""es"")"),"estilista")</f>
        <v>estilista</v>
      </c>
      <c r="F1241" s="8" t="str">
        <f>IFERROR(__xludf.DUMMYFUNCTION("GOOGLETRANSLATE(C1241, ""en"", ""fr"")"),"styliste")</f>
        <v>styliste</v>
      </c>
      <c r="G1241" s="8" t="str">
        <f>IFERROR(__xludf.DUMMYFUNCTION("GOOGLETRANSLATE(C1241, ""en"", ""de"")"),"Stylist")</f>
        <v>Stylist</v>
      </c>
      <c r="H1241" s="8" t="str">
        <f>IFERROR(__xludf.DUMMYFUNCTION("GOOGLETRANSLATE(C1241, ""en"", ""ru"")"),"стилист")</f>
        <v>стилист</v>
      </c>
      <c r="I1241" s="8" t="str">
        <f>IFERROR(__xludf.DUMMYFUNCTION("GOOGLETRANSLATE(C1241, ""en"", ""ar"")"),"حلاق")</f>
        <v>حلاق</v>
      </c>
      <c r="J1241" s="8"/>
      <c r="K1241" s="7" t="str">
        <f>IFERROR(__xludf.DUMMYFUNCTION("CONCAT(REGEXREPLACE(C1241,""[ ,]+"",""_""),"".mp3"")"),"stylist.mp3")</f>
        <v>stylist.mp3</v>
      </c>
      <c r="M1241" s="4" t="s">
        <v>10</v>
      </c>
    </row>
    <row r="1242" ht="15.75" customHeight="1">
      <c r="A1242" s="1">
        <v>2610.0</v>
      </c>
      <c r="B1242" s="3">
        <v>150.0</v>
      </c>
      <c r="C1242" s="7" t="s">
        <v>1256</v>
      </c>
      <c r="D1242" s="8" t="str">
        <f>IFERROR(__xludf.DUMMYFUNCTION("GOOGLETRANSLATE(C1242, ""en"", ""pt"")"),"alfaiate")</f>
        <v>alfaiate</v>
      </c>
      <c r="E1242" s="8" t="str">
        <f>IFERROR(__xludf.DUMMYFUNCTION("GOOGLETRANSLATE(C1242, ""en"", ""es"")"),"sastre")</f>
        <v>sastre</v>
      </c>
      <c r="F1242" s="8" t="str">
        <f>IFERROR(__xludf.DUMMYFUNCTION("GOOGLETRANSLATE(C1242, ""en"", ""fr"")"),"tailleur")</f>
        <v>tailleur</v>
      </c>
      <c r="G1242" s="8" t="str">
        <f>IFERROR(__xludf.DUMMYFUNCTION("GOOGLETRANSLATE(C1242, ""en"", ""de"")"),"Schneider")</f>
        <v>Schneider</v>
      </c>
      <c r="H1242" s="8" t="str">
        <f>IFERROR(__xludf.DUMMYFUNCTION("GOOGLETRANSLATE(C1242, ""en"", ""ru"")"),"портной")</f>
        <v>портной</v>
      </c>
      <c r="I1242" s="8" t="str">
        <f>IFERROR(__xludf.DUMMYFUNCTION("GOOGLETRANSLATE(C1242, ""en"", ""ar"")"),"خياط")</f>
        <v>خياط</v>
      </c>
      <c r="J1242" s="8"/>
      <c r="K1242" s="7" t="str">
        <f>IFERROR(__xludf.DUMMYFUNCTION("CONCAT(REGEXREPLACE(C1242,""[ ,]+"",""_""),"".mp3"")"),"tailor.mp3")</f>
        <v>tailor.mp3</v>
      </c>
      <c r="M1242" s="4" t="s">
        <v>10</v>
      </c>
    </row>
    <row r="1243" ht="15.75" customHeight="1">
      <c r="A1243" s="1">
        <v>2611.0</v>
      </c>
      <c r="B1243" s="3">
        <v>150.0</v>
      </c>
      <c r="C1243" s="7" t="s">
        <v>1257</v>
      </c>
      <c r="D1243" s="8" t="str">
        <f>IFERROR(__xludf.DUMMYFUNCTION("GOOGLETRANSLATE(C1243, ""en"", ""pt"")"),"costureira")</f>
        <v>costureira</v>
      </c>
      <c r="E1243" s="8" t="str">
        <f>IFERROR(__xludf.DUMMYFUNCTION("GOOGLETRANSLATE(C1243, ""en"", ""es"")"),"modista")</f>
        <v>modista</v>
      </c>
      <c r="F1243" s="8" t="str">
        <f>IFERROR(__xludf.DUMMYFUNCTION("GOOGLETRANSLATE(C1243, ""en"", ""fr"")"),"couturière")</f>
        <v>couturière</v>
      </c>
      <c r="G1243" s="8" t="str">
        <f>IFERROR(__xludf.DUMMYFUNCTION("GOOGLETRANSLATE(C1243, ""en"", ""de"")"),"Schneider")</f>
        <v>Schneider</v>
      </c>
      <c r="H1243" s="8" t="str">
        <f>IFERROR(__xludf.DUMMYFUNCTION("GOOGLETRANSLATE(C1243, ""en"", ""ru"")"),"портниха")</f>
        <v>портниха</v>
      </c>
      <c r="I1243" s="8" t="str">
        <f>IFERROR(__xludf.DUMMYFUNCTION("GOOGLETRANSLATE(C1243, ""en"", ""ar"")"),"خياطة")</f>
        <v>خياطة</v>
      </c>
      <c r="J1243" s="8"/>
      <c r="K1243" s="7" t="str">
        <f>IFERROR(__xludf.DUMMYFUNCTION("CONCAT(REGEXREPLACE(C1243,""[ ,]+"",""_""),"".mp3"")"),"dressmaker.mp3")</f>
        <v>dressmaker.mp3</v>
      </c>
      <c r="M1243" s="4" t="s">
        <v>10</v>
      </c>
    </row>
    <row r="1244" ht="15.75" customHeight="1">
      <c r="A1244" s="1">
        <v>2612.0</v>
      </c>
      <c r="B1244" s="3">
        <v>150.0</v>
      </c>
      <c r="C1244" s="7" t="s">
        <v>1258</v>
      </c>
      <c r="D1244" s="8" t="str">
        <f>IFERROR(__xludf.DUMMYFUNCTION("GOOGLETRANSLATE(C1244, ""en"", ""pt"")"),"sapateiro")</f>
        <v>sapateiro</v>
      </c>
      <c r="E1244" s="8" t="str">
        <f>IFERROR(__xludf.DUMMYFUNCTION("GOOGLETRANSLATE(C1244, ""en"", ""es"")"),"zapatero")</f>
        <v>zapatero</v>
      </c>
      <c r="F1244" s="8" t="str">
        <f>IFERROR(__xludf.DUMMYFUNCTION("GOOGLETRANSLATE(C1244, ""en"", ""fr"")"),"cordonnier")</f>
        <v>cordonnier</v>
      </c>
      <c r="G1244" s="8" t="str">
        <f>IFERROR(__xludf.DUMMYFUNCTION("GOOGLETRANSLATE(C1244, ""en"", ""de"")"),"Schuster")</f>
        <v>Schuster</v>
      </c>
      <c r="H1244" s="8" t="str">
        <f>IFERROR(__xludf.DUMMYFUNCTION("GOOGLETRANSLATE(C1244, ""en"", ""ru"")"),"сапожник")</f>
        <v>сапожник</v>
      </c>
      <c r="I1244" s="8" t="str">
        <f>IFERROR(__xludf.DUMMYFUNCTION("GOOGLETRANSLATE(C1244, ""en"", ""ar"")"),"صانع أحذية")</f>
        <v>صانع أحذية</v>
      </c>
      <c r="J1244" s="8"/>
      <c r="K1244" s="7" t="str">
        <f>IFERROR(__xludf.DUMMYFUNCTION("CONCAT(REGEXREPLACE(C1244,""[ ,]+"",""_""),"".mp3"")"),"shoemaker.mp3")</f>
        <v>shoemaker.mp3</v>
      </c>
      <c r="M1244" s="4" t="s">
        <v>10</v>
      </c>
    </row>
    <row r="1245" ht="15.75" customHeight="1">
      <c r="A1245" s="1">
        <v>2613.0</v>
      </c>
      <c r="B1245" s="3">
        <v>150.0</v>
      </c>
      <c r="C1245" s="7" t="s">
        <v>1259</v>
      </c>
      <c r="D1245" s="8" t="str">
        <f>IFERROR(__xludf.DUMMYFUNCTION("GOOGLETRANSLATE(C1245, ""en"", ""pt"")"),"lavanderia a seco")</f>
        <v>lavanderia a seco</v>
      </c>
      <c r="E1245" s="8" t="str">
        <f>IFERROR(__xludf.DUMMYFUNCTION("GOOGLETRANSLATE(C1245, ""en"", ""es"")"),"tintorería")</f>
        <v>tintorería</v>
      </c>
      <c r="F1245" s="8" t="str">
        <f>IFERROR(__xludf.DUMMYFUNCTION("GOOGLETRANSLATE(C1245, ""en"", ""fr"")"),"teinturier")</f>
        <v>teinturier</v>
      </c>
      <c r="G1245" s="8" t="str">
        <f>IFERROR(__xludf.DUMMYFUNCTION("GOOGLETRANSLATE(C1245, ""en"", ""de"")"),"chemische Reinigung")</f>
        <v>chemische Reinigung</v>
      </c>
      <c r="H1245" s="8" t="str">
        <f>IFERROR(__xludf.DUMMYFUNCTION("GOOGLETRANSLATE(C1245, ""en"", ""ru"")"),"химчистка")</f>
        <v>химчистка</v>
      </c>
      <c r="I1245" s="8" t="str">
        <f>IFERROR(__xludf.DUMMYFUNCTION("GOOGLETRANSLATE(C1245, ""en"", ""ar"")"),"التنظيف الجاف")</f>
        <v>التنظيف الجاف</v>
      </c>
      <c r="J1245" s="8"/>
      <c r="K1245" s="7" t="str">
        <f>IFERROR(__xludf.DUMMYFUNCTION("CONCAT(REGEXREPLACE(C1245,""[ ,]+"",""_""),"".mp3"")"),"dry_cleaner.mp3")</f>
        <v>dry_cleaner.mp3</v>
      </c>
      <c r="M1245" s="4" t="s">
        <v>10</v>
      </c>
    </row>
    <row r="1246" ht="15.75" customHeight="1">
      <c r="A1246" s="1">
        <v>2614.0</v>
      </c>
      <c r="B1246" s="3">
        <v>150.0</v>
      </c>
      <c r="C1246" s="7" t="s">
        <v>1260</v>
      </c>
      <c r="D1246" s="8" t="str">
        <f>IFERROR(__xludf.DUMMYFUNCTION("GOOGLETRANSLATE(C1246, ""en"", ""pt"")"),"personal trainer")</f>
        <v>personal trainer</v>
      </c>
      <c r="E1246" s="8" t="str">
        <f>IFERROR(__xludf.DUMMYFUNCTION("GOOGLETRANSLATE(C1246, ""en"", ""es"")"),"entrenador personal")</f>
        <v>entrenador personal</v>
      </c>
      <c r="F1246" s="8" t="str">
        <f>IFERROR(__xludf.DUMMYFUNCTION("GOOGLETRANSLATE(C1246, ""en"", ""fr"")"),"entraîneur personnel")</f>
        <v>entraîneur personnel</v>
      </c>
      <c r="G1246" s="8" t="str">
        <f>IFERROR(__xludf.DUMMYFUNCTION("GOOGLETRANSLATE(C1246, ""en"", ""de"")"),"Personal Trainer")</f>
        <v>Personal Trainer</v>
      </c>
      <c r="H1246" s="8" t="str">
        <f>IFERROR(__xludf.DUMMYFUNCTION("GOOGLETRANSLATE(C1246, ""en"", ""ru"")"),"персональный тренер")</f>
        <v>персональный тренер</v>
      </c>
      <c r="I1246" s="8" t="str">
        <f>IFERROR(__xludf.DUMMYFUNCTION("GOOGLETRANSLATE(C1246, ""en"", ""ar"")"),"مدرب شخصي")</f>
        <v>مدرب شخصي</v>
      </c>
      <c r="J1246" s="8"/>
      <c r="K1246" s="7" t="str">
        <f>IFERROR(__xludf.DUMMYFUNCTION("CONCAT(REGEXREPLACE(C1246,""[ ,]+"",""_""),"".mp3"")"),"personal_trainer.mp3")</f>
        <v>personal_trainer.mp3</v>
      </c>
      <c r="M1246" s="4" t="s">
        <v>10</v>
      </c>
    </row>
    <row r="1247" ht="15.75" customHeight="1">
      <c r="A1247" s="1">
        <v>2615.0</v>
      </c>
      <c r="B1247" s="3">
        <v>150.0</v>
      </c>
      <c r="C1247" s="7" t="s">
        <v>1261</v>
      </c>
      <c r="D1247" s="8" t="str">
        <f>IFERROR(__xludf.DUMMYFUNCTION("GOOGLETRANSLATE(C1247, ""en"", ""pt"")"),"instrutor de fitness")</f>
        <v>instrutor de fitness</v>
      </c>
      <c r="E1247" s="8" t="str">
        <f>IFERROR(__xludf.DUMMYFUNCTION("GOOGLETRANSLATE(C1247, ""en"", ""es"")"),"instructor de fitness")</f>
        <v>instructor de fitness</v>
      </c>
      <c r="F1247" s="8" t="str">
        <f>IFERROR(__xludf.DUMMYFUNCTION("GOOGLETRANSLATE(C1247, ""en"", ""fr"")"),"instructeur de fitness")</f>
        <v>instructeur de fitness</v>
      </c>
      <c r="G1247" s="8" t="str">
        <f>IFERROR(__xludf.DUMMYFUNCTION("GOOGLETRANSLATE(C1247, ""en"", ""de"")"),"Fitnesstrainer")</f>
        <v>Fitnesstrainer</v>
      </c>
      <c r="H1247" s="8" t="str">
        <f>IFERROR(__xludf.DUMMYFUNCTION("GOOGLETRANSLATE(C1247, ""en"", ""ru"")"),"фитнес-инструктор")</f>
        <v>фитнес-инструктор</v>
      </c>
      <c r="I1247" s="8" t="str">
        <f>IFERROR(__xludf.DUMMYFUNCTION("GOOGLETRANSLATE(C1247, ""en"", ""ar"")"),"مدرب لياقة بدنية")</f>
        <v>مدرب لياقة بدنية</v>
      </c>
      <c r="J1247" s="8"/>
      <c r="K1247" s="7" t="str">
        <f>IFERROR(__xludf.DUMMYFUNCTION("CONCAT(REGEXREPLACE(C1247,""[ ,]+"",""_""),"".mp3"")"),"fitness_instructor.mp3")</f>
        <v>fitness_instructor.mp3</v>
      </c>
      <c r="M1247" s="4" t="s">
        <v>10</v>
      </c>
    </row>
    <row r="1248" ht="15.75" customHeight="1">
      <c r="A1248" s="1">
        <v>2616.0</v>
      </c>
      <c r="B1248" s="3">
        <v>150.0</v>
      </c>
      <c r="C1248" s="7" t="s">
        <v>1262</v>
      </c>
      <c r="D1248" s="8" t="str">
        <f>IFERROR(__xludf.DUMMYFUNCTION("GOOGLETRANSLATE(C1248, ""en"", ""pt"")"),"assistente social")</f>
        <v>assistente social</v>
      </c>
      <c r="E1248" s="8" t="str">
        <f>IFERROR(__xludf.DUMMYFUNCTION("GOOGLETRANSLATE(C1248, ""en"", ""es"")"),"asistente social")</f>
        <v>asistente social</v>
      </c>
      <c r="F1248" s="8" t="str">
        <f>IFERROR(__xludf.DUMMYFUNCTION("GOOGLETRANSLATE(C1248, ""en"", ""fr"")"),"travailleur social")</f>
        <v>travailleur social</v>
      </c>
      <c r="G1248" s="8" t="str">
        <f>IFERROR(__xludf.DUMMYFUNCTION("GOOGLETRANSLATE(C1248, ""en"", ""de"")"),"Sozialarbeiter")</f>
        <v>Sozialarbeiter</v>
      </c>
      <c r="H1248" s="8" t="str">
        <f>IFERROR(__xludf.DUMMYFUNCTION("GOOGLETRANSLATE(C1248, ""en"", ""ru"")"),"социальный работник")</f>
        <v>социальный работник</v>
      </c>
      <c r="I1248" s="8" t="str">
        <f>IFERROR(__xludf.DUMMYFUNCTION("GOOGLETRANSLATE(C1248, ""en"", ""ar"")"),"أخصائي اجتماعي")</f>
        <v>أخصائي اجتماعي</v>
      </c>
      <c r="J1248" s="8"/>
      <c r="K1248" s="7" t="str">
        <f>IFERROR(__xludf.DUMMYFUNCTION("CONCAT(REGEXREPLACE(C1248,""[ ,]+"",""_""),"".mp3"")"),"social_worker.mp3")</f>
        <v>social_worker.mp3</v>
      </c>
      <c r="M1248" s="4" t="s">
        <v>10</v>
      </c>
    </row>
    <row r="1249" ht="15.75" customHeight="1">
      <c r="A1249" s="1">
        <v>2617.0</v>
      </c>
      <c r="B1249" s="3">
        <v>150.0</v>
      </c>
      <c r="C1249" s="7" t="s">
        <v>924</v>
      </c>
      <c r="D1249" s="8" t="str">
        <f>IFERROR(__xludf.DUMMYFUNCTION("GOOGLETRANSLATE(C1249, ""en"", ""pt"")"),"cuidador")</f>
        <v>cuidador</v>
      </c>
      <c r="E1249" s="8" t="str">
        <f>IFERROR(__xludf.DUMMYFUNCTION("GOOGLETRANSLATE(C1249, ""en"", ""es"")"),"cuidador")</f>
        <v>cuidador</v>
      </c>
      <c r="F1249" s="8" t="str">
        <f>IFERROR(__xludf.DUMMYFUNCTION("GOOGLETRANSLATE(C1249, ""en"", ""fr"")"),"soignant")</f>
        <v>soignant</v>
      </c>
      <c r="G1249" s="8" t="str">
        <f>IFERROR(__xludf.DUMMYFUNCTION("GOOGLETRANSLATE(C1249, ""en"", ""de"")"),"Pflegekraft")</f>
        <v>Pflegekraft</v>
      </c>
      <c r="H1249" s="8" t="str">
        <f>IFERROR(__xludf.DUMMYFUNCTION("GOOGLETRANSLATE(C1249, ""en"", ""ru"")"),"опекун")</f>
        <v>опекун</v>
      </c>
      <c r="I1249" s="8" t="str">
        <f>IFERROR(__xludf.DUMMYFUNCTION("GOOGLETRANSLATE(C1249, ""en"", ""ar"")"),"مقدم الرعاية")</f>
        <v>مقدم الرعاية</v>
      </c>
      <c r="J1249" s="8"/>
      <c r="K1249" s="7" t="str">
        <f>IFERROR(__xludf.DUMMYFUNCTION("CONCAT(REGEXREPLACE(C1249,""[ ,]+"",""_""),"".mp3"")"),"caregiver.mp3")</f>
        <v>caregiver.mp3</v>
      </c>
      <c r="M1249" s="4" t="s">
        <v>10</v>
      </c>
    </row>
    <row r="1250" ht="15.75" customHeight="1">
      <c r="A1250" s="1">
        <v>2618.0</v>
      </c>
      <c r="B1250" s="3">
        <v>150.0</v>
      </c>
      <c r="C1250" s="7" t="s">
        <v>1263</v>
      </c>
      <c r="D1250" s="8" t="str">
        <f>IFERROR(__xludf.DUMMYFUNCTION("GOOGLETRANSLATE(C1250, ""en"", ""pt"")"),"auxiliar de enfermagem")</f>
        <v>auxiliar de enfermagem</v>
      </c>
      <c r="E1250" s="8" t="str">
        <f>IFERROR(__xludf.DUMMYFUNCTION("GOOGLETRANSLATE(C1250, ""en"", ""es"")"),"auxiliar de enfermería")</f>
        <v>auxiliar de enfermería</v>
      </c>
      <c r="F1250" s="8" t="str">
        <f>IFERROR(__xludf.DUMMYFUNCTION("GOOGLETRANSLATE(C1250, ""en"", ""fr"")"),"aide-soignant")</f>
        <v>aide-soignant</v>
      </c>
      <c r="G1250" s="8" t="str">
        <f>IFERROR(__xludf.DUMMYFUNCTION("GOOGLETRANSLATE(C1250, ""en"", ""de"")"),"Pflegehelfer/in")</f>
        <v>Pflegehelfer/in</v>
      </c>
      <c r="H1250" s="8" t="str">
        <f>IFERROR(__xludf.DUMMYFUNCTION("GOOGLETRANSLATE(C1250, ""en"", ""ru"")"),"помощник медсестры")</f>
        <v>помощник медсестры</v>
      </c>
      <c r="I1250" s="8" t="str">
        <f>IFERROR(__xludf.DUMMYFUNCTION("GOOGLETRANSLATE(C1250, ""en"", ""ar"")"),"مساعد تمريض")</f>
        <v>مساعد تمريض</v>
      </c>
      <c r="J1250" s="8"/>
      <c r="K1250" s="7" t="str">
        <f>IFERROR(__xludf.DUMMYFUNCTION("CONCAT(REGEXREPLACE(C1250,""[ ,]+"",""_""),"".mp3"")"),"nursing_assistant.mp3")</f>
        <v>nursing_assistant.mp3</v>
      </c>
      <c r="M1250" s="4" t="s">
        <v>10</v>
      </c>
    </row>
    <row r="1251" ht="15.75" customHeight="1">
      <c r="A1251" s="1">
        <v>2619.0</v>
      </c>
      <c r="B1251" s="3">
        <v>150.0</v>
      </c>
      <c r="C1251" s="7" t="s">
        <v>1264</v>
      </c>
      <c r="D1251" s="8" t="str">
        <f>IFERROR(__xludf.DUMMYFUNCTION("GOOGLETRANSLATE(C1251, ""en"", ""pt"")"),"cuidador infantil")</f>
        <v>cuidador infantil</v>
      </c>
      <c r="E1251" s="8" t="str">
        <f>IFERROR(__xludf.DUMMYFUNCTION("GOOGLETRANSLATE(C1251, ""en"", ""es"")"),"trabajador de cuidado infantil")</f>
        <v>trabajador de cuidado infantil</v>
      </c>
      <c r="F1251" s="8" t="str">
        <f>IFERROR(__xludf.DUMMYFUNCTION("GOOGLETRANSLATE(C1251, ""en"", ""fr"")"),"éducatrice de jeunes enfants")</f>
        <v>éducatrice de jeunes enfants</v>
      </c>
      <c r="G1251" s="8" t="str">
        <f>IFERROR(__xludf.DUMMYFUNCTION("GOOGLETRANSLATE(C1251, ""en"", ""de"")"),"Kinderbetreuer")</f>
        <v>Kinderbetreuer</v>
      </c>
      <c r="H1251" s="8" t="str">
        <f>IFERROR(__xludf.DUMMYFUNCTION("GOOGLETRANSLATE(C1251, ""en"", ""ru"")"),"работник по уходу за детьми")</f>
        <v>работник по уходу за детьми</v>
      </c>
      <c r="I1251" s="8" t="str">
        <f>IFERROR(__xludf.DUMMYFUNCTION("GOOGLETRANSLATE(C1251, ""en"", ""ar"")"),"عامل رعاية الأطفال")</f>
        <v>عامل رعاية الأطفال</v>
      </c>
      <c r="J1251" s="8"/>
      <c r="K1251" s="7" t="str">
        <f>IFERROR(__xludf.DUMMYFUNCTION("CONCAT(REGEXREPLACE(C1251,""[ ,]+"",""_""),"".mp3"")"),"child_care_worker.mp3")</f>
        <v>child_care_worker.mp3</v>
      </c>
      <c r="M1251" s="4" t="s">
        <v>10</v>
      </c>
    </row>
    <row r="1252" ht="15.75" customHeight="1">
      <c r="A1252" s="1">
        <v>2620.0</v>
      </c>
      <c r="B1252" s="3">
        <v>150.0</v>
      </c>
      <c r="C1252" s="7" t="s">
        <v>1265</v>
      </c>
      <c r="D1252" s="8" t="str">
        <f>IFERROR(__xludf.DUMMYFUNCTION("GOOGLETRANSLATE(C1252, ""en"", ""pt"")"),"professora de pré-escola")</f>
        <v>professora de pré-escola</v>
      </c>
      <c r="E1252" s="8" t="str">
        <f>IFERROR(__xludf.DUMMYFUNCTION("GOOGLETRANSLATE(C1252, ""en"", ""es"")"),"maestra de preescolar")</f>
        <v>maestra de preescolar</v>
      </c>
      <c r="F1252" s="8" t="str">
        <f>IFERROR(__xludf.DUMMYFUNCTION("GOOGLETRANSLATE(C1252, ""en"", ""fr"")"),"enseignante préscolaire")</f>
        <v>enseignante préscolaire</v>
      </c>
      <c r="G1252" s="8" t="str">
        <f>IFERROR(__xludf.DUMMYFUNCTION("GOOGLETRANSLATE(C1252, ""en"", ""de"")"),"Vorschullehrerin")</f>
        <v>Vorschullehrerin</v>
      </c>
      <c r="H1252" s="8" t="str">
        <f>IFERROR(__xludf.DUMMYFUNCTION("GOOGLETRANSLATE(C1252, ""en"", ""ru"")"),"воспитательница детского сада")</f>
        <v>воспитательница детского сада</v>
      </c>
      <c r="I1252" s="8" t="str">
        <f>IFERROR(__xludf.DUMMYFUNCTION("GOOGLETRANSLATE(C1252, ""en"", ""ar"")"),"معلمة رياض الأطفال")</f>
        <v>معلمة رياض الأطفال</v>
      </c>
      <c r="J1252" s="8"/>
      <c r="K1252" s="7" t="str">
        <f>IFERROR(__xludf.DUMMYFUNCTION("CONCAT(REGEXREPLACE(C1252,""[ ,]+"",""_""),"".mp3"")"),"preschool_teacher.mp3")</f>
        <v>preschool_teacher.mp3</v>
      </c>
      <c r="M1252" s="4" t="s">
        <v>10</v>
      </c>
    </row>
    <row r="1253" ht="15.75" customHeight="1">
      <c r="A1253" s="1">
        <v>2621.0</v>
      </c>
      <c r="B1253" s="3">
        <v>150.0</v>
      </c>
      <c r="C1253" s="7" t="s">
        <v>1266</v>
      </c>
      <c r="D1253" s="8" t="str">
        <f>IFERROR(__xludf.DUMMYFUNCTION("GOOGLETRANSLATE(C1253, ""en"", ""pt"")"),"professor de educação especial")</f>
        <v>professor de educação especial</v>
      </c>
      <c r="E1253" s="8" t="str">
        <f>IFERROR(__xludf.DUMMYFUNCTION("GOOGLETRANSLATE(C1253, ""en"", ""es"")"),"profesor de educación especial")</f>
        <v>profesor de educación especial</v>
      </c>
      <c r="F1253" s="8" t="str">
        <f>IFERROR(__xludf.DUMMYFUNCTION("GOOGLETRANSLATE(C1253, ""en"", ""fr"")"),"enseignant spécialisé")</f>
        <v>enseignant spécialisé</v>
      </c>
      <c r="G1253" s="8" t="str">
        <f>IFERROR(__xludf.DUMMYFUNCTION("GOOGLETRANSLATE(C1253, ""en"", ""de"")"),"Sonderpädagoge")</f>
        <v>Sonderpädagoge</v>
      </c>
      <c r="H1253" s="8" t="str">
        <f>IFERROR(__xludf.DUMMYFUNCTION("GOOGLETRANSLATE(C1253, ""en"", ""ru"")"),"учитель специального образования")</f>
        <v>учитель специального образования</v>
      </c>
      <c r="I1253" s="8" t="str">
        <f>IFERROR(__xludf.DUMMYFUNCTION("GOOGLETRANSLATE(C1253, ""en"", ""ar"")"),"معلم التربية الخاصة")</f>
        <v>معلم التربية الخاصة</v>
      </c>
      <c r="J1253" s="8"/>
      <c r="K1253" s="7" t="str">
        <f>IFERROR(__xludf.DUMMYFUNCTION("CONCAT(REGEXREPLACE(C1253,""[ ,]+"",""_""),"".mp3"")"),"special_education_teacher.mp3")</f>
        <v>special_education_teacher.mp3</v>
      </c>
      <c r="M1253" s="4" t="s">
        <v>10</v>
      </c>
    </row>
    <row r="1254" ht="15.75" customHeight="1">
      <c r="A1254" s="1">
        <v>2622.0</v>
      </c>
      <c r="B1254" s="3">
        <v>150.0</v>
      </c>
      <c r="C1254" s="7" t="s">
        <v>1267</v>
      </c>
      <c r="D1254" s="8" t="str">
        <f>IFERROR(__xludf.DUMMYFUNCTION("GOOGLETRANSLATE(C1254, ""en"", ""pt"")"),"conselheiro")</f>
        <v>conselheiro</v>
      </c>
      <c r="E1254" s="8" t="str">
        <f>IFERROR(__xludf.DUMMYFUNCTION("GOOGLETRANSLATE(C1254, ""en"", ""es"")"),"consejero")</f>
        <v>consejero</v>
      </c>
      <c r="F1254" s="8" t="str">
        <f>IFERROR(__xludf.DUMMYFUNCTION("GOOGLETRANSLATE(C1254, ""en"", ""fr"")"),"conseiller")</f>
        <v>conseiller</v>
      </c>
      <c r="G1254" s="8" t="str">
        <f>IFERROR(__xludf.DUMMYFUNCTION("GOOGLETRANSLATE(C1254, ""en"", ""de"")"),"Berater")</f>
        <v>Berater</v>
      </c>
      <c r="H1254" s="8" t="str">
        <f>IFERROR(__xludf.DUMMYFUNCTION("GOOGLETRANSLATE(C1254, ""en"", ""ru"")"),"консультант")</f>
        <v>консультант</v>
      </c>
      <c r="I1254" s="8" t="str">
        <f>IFERROR(__xludf.DUMMYFUNCTION("GOOGLETRANSLATE(C1254, ""en"", ""ar"")"),"مستشار")</f>
        <v>مستشار</v>
      </c>
      <c r="J1254" s="8"/>
      <c r="K1254" s="7" t="str">
        <f>IFERROR(__xludf.DUMMYFUNCTION("CONCAT(REGEXREPLACE(C1254,""[ ,]+"",""_""),"".mp3"")"),"counselor.mp3")</f>
        <v>counselor.mp3</v>
      </c>
      <c r="M1254" s="4" t="s">
        <v>10</v>
      </c>
    </row>
    <row r="1255" ht="15.75" customHeight="1">
      <c r="A1255" s="1">
        <v>2623.0</v>
      </c>
      <c r="B1255" s="3">
        <v>150.0</v>
      </c>
      <c r="C1255" s="7" t="s">
        <v>1268</v>
      </c>
      <c r="D1255" s="8" t="str">
        <f>IFERROR(__xludf.DUMMYFUNCTION("GOOGLETRANSLATE(C1255, ""en"", ""pt"")"),"trabalhador comunitário")</f>
        <v>trabalhador comunitário</v>
      </c>
      <c r="E1255" s="8" t="str">
        <f>IFERROR(__xludf.DUMMYFUNCTION("GOOGLETRANSLATE(C1255, ""en"", ""es"")"),"trabajador comunitario")</f>
        <v>trabajador comunitario</v>
      </c>
      <c r="F1255" s="8" t="str">
        <f>IFERROR(__xludf.DUMMYFUNCTION("GOOGLETRANSLATE(C1255, ""en"", ""fr"")"),"travailleur communautaire")</f>
        <v>travailleur communautaire</v>
      </c>
      <c r="G1255" s="8" t="str">
        <f>IFERROR(__xludf.DUMMYFUNCTION("GOOGLETRANSLATE(C1255, ""en"", ""de"")"),"Gemeinwesenarbeiter")</f>
        <v>Gemeinwesenarbeiter</v>
      </c>
      <c r="H1255" s="8" t="str">
        <f>IFERROR(__xludf.DUMMYFUNCTION("GOOGLETRANSLATE(C1255, ""en"", ""ru"")"),"общественный работник")</f>
        <v>общественный работник</v>
      </c>
      <c r="I1255" s="8" t="str">
        <f>IFERROR(__xludf.DUMMYFUNCTION("GOOGLETRANSLATE(C1255, ""en"", ""ar"")"),"عامل مجتمعي")</f>
        <v>عامل مجتمعي</v>
      </c>
      <c r="J1255" s="8"/>
      <c r="K1255" s="7" t="str">
        <f>IFERROR(__xludf.DUMMYFUNCTION("CONCAT(REGEXREPLACE(C1255,""[ ,]+"",""_""),"".mp3"")"),"community_worker.mp3")</f>
        <v>community_worker.mp3</v>
      </c>
      <c r="M1255" s="4" t="s">
        <v>10</v>
      </c>
    </row>
    <row r="1256" ht="15.75" customHeight="1">
      <c r="A1256" s="1">
        <v>2624.0</v>
      </c>
      <c r="B1256" s="3">
        <v>150.0</v>
      </c>
      <c r="C1256" s="7" t="s">
        <v>1269</v>
      </c>
      <c r="D1256" s="8" t="str">
        <f>IFERROR(__xludf.DUMMYFUNCTION("GOOGLETRANSLATE(C1256, ""en"", ""pt"")"),"astronauta")</f>
        <v>astronauta</v>
      </c>
      <c r="E1256" s="8" t="str">
        <f>IFERROR(__xludf.DUMMYFUNCTION("GOOGLETRANSLATE(C1256, ""en"", ""es"")"),"astronauta")</f>
        <v>astronauta</v>
      </c>
      <c r="F1256" s="8" t="str">
        <f>IFERROR(__xludf.DUMMYFUNCTION("GOOGLETRANSLATE(C1256, ""en"", ""fr"")"),"astronaute")</f>
        <v>astronaute</v>
      </c>
      <c r="G1256" s="8" t="str">
        <f>IFERROR(__xludf.DUMMYFUNCTION("GOOGLETRANSLATE(C1256, ""en"", ""de"")"),"Astronaut")</f>
        <v>Astronaut</v>
      </c>
      <c r="H1256" s="8" t="str">
        <f>IFERROR(__xludf.DUMMYFUNCTION("GOOGLETRANSLATE(C1256, ""en"", ""ru"")"),"астронавт")</f>
        <v>астронавт</v>
      </c>
      <c r="I1256" s="8" t="str">
        <f>IFERROR(__xludf.DUMMYFUNCTION("GOOGLETRANSLATE(C1256, ""en"", ""ar"")"),"رائد فضاء")</f>
        <v>رائد فضاء</v>
      </c>
      <c r="J1256" s="8"/>
      <c r="K1256" s="7" t="str">
        <f>IFERROR(__xludf.DUMMYFUNCTION("CONCAT(REGEXREPLACE(C1256,""[ ,]+"",""_""),"".mp3"")"),"astronaut.mp3")</f>
        <v>astronaut.mp3</v>
      </c>
      <c r="M1256" s="4" t="s">
        <v>10</v>
      </c>
    </row>
    <row r="1257" ht="15.75" customHeight="1">
      <c r="A1257" s="1">
        <v>2625.0</v>
      </c>
      <c r="B1257" s="3">
        <v>150.0</v>
      </c>
      <c r="C1257" s="7" t="s">
        <v>1270</v>
      </c>
      <c r="D1257" s="8" t="str">
        <f>IFERROR(__xludf.DUMMYFUNCTION("GOOGLETRANSLATE(C1257, ""en"", ""pt"")"),"mergulhador")</f>
        <v>mergulhador</v>
      </c>
      <c r="E1257" s="8" t="str">
        <f>IFERROR(__xludf.DUMMYFUNCTION("GOOGLETRANSLATE(C1257, ""en"", ""es"")"),"buzo")</f>
        <v>buzo</v>
      </c>
      <c r="F1257" s="8" t="str">
        <f>IFERROR(__xludf.DUMMYFUNCTION("GOOGLETRANSLATE(C1257, ""en"", ""fr"")"),"plongeur")</f>
        <v>plongeur</v>
      </c>
      <c r="G1257" s="8" t="str">
        <f>IFERROR(__xludf.DUMMYFUNCTION("GOOGLETRANSLATE(C1257, ""en"", ""de"")"),"Taucher")</f>
        <v>Taucher</v>
      </c>
      <c r="H1257" s="8" t="str">
        <f>IFERROR(__xludf.DUMMYFUNCTION("GOOGLETRANSLATE(C1257, ""en"", ""ru"")"),"дайвер")</f>
        <v>дайвер</v>
      </c>
      <c r="I1257" s="8" t="str">
        <f>IFERROR(__xludf.DUMMYFUNCTION("GOOGLETRANSLATE(C1257, ""en"", ""ar"")"),"غواص")</f>
        <v>غواص</v>
      </c>
      <c r="J1257" s="8"/>
      <c r="K1257" s="7" t="str">
        <f>IFERROR(__xludf.DUMMYFUNCTION("CONCAT(REGEXREPLACE(C1257,""[ ,]+"",""_""),"".mp3"")"),"diver.mp3")</f>
        <v>diver.mp3</v>
      </c>
      <c r="M1257" s="4" t="s">
        <v>10</v>
      </c>
    </row>
    <row r="1258" ht="15.75" customHeight="1">
      <c r="A1258" s="1">
        <v>2626.0</v>
      </c>
      <c r="B1258" s="3">
        <v>150.0</v>
      </c>
      <c r="C1258" s="7" t="s">
        <v>1271</v>
      </c>
      <c r="D1258" s="8" t="str">
        <f>IFERROR(__xludf.DUMMYFUNCTION("GOOGLETRANSLATE(C1258, ""en"", ""pt"")"),"dublê")</f>
        <v>dublê</v>
      </c>
      <c r="E1258" s="8" t="str">
        <f>IFERROR(__xludf.DUMMYFUNCTION("GOOGLETRANSLATE(C1258, ""en"", ""es"")"),"especialista en acrobacias")</f>
        <v>especialista en acrobacias</v>
      </c>
      <c r="F1258" s="8" t="str">
        <f>IFERROR(__xludf.DUMMYFUNCTION("GOOGLETRANSLATE(C1258, ""en"", ""fr"")"),"cascadeur")</f>
        <v>cascadeur</v>
      </c>
      <c r="G1258" s="8" t="str">
        <f>IFERROR(__xludf.DUMMYFUNCTION("GOOGLETRANSLATE(C1258, ""en"", ""de"")"),"Stuntman")</f>
        <v>Stuntman</v>
      </c>
      <c r="H1258" s="8" t="str">
        <f>IFERROR(__xludf.DUMMYFUNCTION("GOOGLETRANSLATE(C1258, ""en"", ""ru"")"),"каскадер")</f>
        <v>каскадер</v>
      </c>
      <c r="I1258" s="8" t="str">
        <f>IFERROR(__xludf.DUMMYFUNCTION("GOOGLETRANSLATE(C1258, ""en"", ""ar"")"),"مؤدي مشاهد خطيرة")</f>
        <v>مؤدي مشاهد خطيرة</v>
      </c>
      <c r="J1258" s="8"/>
      <c r="K1258" s="7" t="str">
        <f>IFERROR(__xludf.DUMMYFUNCTION("CONCAT(REGEXREPLACE(C1258,""[ ,]+"",""_""),"".mp3"")"),"stunt_performer.mp3")</f>
        <v>stunt_performer.mp3</v>
      </c>
      <c r="M1258" s="4" t="s">
        <v>10</v>
      </c>
    </row>
    <row r="1259" ht="15.75" customHeight="1">
      <c r="A1259" s="1">
        <v>2627.0</v>
      </c>
      <c r="B1259" s="3">
        <v>150.0</v>
      </c>
      <c r="C1259" s="7" t="s">
        <v>1272</v>
      </c>
      <c r="D1259" s="8" t="str">
        <f>IFERROR(__xludf.DUMMYFUNCTION("GOOGLETRANSLATE(C1259, ""en"", ""pt"")"),"mágico")</f>
        <v>mágico</v>
      </c>
      <c r="E1259" s="8" t="str">
        <f>IFERROR(__xludf.DUMMYFUNCTION("GOOGLETRANSLATE(C1259, ""en"", ""es"")"),"mago")</f>
        <v>mago</v>
      </c>
      <c r="F1259" s="8" t="str">
        <f>IFERROR(__xludf.DUMMYFUNCTION("GOOGLETRANSLATE(C1259, ""en"", ""fr"")"),"magicien")</f>
        <v>magicien</v>
      </c>
      <c r="G1259" s="8" t="str">
        <f>IFERROR(__xludf.DUMMYFUNCTION("GOOGLETRANSLATE(C1259, ""en"", ""de"")"),"Zauberer")</f>
        <v>Zauberer</v>
      </c>
      <c r="H1259" s="8" t="str">
        <f>IFERROR(__xludf.DUMMYFUNCTION("GOOGLETRANSLATE(C1259, ""en"", ""ru"")"),"фокусник")</f>
        <v>фокусник</v>
      </c>
      <c r="I1259" s="8" t="str">
        <f>IFERROR(__xludf.DUMMYFUNCTION("GOOGLETRANSLATE(C1259, ""en"", ""ar"")"),"ساحر")</f>
        <v>ساحر</v>
      </c>
      <c r="J1259" s="8"/>
      <c r="K1259" s="7" t="str">
        <f>IFERROR(__xludf.DUMMYFUNCTION("CONCAT(REGEXREPLACE(C1259,""[ ,]+"",""_""),"".mp3"")"),"magician.mp3")</f>
        <v>magician.mp3</v>
      </c>
      <c r="M1259" s="4" t="s">
        <v>10</v>
      </c>
    </row>
    <row r="1260" ht="15.75" customHeight="1">
      <c r="A1260" s="1">
        <v>2628.0</v>
      </c>
      <c r="B1260" s="3">
        <v>150.0</v>
      </c>
      <c r="C1260" s="7" t="s">
        <v>1273</v>
      </c>
      <c r="D1260" s="8" t="str">
        <f>IFERROR(__xludf.DUMMYFUNCTION("GOOGLETRANSLATE(C1260, ""en"", ""pt"")"),"palhaço")</f>
        <v>palhaço</v>
      </c>
      <c r="E1260" s="8" t="str">
        <f>IFERROR(__xludf.DUMMYFUNCTION("GOOGLETRANSLATE(C1260, ""en"", ""es"")"),"payaso")</f>
        <v>payaso</v>
      </c>
      <c r="F1260" s="8" t="str">
        <f>IFERROR(__xludf.DUMMYFUNCTION("GOOGLETRANSLATE(C1260, ""en"", ""fr"")"),"clown")</f>
        <v>clown</v>
      </c>
      <c r="G1260" s="8" t="str">
        <f>IFERROR(__xludf.DUMMYFUNCTION("GOOGLETRANSLATE(C1260, ""en"", ""de"")"),"Clown")</f>
        <v>Clown</v>
      </c>
      <c r="H1260" s="8" t="str">
        <f>IFERROR(__xludf.DUMMYFUNCTION("GOOGLETRANSLATE(C1260, ""en"", ""ru"")"),"клоун")</f>
        <v>клоун</v>
      </c>
      <c r="I1260" s="8" t="str">
        <f>IFERROR(__xludf.DUMMYFUNCTION("GOOGLETRANSLATE(C1260, ""en"", ""ar"")"),"بهلوان")</f>
        <v>بهلوان</v>
      </c>
      <c r="J1260" s="8"/>
      <c r="K1260" s="7" t="str">
        <f>IFERROR(__xludf.DUMMYFUNCTION("CONCAT(REGEXREPLACE(C1260,""[ ,]+"",""_""),"".mp3"")"),"clown.mp3")</f>
        <v>clown.mp3</v>
      </c>
      <c r="M1260" s="4" t="s">
        <v>10</v>
      </c>
    </row>
    <row r="1261" ht="15.75" customHeight="1">
      <c r="A1261" s="1">
        <v>2629.0</v>
      </c>
      <c r="B1261" s="3">
        <v>150.0</v>
      </c>
      <c r="C1261" s="7" t="s">
        <v>1274</v>
      </c>
      <c r="D1261" s="8" t="str">
        <f>IFERROR(__xludf.DUMMYFUNCTION("GOOGLETRANSLATE(C1261, ""en"", ""pt"")"),"ilusionista")</f>
        <v>ilusionista</v>
      </c>
      <c r="E1261" s="8" t="str">
        <f>IFERROR(__xludf.DUMMYFUNCTION("GOOGLETRANSLATE(C1261, ""en"", ""es"")"),"ilusionista")</f>
        <v>ilusionista</v>
      </c>
      <c r="F1261" s="8" t="str">
        <f>IFERROR(__xludf.DUMMYFUNCTION("GOOGLETRANSLATE(C1261, ""en"", ""fr"")"),"illusionniste")</f>
        <v>illusionniste</v>
      </c>
      <c r="G1261" s="8" t="str">
        <f>IFERROR(__xludf.DUMMYFUNCTION("GOOGLETRANSLATE(C1261, ""en"", ""de"")"),"Illusionist")</f>
        <v>Illusionist</v>
      </c>
      <c r="H1261" s="8" t="str">
        <f>IFERROR(__xludf.DUMMYFUNCTION("GOOGLETRANSLATE(C1261, ""en"", ""ru"")"),"иллюзионист")</f>
        <v>иллюзионист</v>
      </c>
      <c r="I1261" s="8" t="str">
        <f>IFERROR(__xludf.DUMMYFUNCTION("GOOGLETRANSLATE(C1261, ""en"", ""ar"")"),"مخادع")</f>
        <v>مخادع</v>
      </c>
      <c r="J1261" s="8"/>
      <c r="K1261" s="7" t="str">
        <f>IFERROR(__xludf.DUMMYFUNCTION("CONCAT(REGEXREPLACE(C1261,""[ ,]+"",""_""),"".mp3"")"),"illusionist.mp3")</f>
        <v>illusionist.mp3</v>
      </c>
      <c r="M1261" s="4" t="s">
        <v>10</v>
      </c>
    </row>
    <row r="1262" ht="15.75" customHeight="1">
      <c r="A1262" s="1">
        <v>2630.0</v>
      </c>
      <c r="B1262" s="3">
        <v>150.0</v>
      </c>
      <c r="C1262" s="7" t="s">
        <v>1275</v>
      </c>
      <c r="D1262" s="8" t="str">
        <f>IFERROR(__xludf.DUMMYFUNCTION("GOOGLETRANSLATE(C1262, ""en"", ""pt"")"),"atleta")</f>
        <v>atleta</v>
      </c>
      <c r="E1262" s="8" t="str">
        <f>IFERROR(__xludf.DUMMYFUNCTION("GOOGLETRANSLATE(C1262, ""en"", ""es"")"),"atleta")</f>
        <v>atleta</v>
      </c>
      <c r="F1262" s="8" t="str">
        <f>IFERROR(__xludf.DUMMYFUNCTION("GOOGLETRANSLATE(C1262, ""en"", ""fr"")"),"athlète")</f>
        <v>athlète</v>
      </c>
      <c r="G1262" s="8" t="str">
        <f>IFERROR(__xludf.DUMMYFUNCTION("GOOGLETRANSLATE(C1262, ""en"", ""de"")"),"Athlet")</f>
        <v>Athlet</v>
      </c>
      <c r="H1262" s="8" t="str">
        <f>IFERROR(__xludf.DUMMYFUNCTION("GOOGLETRANSLATE(C1262, ""en"", ""ru"")"),"спортсмен")</f>
        <v>спортсмен</v>
      </c>
      <c r="I1262" s="8" t="str">
        <f>IFERROR(__xludf.DUMMYFUNCTION("GOOGLETRANSLATE(C1262, ""en"", ""ar"")"),"رياضي")</f>
        <v>رياضي</v>
      </c>
      <c r="J1262" s="8"/>
      <c r="K1262" s="7" t="str">
        <f>IFERROR(__xludf.DUMMYFUNCTION("CONCAT(REGEXREPLACE(C1262,""[ ,]+"",""_""),"".mp3"")"),"athlete.mp3")</f>
        <v>athlete.mp3</v>
      </c>
      <c r="M1262" s="4" t="s">
        <v>10</v>
      </c>
    </row>
    <row r="1263" ht="15.75" customHeight="1">
      <c r="A1263" s="1">
        <v>2631.0</v>
      </c>
      <c r="B1263" s="3">
        <v>150.0</v>
      </c>
      <c r="C1263" s="7" t="s">
        <v>1276</v>
      </c>
      <c r="D1263" s="8" t="str">
        <f>IFERROR(__xludf.DUMMYFUNCTION("GOOGLETRANSLATE(C1263, ""en"", ""pt"")"),"jogador de futebol profissional")</f>
        <v>jogador de futebol profissional</v>
      </c>
      <c r="E1263" s="8" t="str">
        <f>IFERROR(__xludf.DUMMYFUNCTION("GOOGLETRANSLATE(C1263, ""en"", ""es"")"),"futbolista profesional")</f>
        <v>futbolista profesional</v>
      </c>
      <c r="F1263" s="8" t="str">
        <f>IFERROR(__xludf.DUMMYFUNCTION("GOOGLETRANSLATE(C1263, ""en"", ""fr"")"),"footballeur professionnel")</f>
        <v>footballeur professionnel</v>
      </c>
      <c r="G1263" s="8" t="str">
        <f>IFERROR(__xludf.DUMMYFUNCTION("GOOGLETRANSLATE(C1263, ""en"", ""de"")"),"Profifußballer")</f>
        <v>Profifußballer</v>
      </c>
      <c r="H1263" s="8" t="str">
        <f>IFERROR(__xludf.DUMMYFUNCTION("GOOGLETRANSLATE(C1263, ""en"", ""ru"")"),"профессиональный футболист")</f>
        <v>профессиональный футболист</v>
      </c>
      <c r="I1263" s="8" t="str">
        <f>IFERROR(__xludf.DUMMYFUNCTION("GOOGLETRANSLATE(C1263, ""en"", ""ar"")"),"لاعب كرة قدم محترف")</f>
        <v>لاعب كرة قدم محترف</v>
      </c>
      <c r="J1263" s="8"/>
      <c r="K1263" s="7" t="str">
        <f>IFERROR(__xludf.DUMMYFUNCTION("CONCAT(REGEXREPLACE(C1263,""[ ,]+"",""_""),"".mp3"")"),"professional_footballer.mp3")</f>
        <v>professional_footballer.mp3</v>
      </c>
      <c r="M1263" s="4" t="s">
        <v>10</v>
      </c>
    </row>
    <row r="1264" ht="15.75" customHeight="1">
      <c r="A1264" s="1">
        <v>2632.0</v>
      </c>
      <c r="B1264" s="3">
        <v>150.0</v>
      </c>
      <c r="C1264" s="7" t="s">
        <v>1277</v>
      </c>
      <c r="D1264" s="8" t="str">
        <f>IFERROR(__xludf.DUMMYFUNCTION("GOOGLETRANSLATE(C1264, ""en"", ""pt"")"),"boxer")</f>
        <v>boxer</v>
      </c>
      <c r="E1264" s="8" t="str">
        <f>IFERROR(__xludf.DUMMYFUNCTION("GOOGLETRANSLATE(C1264, ""en"", ""es"")"),"bóxer")</f>
        <v>bóxer</v>
      </c>
      <c r="F1264" s="8" t="str">
        <f>IFERROR(__xludf.DUMMYFUNCTION("GOOGLETRANSLATE(C1264, ""en"", ""fr"")"),"boxeur")</f>
        <v>boxeur</v>
      </c>
      <c r="G1264" s="8" t="str">
        <f>IFERROR(__xludf.DUMMYFUNCTION("GOOGLETRANSLATE(C1264, ""en"", ""de"")"),"Boxer")</f>
        <v>Boxer</v>
      </c>
      <c r="H1264" s="8" t="str">
        <f>IFERROR(__xludf.DUMMYFUNCTION("GOOGLETRANSLATE(C1264, ""en"", ""ru"")"),"боксер")</f>
        <v>боксер</v>
      </c>
      <c r="I1264" s="8" t="str">
        <f>IFERROR(__xludf.DUMMYFUNCTION("GOOGLETRANSLATE(C1264, ""en"", ""ar"")"),"ملاكم")</f>
        <v>ملاكم</v>
      </c>
      <c r="J1264" s="8"/>
      <c r="K1264" s="7" t="str">
        <f>IFERROR(__xludf.DUMMYFUNCTION("CONCAT(REGEXREPLACE(C1264,""[ ,]+"",""_""),"".mp3"")"),"boxer.mp3")</f>
        <v>boxer.mp3</v>
      </c>
      <c r="M1264" s="4" t="s">
        <v>10</v>
      </c>
    </row>
    <row r="1265" ht="15.75" customHeight="1">
      <c r="A1265" s="1">
        <v>2633.0</v>
      </c>
      <c r="B1265" s="3">
        <v>150.0</v>
      </c>
      <c r="C1265" s="7" t="s">
        <v>1278</v>
      </c>
      <c r="D1265" s="8" t="str">
        <f>IFERROR(__xludf.DUMMYFUNCTION("GOOGLETRANSLATE(C1265, ""en"", ""pt"")"),"árbitro")</f>
        <v>árbitro</v>
      </c>
      <c r="E1265" s="8" t="str">
        <f>IFERROR(__xludf.DUMMYFUNCTION("GOOGLETRANSLATE(C1265, ""en"", ""es"")"),"árbitro")</f>
        <v>árbitro</v>
      </c>
      <c r="F1265" s="8" t="str">
        <f>IFERROR(__xludf.DUMMYFUNCTION("GOOGLETRANSLATE(C1265, ""en"", ""fr"")"),"arbitre")</f>
        <v>arbitre</v>
      </c>
      <c r="G1265" s="8" t="str">
        <f>IFERROR(__xludf.DUMMYFUNCTION("GOOGLETRANSLATE(C1265, ""en"", ""de"")"),"Schiedsrichter")</f>
        <v>Schiedsrichter</v>
      </c>
      <c r="H1265" s="8" t="str">
        <f>IFERROR(__xludf.DUMMYFUNCTION("GOOGLETRANSLATE(C1265, ""en"", ""ru"")"),"судья")</f>
        <v>судья</v>
      </c>
      <c r="I1265" s="8" t="str">
        <f>IFERROR(__xludf.DUMMYFUNCTION("GOOGLETRANSLATE(C1265, ""en"", ""ar"")"),"حكم")</f>
        <v>حكم</v>
      </c>
      <c r="J1265" s="8"/>
      <c r="K1265" s="7" t="str">
        <f>IFERROR(__xludf.DUMMYFUNCTION("CONCAT(REGEXREPLACE(C1265,""[ ,]+"",""_""),"".mp3"")"),"referee.mp3")</f>
        <v>referee.mp3</v>
      </c>
      <c r="M1265" s="4" t="s">
        <v>10</v>
      </c>
    </row>
    <row r="1266" ht="15.75" customHeight="1">
      <c r="A1266" s="1">
        <v>2634.0</v>
      </c>
      <c r="B1266" s="3">
        <v>150.0</v>
      </c>
      <c r="C1266" s="7" t="s">
        <v>166</v>
      </c>
      <c r="D1266" s="8" t="str">
        <f>IFERROR(__xludf.DUMMYFUNCTION("GOOGLETRANSLATE(C1266, ""en"", ""pt"")"),"treinador")</f>
        <v>treinador</v>
      </c>
      <c r="E1266" s="8" t="str">
        <f>IFERROR(__xludf.DUMMYFUNCTION("GOOGLETRANSLATE(C1266, ""en"", ""es"")"),"entrenador")</f>
        <v>entrenador</v>
      </c>
      <c r="F1266" s="8" t="str">
        <f>IFERROR(__xludf.DUMMYFUNCTION("GOOGLETRANSLATE(C1266, ""en"", ""fr"")"),"entraîneur")</f>
        <v>entraîneur</v>
      </c>
      <c r="G1266" s="8" t="str">
        <f>IFERROR(__xludf.DUMMYFUNCTION("GOOGLETRANSLATE(C1266, ""en"", ""de"")"),"Trainer")</f>
        <v>Trainer</v>
      </c>
      <c r="H1266" s="8" t="str">
        <f>IFERROR(__xludf.DUMMYFUNCTION("GOOGLETRANSLATE(C1266, ""en"", ""ru"")"),"тренер")</f>
        <v>тренер</v>
      </c>
      <c r="I1266" s="8" t="str">
        <f>IFERROR(__xludf.DUMMYFUNCTION("GOOGLETRANSLATE(C1266, ""en"", ""ar"")"),"مدرب")</f>
        <v>مدرب</v>
      </c>
      <c r="J1266" s="8"/>
      <c r="K1266" s="7" t="str">
        <f>IFERROR(__xludf.DUMMYFUNCTION("CONCAT(REGEXREPLACE(C1266,""[ ,]+"",""_""),"".mp3"")"),"coach.mp3")</f>
        <v>coach.mp3</v>
      </c>
      <c r="M1266" s="4" t="s">
        <v>10</v>
      </c>
    </row>
    <row r="1267" ht="15.75" customHeight="1">
      <c r="A1267" s="1">
        <v>2635.0</v>
      </c>
      <c r="B1267" s="3">
        <v>110.0</v>
      </c>
      <c r="C1267" s="7" t="s">
        <v>1279</v>
      </c>
      <c r="D1267" s="8" t="str">
        <f>IFERROR(__xludf.DUMMYFUNCTION("GOOGLETRANSLATE(C1267, ""en"", ""pt"")"),"aceitar")</f>
        <v>aceitar</v>
      </c>
      <c r="E1267" s="8" t="str">
        <f>IFERROR(__xludf.DUMMYFUNCTION("GOOGLETRANSLATE(C1267, ""en"", ""es"")"),"aceptar")</f>
        <v>aceptar</v>
      </c>
      <c r="F1267" s="8" t="str">
        <f>IFERROR(__xludf.DUMMYFUNCTION("GOOGLETRANSLATE(C1267, ""en"", ""fr"")"),"accepter")</f>
        <v>accepter</v>
      </c>
      <c r="G1267" s="8" t="str">
        <f>IFERROR(__xludf.DUMMYFUNCTION("GOOGLETRANSLATE(C1267, ""en"", ""de"")"),"akzeptieren")</f>
        <v>akzeptieren</v>
      </c>
      <c r="H1267" s="8" t="str">
        <f>IFERROR(__xludf.DUMMYFUNCTION("GOOGLETRANSLATE(C1267, ""en"", ""ru"")"),"принимать")</f>
        <v>принимать</v>
      </c>
      <c r="I1267" s="8" t="str">
        <f>IFERROR(__xludf.DUMMYFUNCTION("GOOGLETRANSLATE(C1267, ""en"", ""ar"")"),"يقبل")</f>
        <v>يقبل</v>
      </c>
      <c r="J1267" s="8"/>
      <c r="K1267" s="7" t="str">
        <f>IFERROR(__xludf.DUMMYFUNCTION("CONCAT(REGEXREPLACE(C1267,""[ ,]+"",""_""),"".mp3"")"),"accept.mp3")</f>
        <v>accept.mp3</v>
      </c>
      <c r="M1267" s="4" t="s">
        <v>10</v>
      </c>
    </row>
    <row r="1268" ht="15.75" customHeight="1">
      <c r="A1268" s="1">
        <v>2636.0</v>
      </c>
      <c r="B1268" s="3">
        <v>110.0</v>
      </c>
      <c r="C1268" s="7" t="s">
        <v>1280</v>
      </c>
      <c r="D1268" s="8" t="str">
        <f>IFERROR(__xludf.DUMMYFUNCTION("GOOGLETRANSLATE(C1268, ""en"", ""pt"")"),"alcançar")</f>
        <v>alcançar</v>
      </c>
      <c r="E1268" s="8" t="str">
        <f>IFERROR(__xludf.DUMMYFUNCTION("GOOGLETRANSLATE(C1268, ""en"", ""es"")"),"lograr")</f>
        <v>lograr</v>
      </c>
      <c r="F1268" s="8" t="str">
        <f>IFERROR(__xludf.DUMMYFUNCTION("GOOGLETRANSLATE(C1268, ""en"", ""fr"")"),"atteindre")</f>
        <v>atteindre</v>
      </c>
      <c r="G1268" s="8" t="str">
        <f>IFERROR(__xludf.DUMMYFUNCTION("GOOGLETRANSLATE(C1268, ""en"", ""de"")"),"erreichen")</f>
        <v>erreichen</v>
      </c>
      <c r="H1268" s="8" t="str">
        <f>IFERROR(__xludf.DUMMYFUNCTION("GOOGLETRANSLATE(C1268, ""en"", ""ru"")"),"достигать")</f>
        <v>достигать</v>
      </c>
      <c r="I1268" s="8" t="str">
        <f>IFERROR(__xludf.DUMMYFUNCTION("GOOGLETRANSLATE(C1268, ""en"", ""ar"")"),"يحقق")</f>
        <v>يحقق</v>
      </c>
      <c r="J1268" s="8"/>
      <c r="K1268" s="7" t="str">
        <f>IFERROR(__xludf.DUMMYFUNCTION("CONCAT(REGEXREPLACE(C1268,""[ ,]+"",""_""),"".mp3"")"),"achieve.mp3")</f>
        <v>achieve.mp3</v>
      </c>
      <c r="M1268" s="4" t="s">
        <v>10</v>
      </c>
    </row>
    <row r="1269" ht="15.75" customHeight="1">
      <c r="A1269" s="1">
        <v>2637.0</v>
      </c>
      <c r="B1269" s="3">
        <v>110.0</v>
      </c>
      <c r="C1269" s="7" t="s">
        <v>1281</v>
      </c>
      <c r="D1269" s="8" t="str">
        <f>IFERROR(__xludf.DUMMYFUNCTION("GOOGLETRANSLATE(C1269, ""en"", ""pt"")"),"adicionar")</f>
        <v>adicionar</v>
      </c>
      <c r="E1269" s="8" t="str">
        <f>IFERROR(__xludf.DUMMYFUNCTION("GOOGLETRANSLATE(C1269, ""en"", ""es"")"),"agregar")</f>
        <v>agregar</v>
      </c>
      <c r="F1269" s="8" t="str">
        <f>IFERROR(__xludf.DUMMYFUNCTION("GOOGLETRANSLATE(C1269, ""en"", ""fr"")"),"ajouter")</f>
        <v>ajouter</v>
      </c>
      <c r="G1269" s="8" t="str">
        <f>IFERROR(__xludf.DUMMYFUNCTION("GOOGLETRANSLATE(C1269, ""en"", ""de"")"),"hinzufügen")</f>
        <v>hinzufügen</v>
      </c>
      <c r="H1269" s="8" t="str">
        <f>IFERROR(__xludf.DUMMYFUNCTION("GOOGLETRANSLATE(C1269, ""en"", ""ru"")"),"добавлять")</f>
        <v>добавлять</v>
      </c>
      <c r="I1269" s="8" t="str">
        <f>IFERROR(__xludf.DUMMYFUNCTION("GOOGLETRANSLATE(C1269, ""en"", ""ar"")"),"يضيف")</f>
        <v>يضيف</v>
      </c>
      <c r="J1269" s="8"/>
      <c r="K1269" s="7" t="str">
        <f>IFERROR(__xludf.DUMMYFUNCTION("CONCAT(REGEXREPLACE(C1269,""[ ,]+"",""_""),"".mp3"")"),"add.mp3")</f>
        <v>add.mp3</v>
      </c>
      <c r="M1269" s="4" t="s">
        <v>10</v>
      </c>
    </row>
    <row r="1270" ht="15.75" customHeight="1">
      <c r="A1270" s="1">
        <v>2638.0</v>
      </c>
      <c r="B1270" s="3">
        <v>110.0</v>
      </c>
      <c r="C1270" s="7" t="s">
        <v>1282</v>
      </c>
      <c r="D1270" s="8" t="str">
        <f>IFERROR(__xludf.DUMMYFUNCTION("GOOGLETRANSLATE(C1270, ""en"", ""pt"")"),"admirar")</f>
        <v>admirar</v>
      </c>
      <c r="E1270" s="8" t="str">
        <f>IFERROR(__xludf.DUMMYFUNCTION("GOOGLETRANSLATE(C1270, ""en"", ""es"")"),"admirar")</f>
        <v>admirar</v>
      </c>
      <c r="F1270" s="8" t="str">
        <f>IFERROR(__xludf.DUMMYFUNCTION("GOOGLETRANSLATE(C1270, ""en"", ""fr"")"),"admirer")</f>
        <v>admirer</v>
      </c>
      <c r="G1270" s="8" t="str">
        <f>IFERROR(__xludf.DUMMYFUNCTION("GOOGLETRANSLATE(C1270, ""en"", ""de"")"),"bewundern")</f>
        <v>bewundern</v>
      </c>
      <c r="H1270" s="8" t="str">
        <f>IFERROR(__xludf.DUMMYFUNCTION("GOOGLETRANSLATE(C1270, ""en"", ""ru"")"),"восхищаться")</f>
        <v>восхищаться</v>
      </c>
      <c r="I1270" s="8" t="str">
        <f>IFERROR(__xludf.DUMMYFUNCTION("GOOGLETRANSLATE(C1270, ""en"", ""ar"")"),"يُعجَب ب")</f>
        <v>يُعجَب ب</v>
      </c>
      <c r="J1270" s="8"/>
      <c r="K1270" s="7" t="str">
        <f>IFERROR(__xludf.DUMMYFUNCTION("CONCAT(REGEXREPLACE(C1270,""[ ,]+"",""_""),"".mp3"")"),"admire.mp3")</f>
        <v>admire.mp3</v>
      </c>
      <c r="M1270" s="4" t="s">
        <v>10</v>
      </c>
    </row>
    <row r="1271" ht="15.75" customHeight="1">
      <c r="A1271" s="1">
        <v>2639.0</v>
      </c>
      <c r="B1271" s="3">
        <v>110.0</v>
      </c>
      <c r="C1271" s="7" t="s">
        <v>1283</v>
      </c>
      <c r="D1271" s="8" t="str">
        <f>IFERROR(__xludf.DUMMYFUNCTION("GOOGLETRANSLATE(C1271, ""en"", ""pt"")"),"concordar")</f>
        <v>concordar</v>
      </c>
      <c r="E1271" s="8" t="str">
        <f>IFERROR(__xludf.DUMMYFUNCTION("GOOGLETRANSLATE(C1271, ""en"", ""es"")"),"aceptar")</f>
        <v>aceptar</v>
      </c>
      <c r="F1271" s="8" t="str">
        <f>IFERROR(__xludf.DUMMYFUNCTION("GOOGLETRANSLATE(C1271, ""en"", ""fr"")"),"accepter")</f>
        <v>accepter</v>
      </c>
      <c r="G1271" s="8" t="str">
        <f>IFERROR(__xludf.DUMMYFUNCTION("GOOGLETRANSLATE(C1271, ""en"", ""de"")"),"zustimmen")</f>
        <v>zustimmen</v>
      </c>
      <c r="H1271" s="8" t="str">
        <f>IFERROR(__xludf.DUMMYFUNCTION("GOOGLETRANSLATE(C1271, ""en"", ""ru"")"),"соглашаться")</f>
        <v>соглашаться</v>
      </c>
      <c r="I1271" s="8" t="str">
        <f>IFERROR(__xludf.DUMMYFUNCTION("GOOGLETRANSLATE(C1271, ""en"", ""ar"")"),"يوافق")</f>
        <v>يوافق</v>
      </c>
      <c r="J1271" s="8"/>
      <c r="K1271" s="7" t="str">
        <f>IFERROR(__xludf.DUMMYFUNCTION("CONCAT(REGEXREPLACE(C1271,""[ ,]+"",""_""),"".mp3"")"),"agree.mp3")</f>
        <v>agree.mp3</v>
      </c>
      <c r="M1271" s="4" t="s">
        <v>10</v>
      </c>
    </row>
    <row r="1272" ht="15.75" customHeight="1">
      <c r="A1272" s="1">
        <v>2640.0</v>
      </c>
      <c r="B1272" s="3">
        <v>110.0</v>
      </c>
      <c r="C1272" s="7" t="s">
        <v>1284</v>
      </c>
      <c r="D1272" s="8" t="str">
        <f>IFERROR(__xludf.DUMMYFUNCTION("GOOGLETRANSLATE(C1272, ""en"", ""pt"")"),"permitir")</f>
        <v>permitir</v>
      </c>
      <c r="E1272" s="8" t="str">
        <f>IFERROR(__xludf.DUMMYFUNCTION("GOOGLETRANSLATE(C1272, ""en"", ""es"")"),"permitir")</f>
        <v>permitir</v>
      </c>
      <c r="F1272" s="8" t="str">
        <f>IFERROR(__xludf.DUMMYFUNCTION("GOOGLETRANSLATE(C1272, ""en"", ""fr"")"),"permettre")</f>
        <v>permettre</v>
      </c>
      <c r="G1272" s="8" t="str">
        <f>IFERROR(__xludf.DUMMYFUNCTION("GOOGLETRANSLATE(C1272, ""en"", ""de"")"),"erlauben")</f>
        <v>erlauben</v>
      </c>
      <c r="H1272" s="8" t="str">
        <f>IFERROR(__xludf.DUMMYFUNCTION("GOOGLETRANSLATE(C1272, ""en"", ""ru"")"),"позволять")</f>
        <v>позволять</v>
      </c>
      <c r="I1272" s="8" t="str">
        <f>IFERROR(__xludf.DUMMYFUNCTION("GOOGLETRANSLATE(C1272, ""en"", ""ar"")"),"يسمح")</f>
        <v>يسمح</v>
      </c>
      <c r="J1272" s="8"/>
      <c r="K1272" s="7" t="str">
        <f>IFERROR(__xludf.DUMMYFUNCTION("CONCAT(REGEXREPLACE(C1272,""[ ,]+"",""_""),"".mp3"")"),"allow.mp3")</f>
        <v>allow.mp3</v>
      </c>
      <c r="M1272" s="4" t="s">
        <v>10</v>
      </c>
    </row>
    <row r="1273" ht="15.75" customHeight="1">
      <c r="A1273" s="1">
        <v>2641.0</v>
      </c>
      <c r="B1273" s="3">
        <v>110.0</v>
      </c>
      <c r="C1273" s="7" t="s">
        <v>1285</v>
      </c>
      <c r="D1273" s="8" t="str">
        <f>IFERROR(__xludf.DUMMYFUNCTION("GOOGLETRANSLATE(C1273, ""en"", ""pt"")"),"responder")</f>
        <v>responder</v>
      </c>
      <c r="E1273" s="8" t="str">
        <f>IFERROR(__xludf.DUMMYFUNCTION("GOOGLETRANSLATE(C1273, ""en"", ""es"")"),"respuesta")</f>
        <v>respuesta</v>
      </c>
      <c r="F1273" s="8" t="str">
        <f>IFERROR(__xludf.DUMMYFUNCTION("GOOGLETRANSLATE(C1273, ""en"", ""fr"")"),"répondre")</f>
        <v>répondre</v>
      </c>
      <c r="G1273" s="8" t="str">
        <f>IFERROR(__xludf.DUMMYFUNCTION("GOOGLETRANSLATE(C1273, ""en"", ""de"")"),"Antwort")</f>
        <v>Antwort</v>
      </c>
      <c r="H1273" s="8" t="str">
        <f>IFERROR(__xludf.DUMMYFUNCTION("GOOGLETRANSLATE(C1273, ""en"", ""ru"")"),"отвечать")</f>
        <v>отвечать</v>
      </c>
      <c r="I1273" s="8" t="str">
        <f>IFERROR(__xludf.DUMMYFUNCTION("GOOGLETRANSLATE(C1273, ""en"", ""ar"")"),"إجابة")</f>
        <v>إجابة</v>
      </c>
      <c r="J1273" s="8"/>
      <c r="K1273" s="7" t="str">
        <f>IFERROR(__xludf.DUMMYFUNCTION("CONCAT(REGEXREPLACE(C1273,""[ ,]+"",""_""),"".mp3"")"),"answer.mp3")</f>
        <v>answer.mp3</v>
      </c>
      <c r="M1273" s="4" t="s">
        <v>10</v>
      </c>
    </row>
    <row r="1274" ht="15.75" customHeight="1">
      <c r="A1274" s="1">
        <v>2642.0</v>
      </c>
      <c r="B1274" s="3">
        <v>110.0</v>
      </c>
      <c r="C1274" s="7" t="s">
        <v>1286</v>
      </c>
      <c r="D1274" s="8" t="str">
        <f>IFERROR(__xludf.DUMMYFUNCTION("GOOGLETRANSLATE(C1274, ""en"", ""pt"")"),"aparecer")</f>
        <v>aparecer</v>
      </c>
      <c r="E1274" s="8" t="str">
        <f>IFERROR(__xludf.DUMMYFUNCTION("GOOGLETRANSLATE(C1274, ""en"", ""es"")"),"aparecer")</f>
        <v>aparecer</v>
      </c>
      <c r="F1274" s="8" t="str">
        <f>IFERROR(__xludf.DUMMYFUNCTION("GOOGLETRANSLATE(C1274, ""en"", ""fr"")"),"apparaître")</f>
        <v>apparaître</v>
      </c>
      <c r="G1274" s="8" t="str">
        <f>IFERROR(__xludf.DUMMYFUNCTION("GOOGLETRANSLATE(C1274, ""en"", ""de"")"),"erscheinen")</f>
        <v>erscheinen</v>
      </c>
      <c r="H1274" s="8" t="str">
        <f>IFERROR(__xludf.DUMMYFUNCTION("GOOGLETRANSLATE(C1274, ""en"", ""ru"")"),"появляться")</f>
        <v>появляться</v>
      </c>
      <c r="I1274" s="8" t="str">
        <f>IFERROR(__xludf.DUMMYFUNCTION("GOOGLETRANSLATE(C1274, ""en"", ""ar"")"),"يظهر")</f>
        <v>يظهر</v>
      </c>
      <c r="J1274" s="8"/>
      <c r="K1274" s="7" t="str">
        <f>IFERROR(__xludf.DUMMYFUNCTION("CONCAT(REGEXREPLACE(C1274,""[ ,]+"",""_""),"".mp3"")"),"appear.mp3")</f>
        <v>appear.mp3</v>
      </c>
      <c r="M1274" s="4" t="s">
        <v>10</v>
      </c>
    </row>
    <row r="1275" ht="15.75" customHeight="1">
      <c r="A1275" s="1">
        <v>2643.0</v>
      </c>
      <c r="B1275" s="3">
        <v>110.0</v>
      </c>
      <c r="C1275" s="7" t="s">
        <v>1287</v>
      </c>
      <c r="D1275" s="8" t="str">
        <f>IFERROR(__xludf.DUMMYFUNCTION("GOOGLETRANSLATE(C1275, ""en"", ""pt"")"),"aplicar")</f>
        <v>aplicar</v>
      </c>
      <c r="E1275" s="8" t="str">
        <f>IFERROR(__xludf.DUMMYFUNCTION("GOOGLETRANSLATE(C1275, ""en"", ""es"")"),"aplicar")</f>
        <v>aplicar</v>
      </c>
      <c r="F1275" s="8" t="str">
        <f>IFERROR(__xludf.DUMMYFUNCTION("GOOGLETRANSLATE(C1275, ""en"", ""fr"")"),"appliquer")</f>
        <v>appliquer</v>
      </c>
      <c r="G1275" s="8" t="str">
        <f>IFERROR(__xludf.DUMMYFUNCTION("GOOGLETRANSLATE(C1275, ""en"", ""de"")"),"anwenden")</f>
        <v>anwenden</v>
      </c>
      <c r="H1275" s="8" t="str">
        <f>IFERROR(__xludf.DUMMYFUNCTION("GOOGLETRANSLATE(C1275, ""en"", ""ru"")"),"применять")</f>
        <v>применять</v>
      </c>
      <c r="I1275" s="8" t="str">
        <f>IFERROR(__xludf.DUMMYFUNCTION("GOOGLETRANSLATE(C1275, ""en"", ""ar"")"),"يتقدم")</f>
        <v>يتقدم</v>
      </c>
      <c r="J1275" s="8"/>
      <c r="K1275" s="7" t="str">
        <f>IFERROR(__xludf.DUMMYFUNCTION("CONCAT(REGEXREPLACE(C1275,""[ ,]+"",""_""),"".mp3"")"),"apply.mp3")</f>
        <v>apply.mp3</v>
      </c>
      <c r="M1275" s="4" t="s">
        <v>10</v>
      </c>
    </row>
    <row r="1276" ht="15.75" customHeight="1">
      <c r="A1276" s="1">
        <v>2644.0</v>
      </c>
      <c r="B1276" s="3">
        <v>110.0</v>
      </c>
      <c r="C1276" s="7" t="s">
        <v>1288</v>
      </c>
      <c r="D1276" s="8" t="str">
        <f>IFERROR(__xludf.DUMMYFUNCTION("GOOGLETRANSLATE(C1276, ""en"", ""pt"")"),"arranjo")</f>
        <v>arranjo</v>
      </c>
      <c r="E1276" s="8" t="str">
        <f>IFERROR(__xludf.DUMMYFUNCTION("GOOGLETRANSLATE(C1276, ""en"", ""es"")"),"arreglar")</f>
        <v>arreglar</v>
      </c>
      <c r="F1276" s="8" t="str">
        <f>IFERROR(__xludf.DUMMYFUNCTION("GOOGLETRANSLATE(C1276, ""en"", ""fr"")"),"organiser")</f>
        <v>organiser</v>
      </c>
      <c r="G1276" s="8" t="str">
        <f>IFERROR(__xludf.DUMMYFUNCTION("GOOGLETRANSLATE(C1276, ""en"", ""de"")"),"arrangieren")</f>
        <v>arrangieren</v>
      </c>
      <c r="H1276" s="8" t="str">
        <f>IFERROR(__xludf.DUMMYFUNCTION("GOOGLETRANSLATE(C1276, ""en"", ""ru"")"),"договариваться")</f>
        <v>договариваться</v>
      </c>
      <c r="I1276" s="8" t="str">
        <f>IFERROR(__xludf.DUMMYFUNCTION("GOOGLETRANSLATE(C1276, ""en"", ""ar"")"),"يرتب")</f>
        <v>يرتب</v>
      </c>
      <c r="J1276" s="8"/>
      <c r="K1276" s="7" t="str">
        <f>IFERROR(__xludf.DUMMYFUNCTION("CONCAT(REGEXREPLACE(C1276,""[ ,]+"",""_""),"".mp3"")"),"arrange.mp3")</f>
        <v>arrange.mp3</v>
      </c>
      <c r="M1276" s="4" t="s">
        <v>10</v>
      </c>
    </row>
    <row r="1277" ht="15.75" customHeight="1">
      <c r="A1277" s="1">
        <v>2645.0</v>
      </c>
      <c r="B1277" s="3">
        <v>110.0</v>
      </c>
      <c r="C1277" s="7" t="s">
        <v>1289</v>
      </c>
      <c r="D1277" s="8" t="str">
        <f>IFERROR(__xludf.DUMMYFUNCTION("GOOGLETRANSLATE(C1277, ""en"", ""pt"")"),"chegar")</f>
        <v>chegar</v>
      </c>
      <c r="E1277" s="8" t="str">
        <f>IFERROR(__xludf.DUMMYFUNCTION("GOOGLETRANSLATE(C1277, ""en"", ""es"")"),"llegar")</f>
        <v>llegar</v>
      </c>
      <c r="F1277" s="8" t="str">
        <f>IFERROR(__xludf.DUMMYFUNCTION("GOOGLETRANSLATE(C1277, ""en"", ""fr"")"),"arriver")</f>
        <v>arriver</v>
      </c>
      <c r="G1277" s="8" t="str">
        <f>IFERROR(__xludf.DUMMYFUNCTION("GOOGLETRANSLATE(C1277, ""en"", ""de"")"),"ankommen")</f>
        <v>ankommen</v>
      </c>
      <c r="H1277" s="8" t="str">
        <f>IFERROR(__xludf.DUMMYFUNCTION("GOOGLETRANSLATE(C1277, ""en"", ""ru"")"),"приезжать")</f>
        <v>приезжать</v>
      </c>
      <c r="I1277" s="8" t="str">
        <f>IFERROR(__xludf.DUMMYFUNCTION("GOOGLETRANSLATE(C1277, ""en"", ""ar"")"),"يصل")</f>
        <v>يصل</v>
      </c>
      <c r="J1277" s="8"/>
      <c r="K1277" s="7" t="str">
        <f>IFERROR(__xludf.DUMMYFUNCTION("CONCAT(REGEXREPLACE(C1277,""[ ,]+"",""_""),"".mp3"")"),"arrive.mp3")</f>
        <v>arrive.mp3</v>
      </c>
      <c r="M1277" s="4" t="s">
        <v>10</v>
      </c>
    </row>
    <row r="1278" ht="15.75" customHeight="1">
      <c r="A1278" s="1">
        <v>2646.0</v>
      </c>
      <c r="B1278" s="3">
        <v>110.0</v>
      </c>
      <c r="C1278" s="7" t="s">
        <v>1290</v>
      </c>
      <c r="D1278" s="8" t="str">
        <f>IFERROR(__xludf.DUMMYFUNCTION("GOOGLETRANSLATE(C1278, ""en"", ""pt"")"),"perguntar")</f>
        <v>perguntar</v>
      </c>
      <c r="E1278" s="8" t="str">
        <f>IFERROR(__xludf.DUMMYFUNCTION("GOOGLETRANSLATE(C1278, ""en"", ""es"")"),"preguntar")</f>
        <v>preguntar</v>
      </c>
      <c r="F1278" s="8" t="str">
        <f>IFERROR(__xludf.DUMMYFUNCTION("GOOGLETRANSLATE(C1278, ""en"", ""fr"")"),"demander")</f>
        <v>demander</v>
      </c>
      <c r="G1278" s="8" t="str">
        <f>IFERROR(__xludf.DUMMYFUNCTION("GOOGLETRANSLATE(C1278, ""en"", ""de"")"),"fragen")</f>
        <v>fragen</v>
      </c>
      <c r="H1278" s="8" t="str">
        <f>IFERROR(__xludf.DUMMYFUNCTION("GOOGLETRANSLATE(C1278, ""en"", ""ru"")"),"просить")</f>
        <v>просить</v>
      </c>
      <c r="I1278" s="8" t="str">
        <f>IFERROR(__xludf.DUMMYFUNCTION("GOOGLETRANSLATE(C1278, ""en"", ""ar"")"),"بسأل")</f>
        <v>بسأل</v>
      </c>
      <c r="J1278" s="8"/>
      <c r="K1278" s="7" t="str">
        <f>IFERROR(__xludf.DUMMYFUNCTION("CONCAT(REGEXREPLACE(C1278,""[ ,]+"",""_""),"".mp3"")"),"ask.mp3")</f>
        <v>ask.mp3</v>
      </c>
      <c r="M1278" s="4" t="s">
        <v>10</v>
      </c>
    </row>
    <row r="1279" ht="15.75" customHeight="1">
      <c r="A1279" s="1">
        <v>2647.0</v>
      </c>
      <c r="B1279" s="3">
        <v>110.0</v>
      </c>
      <c r="C1279" s="7" t="s">
        <v>1291</v>
      </c>
      <c r="D1279" s="8" t="str">
        <f>IFERROR(__xludf.DUMMYFUNCTION("GOOGLETRANSLATE(C1279, ""en"", ""pt"")"),"assar")</f>
        <v>assar</v>
      </c>
      <c r="E1279" s="8" t="str">
        <f>IFERROR(__xludf.DUMMYFUNCTION("GOOGLETRANSLATE(C1279, ""en"", ""es"")"),"hornear")</f>
        <v>hornear</v>
      </c>
      <c r="F1279" s="8" t="str">
        <f>IFERROR(__xludf.DUMMYFUNCTION("GOOGLETRANSLATE(C1279, ""en"", ""fr"")"),"cuire")</f>
        <v>cuire</v>
      </c>
      <c r="G1279" s="8" t="str">
        <f>IFERROR(__xludf.DUMMYFUNCTION("GOOGLETRANSLATE(C1279, ""en"", ""de"")"),"backen")</f>
        <v>backen</v>
      </c>
      <c r="H1279" s="8" t="str">
        <f>IFERROR(__xludf.DUMMYFUNCTION("GOOGLETRANSLATE(C1279, ""en"", ""ru"")"),"выпечка")</f>
        <v>выпечка</v>
      </c>
      <c r="I1279" s="8" t="str">
        <f>IFERROR(__xludf.DUMMYFUNCTION("GOOGLETRANSLATE(C1279, ""en"", ""ar"")"),"خبز")</f>
        <v>خبز</v>
      </c>
      <c r="J1279" s="8"/>
      <c r="K1279" s="7" t="str">
        <f>IFERROR(__xludf.DUMMYFUNCTION("CONCAT(REGEXREPLACE(C1279,""[ ,]+"",""_""),"".mp3"")"),"bake.mp3")</f>
        <v>bake.mp3</v>
      </c>
      <c r="M1279" s="4" t="s">
        <v>10</v>
      </c>
    </row>
    <row r="1280" ht="15.75" customHeight="1">
      <c r="A1280" s="1">
        <v>2648.0</v>
      </c>
      <c r="B1280" s="3">
        <v>110.0</v>
      </c>
      <c r="C1280" s="7" t="s">
        <v>1292</v>
      </c>
      <c r="D1280" s="8" t="str">
        <f>IFERROR(__xludf.DUMMYFUNCTION("GOOGLETRANSLATE(C1280, ""en"", ""pt"")"),"equilíbrio")</f>
        <v>equilíbrio</v>
      </c>
      <c r="E1280" s="8" t="str">
        <f>IFERROR(__xludf.DUMMYFUNCTION("GOOGLETRANSLATE(C1280, ""en"", ""es"")"),"balance")</f>
        <v>balance</v>
      </c>
      <c r="F1280" s="8" t="str">
        <f>IFERROR(__xludf.DUMMYFUNCTION("GOOGLETRANSLATE(C1280, ""en"", ""fr"")"),"équilibre")</f>
        <v>équilibre</v>
      </c>
      <c r="G1280" s="8" t="str">
        <f>IFERROR(__xludf.DUMMYFUNCTION("GOOGLETRANSLATE(C1280, ""en"", ""de"")"),"Gleichgewicht")</f>
        <v>Gleichgewicht</v>
      </c>
      <c r="H1280" s="8" t="str">
        <f>IFERROR(__xludf.DUMMYFUNCTION("GOOGLETRANSLATE(C1280, ""en"", ""ru"")"),"баланс")</f>
        <v>баланс</v>
      </c>
      <c r="I1280" s="8" t="str">
        <f>IFERROR(__xludf.DUMMYFUNCTION("GOOGLETRANSLATE(C1280, ""en"", ""ar"")"),"توازن")</f>
        <v>توازن</v>
      </c>
      <c r="J1280" s="8"/>
      <c r="K1280" s="7" t="str">
        <f>IFERROR(__xludf.DUMMYFUNCTION("CONCAT(REGEXREPLACE(C1280,""[ ,]+"",""_""),"".mp3"")"),"balance.mp3")</f>
        <v>balance.mp3</v>
      </c>
      <c r="M1280" s="4" t="s">
        <v>10</v>
      </c>
    </row>
    <row r="1281" ht="15.75" customHeight="1">
      <c r="A1281" s="1">
        <v>2649.0</v>
      </c>
      <c r="B1281" s="3">
        <v>110.0</v>
      </c>
      <c r="C1281" s="7" t="s">
        <v>1293</v>
      </c>
      <c r="D1281" s="8" t="str">
        <f>IFERROR(__xludf.DUMMYFUNCTION("GOOGLETRANSLATE(C1281, ""en"", ""pt"")"),"acreditar")</f>
        <v>acreditar</v>
      </c>
      <c r="E1281" s="8" t="str">
        <f>IFERROR(__xludf.DUMMYFUNCTION("GOOGLETRANSLATE(C1281, ""en"", ""es"")"),"creer")</f>
        <v>creer</v>
      </c>
      <c r="F1281" s="8" t="str">
        <f>IFERROR(__xludf.DUMMYFUNCTION("GOOGLETRANSLATE(C1281, ""en"", ""fr"")"),"croire")</f>
        <v>croire</v>
      </c>
      <c r="G1281" s="8" t="str">
        <f>IFERROR(__xludf.DUMMYFUNCTION("GOOGLETRANSLATE(C1281, ""en"", ""de"")"),"glauben")</f>
        <v>glauben</v>
      </c>
      <c r="H1281" s="8" t="str">
        <f>IFERROR(__xludf.DUMMYFUNCTION("GOOGLETRANSLATE(C1281, ""en"", ""ru"")"),"полагать")</f>
        <v>полагать</v>
      </c>
      <c r="I1281" s="8" t="str">
        <f>IFERROR(__xludf.DUMMYFUNCTION("GOOGLETRANSLATE(C1281, ""en"", ""ar"")"),"يعتقد")</f>
        <v>يعتقد</v>
      </c>
      <c r="J1281" s="8"/>
      <c r="K1281" s="7" t="str">
        <f>IFERROR(__xludf.DUMMYFUNCTION("CONCAT(REGEXREPLACE(C1281,""[ ,]+"",""_""),"".mp3"")"),"believe.mp3")</f>
        <v>believe.mp3</v>
      </c>
      <c r="M1281" s="4" t="s">
        <v>10</v>
      </c>
    </row>
    <row r="1282" ht="15.75" customHeight="1">
      <c r="A1282" s="1">
        <v>2650.0</v>
      </c>
      <c r="B1282" s="3">
        <v>110.0</v>
      </c>
      <c r="C1282" s="7" t="s">
        <v>1294</v>
      </c>
      <c r="D1282" s="8" t="str">
        <f>IFERROR(__xludf.DUMMYFUNCTION("GOOGLETRANSLATE(C1282, ""en"", ""pt"")"),"pertencer")</f>
        <v>pertencer</v>
      </c>
      <c r="E1282" s="8" t="str">
        <f>IFERROR(__xludf.DUMMYFUNCTION("GOOGLETRANSLATE(C1282, ""en"", ""es"")"),"pertenecer")</f>
        <v>pertenecer</v>
      </c>
      <c r="F1282" s="8" t="str">
        <f>IFERROR(__xludf.DUMMYFUNCTION("GOOGLETRANSLATE(C1282, ""en"", ""fr"")"),"appartenir")</f>
        <v>appartenir</v>
      </c>
      <c r="G1282" s="8" t="str">
        <f>IFERROR(__xludf.DUMMYFUNCTION("GOOGLETRANSLATE(C1282, ""en"", ""de"")"),"gehören")</f>
        <v>gehören</v>
      </c>
      <c r="H1282" s="8" t="str">
        <f>IFERROR(__xludf.DUMMYFUNCTION("GOOGLETRANSLATE(C1282, ""en"", ""ru"")"),"принадлежать")</f>
        <v>принадлежать</v>
      </c>
      <c r="I1282" s="8" t="str">
        <f>IFERROR(__xludf.DUMMYFUNCTION("GOOGLETRANSLATE(C1282, ""en"", ""ar"")"),"ينتمي ل")</f>
        <v>ينتمي ل</v>
      </c>
      <c r="J1282" s="8"/>
      <c r="K1282" s="7" t="str">
        <f>IFERROR(__xludf.DUMMYFUNCTION("CONCAT(REGEXREPLACE(C1282,""[ ,]+"",""_""),"".mp3"")"),"belong.mp3")</f>
        <v>belong.mp3</v>
      </c>
      <c r="M1282" s="4" t="s">
        <v>10</v>
      </c>
    </row>
    <row r="1283" ht="15.75" customHeight="1">
      <c r="A1283" s="1">
        <v>2651.0</v>
      </c>
      <c r="B1283" s="3">
        <v>110.0</v>
      </c>
      <c r="C1283" s="7" t="s">
        <v>1295</v>
      </c>
      <c r="D1283" s="8" t="str">
        <f>IFERROR(__xludf.DUMMYFUNCTION("GOOGLETRANSLATE(C1283, ""en"", ""pt"")"),"emprestar")</f>
        <v>emprestar</v>
      </c>
      <c r="E1283" s="8" t="str">
        <f>IFERROR(__xludf.DUMMYFUNCTION("GOOGLETRANSLATE(C1283, ""en"", ""es"")"),"pedir prestado")</f>
        <v>pedir prestado</v>
      </c>
      <c r="F1283" s="8" t="str">
        <f>IFERROR(__xludf.DUMMYFUNCTION("GOOGLETRANSLATE(C1283, ""en"", ""fr"")"),"emprunter")</f>
        <v>emprunter</v>
      </c>
      <c r="G1283" s="8" t="str">
        <f>IFERROR(__xludf.DUMMYFUNCTION("GOOGLETRANSLATE(C1283, ""en"", ""de"")"),"ausleihen")</f>
        <v>ausleihen</v>
      </c>
      <c r="H1283" s="8" t="str">
        <f>IFERROR(__xludf.DUMMYFUNCTION("GOOGLETRANSLATE(C1283, ""en"", ""ru"")"),"занимать")</f>
        <v>занимать</v>
      </c>
      <c r="I1283" s="8" t="str">
        <f>IFERROR(__xludf.DUMMYFUNCTION("GOOGLETRANSLATE(C1283, ""en"", ""ar"")"),"يستعير")</f>
        <v>يستعير</v>
      </c>
      <c r="J1283" s="8"/>
      <c r="K1283" s="7" t="str">
        <f>IFERROR(__xludf.DUMMYFUNCTION("CONCAT(REGEXREPLACE(C1283,""[ ,]+"",""_""),"".mp3"")"),"borrow.mp3")</f>
        <v>borrow.mp3</v>
      </c>
      <c r="M1283" s="4" t="s">
        <v>10</v>
      </c>
    </row>
    <row r="1284" ht="15.75" customHeight="1">
      <c r="A1284" s="1">
        <v>2652.0</v>
      </c>
      <c r="B1284" s="3">
        <v>110.0</v>
      </c>
      <c r="C1284" s="7" t="s">
        <v>1296</v>
      </c>
      <c r="D1284" s="8" t="str">
        <f>IFERROR(__xludf.DUMMYFUNCTION("GOOGLETRANSLATE(C1284, ""en"", ""pt"")"),"escovar")</f>
        <v>escovar</v>
      </c>
      <c r="E1284" s="8" t="str">
        <f>IFERROR(__xludf.DUMMYFUNCTION("GOOGLETRANSLATE(C1284, ""en"", ""es"")"),"cepillar")</f>
        <v>cepillar</v>
      </c>
      <c r="F1284" s="8" t="str">
        <f>IFERROR(__xludf.DUMMYFUNCTION("GOOGLETRANSLATE(C1284, ""en"", ""fr"")"),"brosse")</f>
        <v>brosse</v>
      </c>
      <c r="G1284" s="8" t="str">
        <f>IFERROR(__xludf.DUMMYFUNCTION("GOOGLETRANSLATE(C1284, ""en"", ""de"")"),"Bürste")</f>
        <v>Bürste</v>
      </c>
      <c r="H1284" s="8" t="str">
        <f>IFERROR(__xludf.DUMMYFUNCTION("GOOGLETRANSLATE(C1284, ""en"", ""ru"")"),"щетка")</f>
        <v>щетка</v>
      </c>
      <c r="I1284" s="8" t="str">
        <f>IFERROR(__xludf.DUMMYFUNCTION("GOOGLETRANSLATE(C1284, ""en"", ""ar"")"),"فرشاة")</f>
        <v>فرشاة</v>
      </c>
      <c r="J1284" s="8"/>
      <c r="K1284" s="7" t="str">
        <f>IFERROR(__xludf.DUMMYFUNCTION("CONCAT(REGEXREPLACE(C1284,""[ ,]+"",""_""),"".mp3"")"),"brush.mp3")</f>
        <v>brush.mp3</v>
      </c>
      <c r="M1284" s="4" t="s">
        <v>10</v>
      </c>
    </row>
    <row r="1285" ht="15.75" customHeight="1">
      <c r="A1285" s="1">
        <v>2653.0</v>
      </c>
      <c r="B1285" s="3">
        <v>110.0</v>
      </c>
      <c r="C1285" s="7" t="s">
        <v>1297</v>
      </c>
      <c r="D1285" s="8" t="str">
        <f>IFERROR(__xludf.DUMMYFUNCTION("GOOGLETRANSLATE(C1285, ""en"", ""pt"")"),"queimar ")</f>
        <v>queimar </v>
      </c>
      <c r="E1285" s="8" t="str">
        <f>IFERROR(__xludf.DUMMYFUNCTION("GOOGLETRANSLATE(C1285, ""en"", ""es"")"),"quemar ")</f>
        <v>quemar </v>
      </c>
      <c r="F1285" s="8" t="str">
        <f>IFERROR(__xludf.DUMMYFUNCTION("GOOGLETRANSLATE(C1285, ""en"", ""fr"")"),"brûler ")</f>
        <v>brûler </v>
      </c>
      <c r="G1285" s="8" t="str">
        <f>IFERROR(__xludf.DUMMYFUNCTION("GOOGLETRANSLATE(C1285, ""en"", ""de"")"),"brennen")</f>
        <v>brennen</v>
      </c>
      <c r="H1285" s="8" t="str">
        <f>IFERROR(__xludf.DUMMYFUNCTION("GOOGLETRANSLATE(C1285, ""en"", ""ru"")"),"гореть ")</f>
        <v>гореть </v>
      </c>
      <c r="I1285" s="8" t="str">
        <f>IFERROR(__xludf.DUMMYFUNCTION("GOOGLETRANSLATE(C1285, ""en"", ""ar"")"),"يحرق ")</f>
        <v>يحرق </v>
      </c>
      <c r="J1285" s="8"/>
      <c r="K1285" s="7" t="str">
        <f>IFERROR(__xludf.DUMMYFUNCTION("CONCAT(REGEXREPLACE(C1285,""[ ,]+"",""_""),"".mp3"")"),"burn .mp3")</f>
        <v>burn .mp3</v>
      </c>
      <c r="M1285" s="4" t="s">
        <v>10</v>
      </c>
    </row>
    <row r="1286" ht="15.75" customHeight="1">
      <c r="A1286" s="1">
        <v>2654.0</v>
      </c>
      <c r="B1286" s="3">
        <v>110.0</v>
      </c>
      <c r="C1286" s="7" t="s">
        <v>1298</v>
      </c>
      <c r="D1286" s="8" t="str">
        <f>IFERROR(__xludf.DUMMYFUNCTION("GOOGLETRANSLATE(C1286, ""en"", ""pt"")"),"chamar")</f>
        <v>chamar</v>
      </c>
      <c r="E1286" s="8" t="str">
        <f>IFERROR(__xludf.DUMMYFUNCTION("GOOGLETRANSLATE(C1286, ""en"", ""es"")"),"llamar")</f>
        <v>llamar</v>
      </c>
      <c r="F1286" s="8" t="str">
        <f>IFERROR(__xludf.DUMMYFUNCTION("GOOGLETRANSLATE(C1286, ""en"", ""fr"")"),"appel")</f>
        <v>appel</v>
      </c>
      <c r="G1286" s="8" t="str">
        <f>IFERROR(__xludf.DUMMYFUNCTION("GOOGLETRANSLATE(C1286, ""en"", ""de"")"),"Anruf")</f>
        <v>Anruf</v>
      </c>
      <c r="H1286" s="8" t="str">
        <f>IFERROR(__xludf.DUMMYFUNCTION("GOOGLETRANSLATE(C1286, ""en"", ""ru"")"),"вызов")</f>
        <v>вызов</v>
      </c>
      <c r="I1286" s="8" t="str">
        <f>IFERROR(__xludf.DUMMYFUNCTION("GOOGLETRANSLATE(C1286, ""en"", ""ar"")"),"يتصل")</f>
        <v>يتصل</v>
      </c>
      <c r="J1286" s="8"/>
      <c r="K1286" s="7" t="str">
        <f>IFERROR(__xludf.DUMMYFUNCTION("CONCAT(REGEXREPLACE(C1286,""[ ,]+"",""_""),"".mp3"")"),"call.mp3")</f>
        <v>call.mp3</v>
      </c>
      <c r="M1286" s="4" t="s">
        <v>10</v>
      </c>
    </row>
    <row r="1287" ht="15.75" customHeight="1">
      <c r="A1287" s="1">
        <v>2655.0</v>
      </c>
      <c r="B1287" s="3">
        <v>110.0</v>
      </c>
      <c r="C1287" s="7" t="s">
        <v>1299</v>
      </c>
      <c r="D1287" s="8" t="str">
        <f>IFERROR(__xludf.DUMMYFUNCTION("GOOGLETRANSLATE(C1287, ""en"", ""pt"")"),"cuidados")</f>
        <v>cuidados</v>
      </c>
      <c r="E1287" s="8" t="str">
        <f>IFERROR(__xludf.DUMMYFUNCTION("GOOGLETRANSLATE(C1287, ""en"", ""es"")"),"cuidado")</f>
        <v>cuidado</v>
      </c>
      <c r="F1287" s="8" t="str">
        <f>IFERROR(__xludf.DUMMYFUNCTION("GOOGLETRANSLATE(C1287, ""en"", ""fr"")"),"soins")</f>
        <v>soins</v>
      </c>
      <c r="G1287" s="8" t="str">
        <f>IFERROR(__xludf.DUMMYFUNCTION("GOOGLETRANSLATE(C1287, ""en"", ""de"")"),"Pflege")</f>
        <v>Pflege</v>
      </c>
      <c r="H1287" s="8" t="str">
        <f>IFERROR(__xludf.DUMMYFUNCTION("GOOGLETRANSLATE(C1287, ""en"", ""ru"")"),"уход")</f>
        <v>уход</v>
      </c>
      <c r="I1287" s="8" t="str">
        <f>IFERROR(__xludf.DUMMYFUNCTION("GOOGLETRANSLATE(C1287, ""en"", ""ar"")"),"الرعاية")</f>
        <v>الرعاية</v>
      </c>
      <c r="J1287" s="8"/>
      <c r="K1287" s="7" t="str">
        <f>IFERROR(__xludf.DUMMYFUNCTION("CONCAT(REGEXREPLACE(C1287,""[ ,]+"",""_""),"".mp3"")"),"care.mp3")</f>
        <v>care.mp3</v>
      </c>
      <c r="M1287" s="4" t="s">
        <v>10</v>
      </c>
    </row>
    <row r="1288" ht="15.75" customHeight="1">
      <c r="A1288" s="1">
        <v>2656.0</v>
      </c>
      <c r="B1288" s="3">
        <v>110.0</v>
      </c>
      <c r="C1288" s="7" t="s">
        <v>1300</v>
      </c>
      <c r="D1288" s="8" t="str">
        <f>IFERROR(__xludf.DUMMYFUNCTION("GOOGLETRANSLATE(C1288, ""en"", ""pt"")"),"carregar")</f>
        <v>carregar</v>
      </c>
      <c r="E1288" s="8" t="str">
        <f>IFERROR(__xludf.DUMMYFUNCTION("GOOGLETRANSLATE(C1288, ""en"", ""es"")"),"llevar")</f>
        <v>llevar</v>
      </c>
      <c r="F1288" s="8" t="str">
        <f>IFERROR(__xludf.DUMMYFUNCTION("GOOGLETRANSLATE(C1288, ""en"", ""fr"")"),"porter")</f>
        <v>porter</v>
      </c>
      <c r="G1288" s="8" t="str">
        <f>IFERROR(__xludf.DUMMYFUNCTION("GOOGLETRANSLATE(C1288, ""en"", ""de"")"),"tragen")</f>
        <v>tragen</v>
      </c>
      <c r="H1288" s="8" t="str">
        <f>IFERROR(__xludf.DUMMYFUNCTION("GOOGLETRANSLATE(C1288, ""en"", ""ru"")"),"нести")</f>
        <v>нести</v>
      </c>
      <c r="I1288" s="8" t="str">
        <f>IFERROR(__xludf.DUMMYFUNCTION("GOOGLETRANSLATE(C1288, ""en"", ""ar"")"),"يحمل")</f>
        <v>يحمل</v>
      </c>
      <c r="J1288" s="8"/>
      <c r="K1288" s="7" t="str">
        <f>IFERROR(__xludf.DUMMYFUNCTION("CONCAT(REGEXREPLACE(C1288,""[ ,]+"",""_""),"".mp3"")"),"carry.mp3")</f>
        <v>carry.mp3</v>
      </c>
      <c r="M1288" s="4" t="s">
        <v>10</v>
      </c>
    </row>
    <row r="1289" ht="15.75" customHeight="1">
      <c r="A1289" s="1">
        <v>2657.0</v>
      </c>
      <c r="B1289" s="3">
        <v>110.0</v>
      </c>
      <c r="C1289" s="7" t="s">
        <v>1301</v>
      </c>
      <c r="D1289" s="8" t="str">
        <f>IFERROR(__xludf.DUMMYFUNCTION("GOOGLETRANSLATE(C1289, ""en"", ""pt"")"),"mudar")</f>
        <v>mudar</v>
      </c>
      <c r="E1289" s="8" t="str">
        <f>IFERROR(__xludf.DUMMYFUNCTION("GOOGLETRANSLATE(C1289, ""en"", ""es"")"),"cambiar")</f>
        <v>cambiar</v>
      </c>
      <c r="F1289" s="8" t="str">
        <f>IFERROR(__xludf.DUMMYFUNCTION("GOOGLETRANSLATE(C1289, ""en"", ""fr"")"),"changement")</f>
        <v>changement</v>
      </c>
      <c r="G1289" s="8" t="str">
        <f>IFERROR(__xludf.DUMMYFUNCTION("GOOGLETRANSLATE(C1289, ""en"", ""de"")"),"ändern")</f>
        <v>ändern</v>
      </c>
      <c r="H1289" s="8" t="str">
        <f>IFERROR(__xludf.DUMMYFUNCTION("GOOGLETRANSLATE(C1289, ""en"", ""ru"")"),"изменять")</f>
        <v>изменять</v>
      </c>
      <c r="I1289" s="8" t="str">
        <f>IFERROR(__xludf.DUMMYFUNCTION("GOOGLETRANSLATE(C1289, ""en"", ""ar"")"),"يتغير")</f>
        <v>يتغير</v>
      </c>
      <c r="J1289" s="8"/>
      <c r="K1289" s="7" t="str">
        <f>IFERROR(__xludf.DUMMYFUNCTION("CONCAT(REGEXREPLACE(C1289,""[ ,]+"",""_""),"".mp3"")"),"change.mp3")</f>
        <v>change.mp3</v>
      </c>
      <c r="M1289" s="4" t="s">
        <v>10</v>
      </c>
    </row>
    <row r="1290" ht="15.75" customHeight="1">
      <c r="A1290" s="1">
        <v>2658.0</v>
      </c>
      <c r="B1290" s="3">
        <v>110.0</v>
      </c>
      <c r="C1290" s="7" t="s">
        <v>1302</v>
      </c>
      <c r="D1290" s="8" t="str">
        <f>IFERROR(__xludf.DUMMYFUNCTION("GOOGLETRANSLATE(C1290, ""en"", ""pt"")"),"verificar")</f>
        <v>verificar</v>
      </c>
      <c r="E1290" s="8" t="str">
        <f>IFERROR(__xludf.DUMMYFUNCTION("GOOGLETRANSLATE(C1290, ""en"", ""es"")"),"controlar")</f>
        <v>controlar</v>
      </c>
      <c r="F1290" s="8" t="str">
        <f>IFERROR(__xludf.DUMMYFUNCTION("GOOGLETRANSLATE(C1290, ""en"", ""fr"")"),"vérifier")</f>
        <v>vérifier</v>
      </c>
      <c r="G1290" s="8" t="str">
        <f>IFERROR(__xludf.DUMMYFUNCTION("GOOGLETRANSLATE(C1290, ""en"", ""de"")"),"überprüfen")</f>
        <v>überprüfen</v>
      </c>
      <c r="H1290" s="8" t="str">
        <f>IFERROR(__xludf.DUMMYFUNCTION("GOOGLETRANSLATE(C1290, ""en"", ""ru"")"),"проверять")</f>
        <v>проверять</v>
      </c>
      <c r="I1290" s="8" t="str">
        <f>IFERROR(__xludf.DUMMYFUNCTION("GOOGLETRANSLATE(C1290, ""en"", ""ar"")"),"يفحص")</f>
        <v>يفحص</v>
      </c>
      <c r="J1290" s="8"/>
      <c r="K1290" s="7" t="str">
        <f>IFERROR(__xludf.DUMMYFUNCTION("CONCAT(REGEXREPLACE(C1290,""[ ,]+"",""_""),"".mp3"")"),"check.mp3")</f>
        <v>check.mp3</v>
      </c>
      <c r="M1290" s="4" t="s">
        <v>10</v>
      </c>
    </row>
    <row r="1291" ht="15.75" customHeight="1">
      <c r="A1291" s="1">
        <v>2659.0</v>
      </c>
      <c r="B1291" s="3">
        <v>110.0</v>
      </c>
      <c r="C1291" s="7" t="s">
        <v>1303</v>
      </c>
      <c r="D1291" s="8" t="str">
        <f>IFERROR(__xludf.DUMMYFUNCTION("GOOGLETRANSLATE(C1291, ""en"", ""pt"")"),"limpar")</f>
        <v>limpar</v>
      </c>
      <c r="E1291" s="8" t="str">
        <f>IFERROR(__xludf.DUMMYFUNCTION("GOOGLETRANSLATE(C1291, ""en"", ""es"")"),"limpio")</f>
        <v>limpio</v>
      </c>
      <c r="F1291" s="8" t="str">
        <f>IFERROR(__xludf.DUMMYFUNCTION("GOOGLETRANSLATE(C1291, ""en"", ""fr"")"),"faire le ménage")</f>
        <v>faire le ménage</v>
      </c>
      <c r="G1291" s="8" t="str">
        <f>IFERROR(__xludf.DUMMYFUNCTION("GOOGLETRANSLATE(C1291, ""en"", ""de"")"),"sauber")</f>
        <v>sauber</v>
      </c>
      <c r="H1291" s="8" t="str">
        <f>IFERROR(__xludf.DUMMYFUNCTION("GOOGLETRANSLATE(C1291, ""en"", ""ru"")"),"чистый")</f>
        <v>чистый</v>
      </c>
      <c r="I1291" s="8" t="str">
        <f>IFERROR(__xludf.DUMMYFUNCTION("GOOGLETRANSLATE(C1291, ""en"", ""ar"")"),"ينظف")</f>
        <v>ينظف</v>
      </c>
      <c r="J1291" s="8"/>
      <c r="K1291" s="7" t="str">
        <f>IFERROR(__xludf.DUMMYFUNCTION("CONCAT(REGEXREPLACE(C1291,""[ ,]+"",""_""),"".mp3"")"),"clean.mp3")</f>
        <v>clean.mp3</v>
      </c>
      <c r="M1291" s="4" t="s">
        <v>10</v>
      </c>
    </row>
    <row r="1292" ht="15.75" customHeight="1">
      <c r="A1292" s="1">
        <v>2660.0</v>
      </c>
      <c r="B1292" s="3">
        <v>110.0</v>
      </c>
      <c r="C1292" s="7" t="s">
        <v>1304</v>
      </c>
      <c r="D1292" s="8" t="str">
        <f>IFERROR(__xludf.DUMMYFUNCTION("GOOGLETRANSLATE(C1292, ""en"", ""pt"")"),"fechar")</f>
        <v>fechar</v>
      </c>
      <c r="E1292" s="8" t="str">
        <f>IFERROR(__xludf.DUMMYFUNCTION("GOOGLETRANSLATE(C1292, ""en"", ""es"")"),"cerca")</f>
        <v>cerca</v>
      </c>
      <c r="F1292" s="8" t="str">
        <f>IFERROR(__xludf.DUMMYFUNCTION("GOOGLETRANSLATE(C1292, ""en"", ""fr"")"),"fermer")</f>
        <v>fermer</v>
      </c>
      <c r="G1292" s="8" t="str">
        <f>IFERROR(__xludf.DUMMYFUNCTION("GOOGLETRANSLATE(C1292, ""en"", ""de"")"),"schließen")</f>
        <v>schließen</v>
      </c>
      <c r="H1292" s="8" t="str">
        <f>IFERROR(__xludf.DUMMYFUNCTION("GOOGLETRANSLATE(C1292, ""en"", ""ru"")"),"закрывать")</f>
        <v>закрывать</v>
      </c>
      <c r="I1292" s="8" t="str">
        <f>IFERROR(__xludf.DUMMYFUNCTION("GOOGLETRANSLATE(C1292, ""en"", ""ar"")"),"يغلق")</f>
        <v>يغلق</v>
      </c>
      <c r="J1292" s="8"/>
      <c r="K1292" s="7" t="str">
        <f>IFERROR(__xludf.DUMMYFUNCTION("CONCAT(REGEXREPLACE(C1292,""[ ,]+"",""_""),"".mp3"")"),"close.mp3")</f>
        <v>close.mp3</v>
      </c>
      <c r="M1292" s="4" t="s">
        <v>10</v>
      </c>
    </row>
    <row r="1293" ht="15.75" customHeight="1">
      <c r="A1293" s="1">
        <v>2661.0</v>
      </c>
      <c r="B1293" s="3">
        <v>110.0</v>
      </c>
      <c r="C1293" s="7" t="s">
        <v>1305</v>
      </c>
      <c r="D1293" s="8" t="str">
        <f>IFERROR(__xludf.DUMMYFUNCTION("GOOGLETRANSLATE(C1293, ""en"", ""pt"")"),"coletar")</f>
        <v>coletar</v>
      </c>
      <c r="E1293" s="8" t="str">
        <f>IFERROR(__xludf.DUMMYFUNCTION("GOOGLETRANSLATE(C1293, ""en"", ""es"")"),"recolectar")</f>
        <v>recolectar</v>
      </c>
      <c r="F1293" s="8" t="str">
        <f>IFERROR(__xludf.DUMMYFUNCTION("GOOGLETRANSLATE(C1293, ""en"", ""fr"")"),"collecter")</f>
        <v>collecter</v>
      </c>
      <c r="G1293" s="8" t="str">
        <f>IFERROR(__xludf.DUMMYFUNCTION("GOOGLETRANSLATE(C1293, ""en"", ""de"")"),"sammeln")</f>
        <v>sammeln</v>
      </c>
      <c r="H1293" s="8" t="str">
        <f>IFERROR(__xludf.DUMMYFUNCTION("GOOGLETRANSLATE(C1293, ""en"", ""ru"")"),"собирать")</f>
        <v>собирать</v>
      </c>
      <c r="I1293" s="8" t="str">
        <f>IFERROR(__xludf.DUMMYFUNCTION("GOOGLETRANSLATE(C1293, ""en"", ""ar"")"),"يجمع")</f>
        <v>يجمع</v>
      </c>
      <c r="J1293" s="8"/>
      <c r="K1293" s="7" t="str">
        <f>IFERROR(__xludf.DUMMYFUNCTION("CONCAT(REGEXREPLACE(C1293,""[ ,]+"",""_""),"".mp3"")"),"collect.mp3")</f>
        <v>collect.mp3</v>
      </c>
      <c r="M1293" s="4" t="s">
        <v>10</v>
      </c>
    </row>
    <row r="1294" ht="15.75" customHeight="1">
      <c r="A1294" s="1">
        <v>2662.0</v>
      </c>
      <c r="B1294" s="3">
        <v>110.0</v>
      </c>
      <c r="C1294" s="7" t="s">
        <v>1306</v>
      </c>
      <c r="D1294" s="8" t="str">
        <f>IFERROR(__xludf.DUMMYFUNCTION("GOOGLETRANSLATE(C1294, ""en"", ""pt"")"),"comparar")</f>
        <v>comparar</v>
      </c>
      <c r="E1294" s="8" t="str">
        <f>IFERROR(__xludf.DUMMYFUNCTION("GOOGLETRANSLATE(C1294, ""en"", ""es"")"),"comparar")</f>
        <v>comparar</v>
      </c>
      <c r="F1294" s="8" t="str">
        <f>IFERROR(__xludf.DUMMYFUNCTION("GOOGLETRANSLATE(C1294, ""en"", ""fr"")"),"comparer")</f>
        <v>comparer</v>
      </c>
      <c r="G1294" s="8" t="str">
        <f>IFERROR(__xludf.DUMMYFUNCTION("GOOGLETRANSLATE(C1294, ""en"", ""de"")"),"vergleichen")</f>
        <v>vergleichen</v>
      </c>
      <c r="H1294" s="8" t="str">
        <f>IFERROR(__xludf.DUMMYFUNCTION("GOOGLETRANSLATE(C1294, ""en"", ""ru"")"),"сравнивать")</f>
        <v>сравнивать</v>
      </c>
      <c r="I1294" s="8" t="str">
        <f>IFERROR(__xludf.DUMMYFUNCTION("GOOGLETRANSLATE(C1294, ""en"", ""ar"")"),"يقارن")</f>
        <v>يقارن</v>
      </c>
      <c r="J1294" s="8"/>
      <c r="K1294" s="7" t="str">
        <f>IFERROR(__xludf.DUMMYFUNCTION("CONCAT(REGEXREPLACE(C1294,""[ ,]+"",""_""),"".mp3"")"),"compare.mp3")</f>
        <v>compare.mp3</v>
      </c>
      <c r="M1294" s="4" t="s">
        <v>10</v>
      </c>
    </row>
    <row r="1295" ht="15.75" customHeight="1">
      <c r="A1295" s="1">
        <v>2663.0</v>
      </c>
      <c r="B1295" s="3">
        <v>110.0</v>
      </c>
      <c r="C1295" s="7" t="s">
        <v>1307</v>
      </c>
      <c r="D1295" s="8" t="str">
        <f>IFERROR(__xludf.DUMMYFUNCTION("GOOGLETRANSLATE(C1295, ""en"", ""pt"")"),"reclamar")</f>
        <v>reclamar</v>
      </c>
      <c r="E1295" s="8" t="str">
        <f>IFERROR(__xludf.DUMMYFUNCTION("GOOGLETRANSLATE(C1295, ""en"", ""es"")"),"quejarse")</f>
        <v>quejarse</v>
      </c>
      <c r="F1295" s="8" t="str">
        <f>IFERROR(__xludf.DUMMYFUNCTION("GOOGLETRANSLATE(C1295, ""en"", ""fr"")"),"se plaindre")</f>
        <v>se plaindre</v>
      </c>
      <c r="G1295" s="8" t="str">
        <f>IFERROR(__xludf.DUMMYFUNCTION("GOOGLETRANSLATE(C1295, ""en"", ""de"")"),"beschweren")</f>
        <v>beschweren</v>
      </c>
      <c r="H1295" s="8" t="str">
        <f>IFERROR(__xludf.DUMMYFUNCTION("GOOGLETRANSLATE(C1295, ""en"", ""ru"")"),"жаловаться")</f>
        <v>жаловаться</v>
      </c>
      <c r="I1295" s="8" t="str">
        <f>IFERROR(__xludf.DUMMYFUNCTION("GOOGLETRANSLATE(C1295, ""en"", ""ar"")"),"يشتكي")</f>
        <v>يشتكي</v>
      </c>
      <c r="J1295" s="8"/>
      <c r="K1295" s="7" t="str">
        <f>IFERROR(__xludf.DUMMYFUNCTION("CONCAT(REGEXREPLACE(C1295,""[ ,]+"",""_""),"".mp3"")"),"complain.mp3")</f>
        <v>complain.mp3</v>
      </c>
      <c r="M1295" s="4" t="s">
        <v>10</v>
      </c>
    </row>
    <row r="1296" ht="15.75" customHeight="1">
      <c r="A1296" s="1">
        <v>2664.0</v>
      </c>
      <c r="B1296" s="3">
        <v>110.0</v>
      </c>
      <c r="C1296" s="7" t="s">
        <v>1308</v>
      </c>
      <c r="D1296" s="8" t="str">
        <f>IFERROR(__xludf.DUMMYFUNCTION("GOOGLETRANSLATE(C1296, ""en"", ""pt"")"),"completo")</f>
        <v>completo</v>
      </c>
      <c r="E1296" s="8" t="str">
        <f>IFERROR(__xludf.DUMMYFUNCTION("GOOGLETRANSLATE(C1296, ""en"", ""es"")"),"completo")</f>
        <v>completo</v>
      </c>
      <c r="F1296" s="8" t="str">
        <f>IFERROR(__xludf.DUMMYFUNCTION("GOOGLETRANSLATE(C1296, ""en"", ""fr"")"),"complet")</f>
        <v>complet</v>
      </c>
      <c r="G1296" s="8" t="str">
        <f>IFERROR(__xludf.DUMMYFUNCTION("GOOGLETRANSLATE(C1296, ""en"", ""de"")"),"vollständig")</f>
        <v>vollständig</v>
      </c>
      <c r="H1296" s="8" t="str">
        <f>IFERROR(__xludf.DUMMYFUNCTION("GOOGLETRANSLATE(C1296, ""en"", ""ru"")"),"полный")</f>
        <v>полный</v>
      </c>
      <c r="I1296" s="8" t="str">
        <f>IFERROR(__xludf.DUMMYFUNCTION("GOOGLETRANSLATE(C1296, ""en"", ""ar"")"),"مكتمل")</f>
        <v>مكتمل</v>
      </c>
      <c r="J1296" s="8"/>
      <c r="K1296" s="7" t="str">
        <f>IFERROR(__xludf.DUMMYFUNCTION("CONCAT(REGEXREPLACE(C1296,""[ ,]+"",""_""),"".mp3"")"),"complete.mp3")</f>
        <v>complete.mp3</v>
      </c>
      <c r="M1296" s="4" t="s">
        <v>10</v>
      </c>
    </row>
    <row r="1297" ht="15.75" customHeight="1">
      <c r="A1297" s="1">
        <v>2665.0</v>
      </c>
      <c r="B1297" s="3">
        <v>110.0</v>
      </c>
      <c r="C1297" s="7" t="s">
        <v>1309</v>
      </c>
      <c r="D1297" s="8" t="str">
        <f>IFERROR(__xludf.DUMMYFUNCTION("GOOGLETRANSLATE(C1297, ""en"", ""pt"")"),"considerar")</f>
        <v>considerar</v>
      </c>
      <c r="E1297" s="8" t="str">
        <f>IFERROR(__xludf.DUMMYFUNCTION("GOOGLETRANSLATE(C1297, ""en"", ""es"")"),"considerar")</f>
        <v>considerar</v>
      </c>
      <c r="F1297" s="8" t="str">
        <f>IFERROR(__xludf.DUMMYFUNCTION("GOOGLETRANSLATE(C1297, ""en"", ""fr"")"),"considérer")</f>
        <v>considérer</v>
      </c>
      <c r="G1297" s="8" t="str">
        <f>IFERROR(__xludf.DUMMYFUNCTION("GOOGLETRANSLATE(C1297, ""en"", ""de"")"),"halten")</f>
        <v>halten</v>
      </c>
      <c r="H1297" s="8" t="str">
        <f>IFERROR(__xludf.DUMMYFUNCTION("GOOGLETRANSLATE(C1297, ""en"", ""ru"")"),"учитывать")</f>
        <v>учитывать</v>
      </c>
      <c r="I1297" s="8" t="str">
        <f>IFERROR(__xludf.DUMMYFUNCTION("GOOGLETRANSLATE(C1297, ""en"", ""ar"")"),"يعتبر")</f>
        <v>يعتبر</v>
      </c>
      <c r="J1297" s="8"/>
      <c r="K1297" s="7" t="str">
        <f>IFERROR(__xludf.DUMMYFUNCTION("CONCAT(REGEXREPLACE(C1297,""[ ,]+"",""_""),"".mp3"")"),"consider.mp3")</f>
        <v>consider.mp3</v>
      </c>
      <c r="M1297" s="4" t="s">
        <v>10</v>
      </c>
    </row>
    <row r="1298" ht="15.75" customHeight="1">
      <c r="A1298" s="1">
        <v>2666.0</v>
      </c>
      <c r="B1298" s="3">
        <v>110.0</v>
      </c>
      <c r="C1298" s="7" t="s">
        <v>1310</v>
      </c>
      <c r="D1298" s="8" t="str">
        <f>IFERROR(__xludf.DUMMYFUNCTION("GOOGLETRANSLATE(C1298, ""en"", ""pt"")"),"continuar")</f>
        <v>continuar</v>
      </c>
      <c r="E1298" s="8" t="str">
        <f>IFERROR(__xludf.DUMMYFUNCTION("GOOGLETRANSLATE(C1298, ""en"", ""es"")"),"continuar")</f>
        <v>continuar</v>
      </c>
      <c r="F1298" s="8" t="str">
        <f>IFERROR(__xludf.DUMMYFUNCTION("GOOGLETRANSLATE(C1298, ""en"", ""fr"")"),"continuer")</f>
        <v>continuer</v>
      </c>
      <c r="G1298" s="8" t="str">
        <f>IFERROR(__xludf.DUMMYFUNCTION("GOOGLETRANSLATE(C1298, ""en"", ""de"")"),"weitermachen")</f>
        <v>weitermachen</v>
      </c>
      <c r="H1298" s="8" t="str">
        <f>IFERROR(__xludf.DUMMYFUNCTION("GOOGLETRANSLATE(C1298, ""en"", ""ru"")"),"продолжать")</f>
        <v>продолжать</v>
      </c>
      <c r="I1298" s="8" t="str">
        <f>IFERROR(__xludf.DUMMYFUNCTION("GOOGLETRANSLATE(C1298, ""en"", ""ar"")"),"يكمل")</f>
        <v>يكمل</v>
      </c>
      <c r="J1298" s="8"/>
      <c r="K1298" s="7" t="str">
        <f>IFERROR(__xludf.DUMMYFUNCTION("CONCAT(REGEXREPLACE(C1298,""[ ,]+"",""_""),"".mp3"")"),"continue.mp3")</f>
        <v>continue.mp3</v>
      </c>
      <c r="M1298" s="4" t="s">
        <v>10</v>
      </c>
    </row>
    <row r="1299" ht="15.75" customHeight="1">
      <c r="A1299" s="1">
        <v>2667.0</v>
      </c>
      <c r="B1299" s="3">
        <v>110.0</v>
      </c>
      <c r="C1299" s="7" t="s">
        <v>1311</v>
      </c>
      <c r="D1299" s="8" t="str">
        <f>IFERROR(__xludf.DUMMYFUNCTION("GOOGLETRANSLATE(C1299, ""en"", ""pt"")"),"controlar")</f>
        <v>controlar</v>
      </c>
      <c r="E1299" s="8" t="str">
        <f>IFERROR(__xludf.DUMMYFUNCTION("GOOGLETRANSLATE(C1299, ""en"", ""es"")"),"control")</f>
        <v>control</v>
      </c>
      <c r="F1299" s="8" t="str">
        <f>IFERROR(__xludf.DUMMYFUNCTION("GOOGLETRANSLATE(C1299, ""en"", ""fr"")"),"contrôle")</f>
        <v>contrôle</v>
      </c>
      <c r="G1299" s="8" t="str">
        <f>IFERROR(__xludf.DUMMYFUNCTION("GOOGLETRANSLATE(C1299, ""en"", ""de"")"),"Kontrolle")</f>
        <v>Kontrolle</v>
      </c>
      <c r="H1299" s="8" t="str">
        <f>IFERROR(__xludf.DUMMYFUNCTION("GOOGLETRANSLATE(C1299, ""en"", ""ru"")"),"контроль")</f>
        <v>контроль</v>
      </c>
      <c r="I1299" s="8" t="str">
        <f>IFERROR(__xludf.DUMMYFUNCTION("GOOGLETRANSLATE(C1299, ""en"", ""ar"")"),"يتحكم")</f>
        <v>يتحكم</v>
      </c>
      <c r="J1299" s="8"/>
      <c r="K1299" s="7" t="str">
        <f>IFERROR(__xludf.DUMMYFUNCTION("CONCAT(REGEXREPLACE(C1299,""[ ,]+"",""_""),"".mp3"")"),"control.mp3")</f>
        <v>control.mp3</v>
      </c>
      <c r="M1299" s="4" t="s">
        <v>10</v>
      </c>
    </row>
    <row r="1300" ht="15.75" customHeight="1">
      <c r="A1300" s="1">
        <v>2668.0</v>
      </c>
      <c r="B1300" s="3">
        <v>110.0</v>
      </c>
      <c r="C1300" s="7" t="s">
        <v>1211</v>
      </c>
      <c r="D1300" s="8" t="str">
        <f>IFERROR(__xludf.DUMMYFUNCTION("GOOGLETRANSLATE(C1300, ""en"", ""pt"")"),"cozinhar")</f>
        <v>cozinhar</v>
      </c>
      <c r="E1300" s="8" t="str">
        <f>IFERROR(__xludf.DUMMYFUNCTION("GOOGLETRANSLATE(C1300, ""en"", ""es"")"),"cocinar")</f>
        <v>cocinar</v>
      </c>
      <c r="F1300" s="8" t="str">
        <f>IFERROR(__xludf.DUMMYFUNCTION("GOOGLETRANSLATE(C1300, ""en"", ""fr"")"),"cuisiner")</f>
        <v>cuisiner</v>
      </c>
      <c r="G1300" s="8" t="str">
        <f>IFERROR(__xludf.DUMMYFUNCTION("GOOGLETRANSLATE(C1300, ""en"", ""de"")"),"kochen")</f>
        <v>kochen</v>
      </c>
      <c r="H1300" s="8" t="str">
        <f>IFERROR(__xludf.DUMMYFUNCTION("GOOGLETRANSLATE(C1300, ""en"", ""ru"")"),"готовить")</f>
        <v>готовить</v>
      </c>
      <c r="I1300" s="8" t="str">
        <f>IFERROR(__xludf.DUMMYFUNCTION("GOOGLETRANSLATE(C1300, ""en"", ""ar"")"),"يطبخ")</f>
        <v>يطبخ</v>
      </c>
      <c r="J1300" s="8"/>
      <c r="K1300" s="7" t="str">
        <f>IFERROR(__xludf.DUMMYFUNCTION("CONCAT(REGEXREPLACE(C1300,""[ ,]+"",""_""),"".mp3"")"),"cook.mp3")</f>
        <v>cook.mp3</v>
      </c>
      <c r="M1300" s="4" t="s">
        <v>10</v>
      </c>
    </row>
    <row r="1301" ht="15.75" customHeight="1">
      <c r="A1301" s="1">
        <v>2669.0</v>
      </c>
      <c r="B1301" s="3">
        <v>110.0</v>
      </c>
      <c r="C1301" s="7" t="s">
        <v>1312</v>
      </c>
      <c r="D1301" s="8" t="str">
        <f>IFERROR(__xludf.DUMMYFUNCTION("GOOGLETRANSLATE(C1301, ""en"", ""pt"")"),"cópia")</f>
        <v>cópia</v>
      </c>
      <c r="E1301" s="8" t="str">
        <f>IFERROR(__xludf.DUMMYFUNCTION("GOOGLETRANSLATE(C1301, ""en"", ""es"")"),"Copiar")</f>
        <v>Copiar</v>
      </c>
      <c r="F1301" s="8" t="str">
        <f>IFERROR(__xludf.DUMMYFUNCTION("GOOGLETRANSLATE(C1301, ""en"", ""fr"")"),"copie")</f>
        <v>copie</v>
      </c>
      <c r="G1301" s="8" t="str">
        <f>IFERROR(__xludf.DUMMYFUNCTION("GOOGLETRANSLATE(C1301, ""en"", ""de"")"),"Kopie")</f>
        <v>Kopie</v>
      </c>
      <c r="H1301" s="8" t="str">
        <f>IFERROR(__xludf.DUMMYFUNCTION("GOOGLETRANSLATE(C1301, ""en"", ""ru"")"),"копия")</f>
        <v>копия</v>
      </c>
      <c r="I1301" s="8" t="str">
        <f>IFERROR(__xludf.DUMMYFUNCTION("GOOGLETRANSLATE(C1301, ""en"", ""ar"")"),"ينسخ")</f>
        <v>ينسخ</v>
      </c>
      <c r="J1301" s="8"/>
      <c r="K1301" s="7" t="str">
        <f>IFERROR(__xludf.DUMMYFUNCTION("CONCAT(REGEXREPLACE(C1301,""[ ,]+"",""_""),"".mp3"")"),"copy.mp3")</f>
        <v>copy.mp3</v>
      </c>
      <c r="M1301" s="4" t="s">
        <v>10</v>
      </c>
    </row>
    <row r="1302" ht="15.75" customHeight="1">
      <c r="A1302" s="1">
        <v>2670.0</v>
      </c>
      <c r="B1302" s="3">
        <v>110.0</v>
      </c>
      <c r="C1302" s="7" t="s">
        <v>1313</v>
      </c>
      <c r="D1302" s="8" t="str">
        <f>IFERROR(__xludf.DUMMYFUNCTION("GOOGLETRANSLATE(C1302, ""en"", ""pt"")"),"contar")</f>
        <v>contar</v>
      </c>
      <c r="E1302" s="8" t="str">
        <f>IFERROR(__xludf.DUMMYFUNCTION("GOOGLETRANSLATE(C1302, ""en"", ""es"")"),"contar")</f>
        <v>contar</v>
      </c>
      <c r="F1302" s="8" t="str">
        <f>IFERROR(__xludf.DUMMYFUNCTION("GOOGLETRANSLATE(C1302, ""en"", ""fr"")"),"compter")</f>
        <v>compter</v>
      </c>
      <c r="G1302" s="8" t="str">
        <f>IFERROR(__xludf.DUMMYFUNCTION("GOOGLETRANSLATE(C1302, ""en"", ""de"")"),"zählen")</f>
        <v>zählen</v>
      </c>
      <c r="H1302" s="8" t="str">
        <f>IFERROR(__xludf.DUMMYFUNCTION("GOOGLETRANSLATE(C1302, ""en"", ""ru"")"),"считать")</f>
        <v>считать</v>
      </c>
      <c r="I1302" s="8" t="str">
        <f>IFERROR(__xludf.DUMMYFUNCTION("GOOGLETRANSLATE(C1302, ""en"", ""ar"")"),"عدد")</f>
        <v>عدد</v>
      </c>
      <c r="J1302" s="8"/>
      <c r="K1302" s="7" t="str">
        <f>IFERROR(__xludf.DUMMYFUNCTION("CONCAT(REGEXREPLACE(C1302,""[ ,]+"",""_""),"".mp3"")"),"count.mp3")</f>
        <v>count.mp3</v>
      </c>
      <c r="M1302" s="4" t="s">
        <v>10</v>
      </c>
    </row>
    <row r="1303" ht="15.75" customHeight="1">
      <c r="A1303" s="1">
        <v>2671.0</v>
      </c>
      <c r="B1303" s="3">
        <v>110.0</v>
      </c>
      <c r="C1303" s="7" t="s">
        <v>1314</v>
      </c>
      <c r="D1303" s="8" t="str">
        <f>IFERROR(__xludf.DUMMYFUNCTION("GOOGLETRANSLATE(C1303, ""en"", ""pt"")"),"cobrir")</f>
        <v>cobrir</v>
      </c>
      <c r="E1303" s="8" t="str">
        <f>IFERROR(__xludf.DUMMYFUNCTION("GOOGLETRANSLATE(C1303, ""en"", ""es"")"),"cubrir")</f>
        <v>cubrir</v>
      </c>
      <c r="F1303" s="8" t="str">
        <f>IFERROR(__xludf.DUMMYFUNCTION("GOOGLETRANSLATE(C1303, ""en"", ""fr"")"),"couverture")</f>
        <v>couverture</v>
      </c>
      <c r="G1303" s="8" t="str">
        <f>IFERROR(__xludf.DUMMYFUNCTION("GOOGLETRANSLATE(C1303, ""en"", ""de"")"),"Abdeckung")</f>
        <v>Abdeckung</v>
      </c>
      <c r="H1303" s="8" t="str">
        <f>IFERROR(__xludf.DUMMYFUNCTION("GOOGLETRANSLATE(C1303, ""en"", ""ru"")"),"крышка")</f>
        <v>крышка</v>
      </c>
      <c r="I1303" s="8" t="str">
        <f>IFERROR(__xludf.DUMMYFUNCTION("GOOGLETRANSLATE(C1303, ""en"", ""ar"")"),"غطاء")</f>
        <v>غطاء</v>
      </c>
      <c r="J1303" s="8"/>
      <c r="K1303" s="7" t="str">
        <f>IFERROR(__xludf.DUMMYFUNCTION("CONCAT(REGEXREPLACE(C1303,""[ ,]+"",""_""),"".mp3"")"),"cover.mp3")</f>
        <v>cover.mp3</v>
      </c>
      <c r="M1303" s="4" t="s">
        <v>10</v>
      </c>
    </row>
    <row r="1304" ht="15.75" customHeight="1">
      <c r="A1304" s="1">
        <v>2672.0</v>
      </c>
      <c r="B1304" s="3">
        <v>110.0</v>
      </c>
      <c r="C1304" s="7" t="s">
        <v>1315</v>
      </c>
      <c r="D1304" s="8" t="str">
        <f>IFERROR(__xludf.DUMMYFUNCTION("GOOGLETRANSLATE(C1304, ""en"", ""pt"")"),"criar")</f>
        <v>criar</v>
      </c>
      <c r="E1304" s="8" t="str">
        <f>IFERROR(__xludf.DUMMYFUNCTION("GOOGLETRANSLATE(C1304, ""en"", ""es"")"),"crear")</f>
        <v>crear</v>
      </c>
      <c r="F1304" s="8" t="str">
        <f>IFERROR(__xludf.DUMMYFUNCTION("GOOGLETRANSLATE(C1304, ""en"", ""fr"")"),"créer")</f>
        <v>créer</v>
      </c>
      <c r="G1304" s="8" t="str">
        <f>IFERROR(__xludf.DUMMYFUNCTION("GOOGLETRANSLATE(C1304, ""en"", ""de"")"),"erstellen")</f>
        <v>erstellen</v>
      </c>
      <c r="H1304" s="8" t="str">
        <f>IFERROR(__xludf.DUMMYFUNCTION("GOOGLETRANSLATE(C1304, ""en"", ""ru"")"),"создавать")</f>
        <v>создавать</v>
      </c>
      <c r="I1304" s="8" t="str">
        <f>IFERROR(__xludf.DUMMYFUNCTION("GOOGLETRANSLATE(C1304, ""en"", ""ar"")"),"يخلق")</f>
        <v>يخلق</v>
      </c>
      <c r="J1304" s="8"/>
      <c r="K1304" s="7" t="str">
        <f>IFERROR(__xludf.DUMMYFUNCTION("CONCAT(REGEXREPLACE(C1304,""[ ,]+"",""_""),"".mp3"")"),"create.mp3")</f>
        <v>create.mp3</v>
      </c>
      <c r="M1304" s="4" t="s">
        <v>10</v>
      </c>
    </row>
    <row r="1305" ht="15.75" customHeight="1">
      <c r="A1305" s="1">
        <v>2673.0</v>
      </c>
      <c r="B1305" s="3">
        <v>110.0</v>
      </c>
      <c r="C1305" s="7" t="s">
        <v>1316</v>
      </c>
      <c r="D1305" s="8" t="str">
        <f>IFERROR(__xludf.DUMMYFUNCTION("GOOGLETRANSLATE(C1305, ""en"", ""pt"")"),"chorar")</f>
        <v>chorar</v>
      </c>
      <c r="E1305" s="8" t="str">
        <f>IFERROR(__xludf.DUMMYFUNCTION("GOOGLETRANSLATE(C1305, ""en"", ""es"")"),"llorar")</f>
        <v>llorar</v>
      </c>
      <c r="F1305" s="8" t="str">
        <f>IFERROR(__xludf.DUMMYFUNCTION("GOOGLETRANSLATE(C1305, ""en"", ""fr"")"),"pleurer")</f>
        <v>pleurer</v>
      </c>
      <c r="G1305" s="8" t="str">
        <f>IFERROR(__xludf.DUMMYFUNCTION("GOOGLETRANSLATE(C1305, ""en"", ""de"")"),"weinen")</f>
        <v>weinen</v>
      </c>
      <c r="H1305" s="8" t="str">
        <f>IFERROR(__xludf.DUMMYFUNCTION("GOOGLETRANSLATE(C1305, ""en"", ""ru"")"),"плакать")</f>
        <v>плакать</v>
      </c>
      <c r="I1305" s="8" t="str">
        <f>IFERROR(__xludf.DUMMYFUNCTION("GOOGLETRANSLATE(C1305, ""en"", ""ar"")"),"يبكي")</f>
        <v>يبكي</v>
      </c>
      <c r="J1305" s="8"/>
      <c r="K1305" s="7" t="str">
        <f>IFERROR(__xludf.DUMMYFUNCTION("CONCAT(REGEXREPLACE(C1305,""[ ,]+"",""_""),"".mp3"")"),"cry.mp3")</f>
        <v>cry.mp3</v>
      </c>
      <c r="M1305" s="4" t="s">
        <v>10</v>
      </c>
    </row>
    <row r="1306" ht="15.75" customHeight="1">
      <c r="A1306" s="1">
        <v>2674.0</v>
      </c>
      <c r="B1306" s="3">
        <v>110.0</v>
      </c>
      <c r="C1306" s="7" t="s">
        <v>1317</v>
      </c>
      <c r="D1306" s="8" t="str">
        <f>IFERROR(__xludf.DUMMYFUNCTION("GOOGLETRANSLATE(C1306, ""en"", ""pt"")"),"dança")</f>
        <v>dança</v>
      </c>
      <c r="E1306" s="8" t="str">
        <f>IFERROR(__xludf.DUMMYFUNCTION("GOOGLETRANSLATE(C1306, ""en"", ""es"")"),"bailar")</f>
        <v>bailar</v>
      </c>
      <c r="F1306" s="8" t="str">
        <f>IFERROR(__xludf.DUMMYFUNCTION("GOOGLETRANSLATE(C1306, ""en"", ""fr"")"),"danse")</f>
        <v>danse</v>
      </c>
      <c r="G1306" s="8" t="str">
        <f>IFERROR(__xludf.DUMMYFUNCTION("GOOGLETRANSLATE(C1306, ""en"", ""de"")"),"tanzen")</f>
        <v>tanzen</v>
      </c>
      <c r="H1306" s="8" t="str">
        <f>IFERROR(__xludf.DUMMYFUNCTION("GOOGLETRANSLATE(C1306, ""en"", ""ru"")"),"танец")</f>
        <v>танец</v>
      </c>
      <c r="I1306" s="8" t="str">
        <f>IFERROR(__xludf.DUMMYFUNCTION("GOOGLETRANSLATE(C1306, ""en"", ""ar"")"),"الرقص")</f>
        <v>الرقص</v>
      </c>
      <c r="J1306" s="8"/>
      <c r="K1306" s="7" t="str">
        <f>IFERROR(__xludf.DUMMYFUNCTION("CONCAT(REGEXREPLACE(C1306,""[ ,]+"",""_""),"".mp3"")"),"dance.mp3")</f>
        <v>dance.mp3</v>
      </c>
      <c r="M1306" s="4" t="s">
        <v>10</v>
      </c>
    </row>
    <row r="1307" ht="15.75" customHeight="1">
      <c r="A1307" s="1">
        <v>2675.0</v>
      </c>
      <c r="B1307" s="3">
        <v>110.0</v>
      </c>
      <c r="C1307" s="7" t="s">
        <v>1318</v>
      </c>
      <c r="D1307" s="8" t="str">
        <f>IFERROR(__xludf.DUMMYFUNCTION("GOOGLETRANSLATE(C1307, ""en"", ""pt"")"),"decidir")</f>
        <v>decidir</v>
      </c>
      <c r="E1307" s="8" t="str">
        <f>IFERROR(__xludf.DUMMYFUNCTION("GOOGLETRANSLATE(C1307, ""en"", ""es"")"),"decidir")</f>
        <v>decidir</v>
      </c>
      <c r="F1307" s="8" t="str">
        <f>IFERROR(__xludf.DUMMYFUNCTION("GOOGLETRANSLATE(C1307, ""en"", ""fr"")"),"décider")</f>
        <v>décider</v>
      </c>
      <c r="G1307" s="8" t="str">
        <f>IFERROR(__xludf.DUMMYFUNCTION("GOOGLETRANSLATE(C1307, ""en"", ""de"")"),"entscheiden")</f>
        <v>entscheiden</v>
      </c>
      <c r="H1307" s="8" t="str">
        <f>IFERROR(__xludf.DUMMYFUNCTION("GOOGLETRANSLATE(C1307, ""en"", ""ru"")"),"решать")</f>
        <v>решать</v>
      </c>
      <c r="I1307" s="8" t="str">
        <f>IFERROR(__xludf.DUMMYFUNCTION("GOOGLETRANSLATE(C1307, ""en"", ""ar"")"),"يقرر")</f>
        <v>يقرر</v>
      </c>
      <c r="J1307" s="8"/>
      <c r="K1307" s="7" t="str">
        <f>IFERROR(__xludf.DUMMYFUNCTION("CONCAT(REGEXREPLACE(C1307,""[ ,]+"",""_""),"".mp3"")"),"decide.mp3")</f>
        <v>decide.mp3</v>
      </c>
      <c r="M1307" s="4" t="s">
        <v>10</v>
      </c>
    </row>
    <row r="1308" ht="15.75" customHeight="1">
      <c r="A1308" s="1">
        <v>2676.0</v>
      </c>
      <c r="B1308" s="3">
        <v>110.0</v>
      </c>
      <c r="C1308" s="7" t="s">
        <v>1319</v>
      </c>
      <c r="D1308" s="8" t="str">
        <f>IFERROR(__xludf.DUMMYFUNCTION("GOOGLETRANSLATE(C1308, ""en"", ""pt"")"),"entregar")</f>
        <v>entregar</v>
      </c>
      <c r="E1308" s="8" t="str">
        <f>IFERROR(__xludf.DUMMYFUNCTION("GOOGLETRANSLATE(C1308, ""en"", ""es"")"),"entregar")</f>
        <v>entregar</v>
      </c>
      <c r="F1308" s="8" t="str">
        <f>IFERROR(__xludf.DUMMYFUNCTION("GOOGLETRANSLATE(C1308, ""en"", ""fr"")"),"livrer")</f>
        <v>livrer</v>
      </c>
      <c r="G1308" s="8" t="str">
        <f>IFERROR(__xludf.DUMMYFUNCTION("GOOGLETRANSLATE(C1308, ""en"", ""de"")"),"liefern")</f>
        <v>liefern</v>
      </c>
      <c r="H1308" s="8" t="str">
        <f>IFERROR(__xludf.DUMMYFUNCTION("GOOGLETRANSLATE(C1308, ""en"", ""ru"")"),"доставлять")</f>
        <v>доставлять</v>
      </c>
      <c r="I1308" s="8" t="str">
        <f>IFERROR(__xludf.DUMMYFUNCTION("GOOGLETRANSLATE(C1308, ""en"", ""ar"")"),"يسلم")</f>
        <v>يسلم</v>
      </c>
      <c r="J1308" s="8"/>
      <c r="K1308" s="7" t="str">
        <f>IFERROR(__xludf.DUMMYFUNCTION("CONCAT(REGEXREPLACE(C1308,""[ ,]+"",""_""),"".mp3"")"),"deliver.mp3")</f>
        <v>deliver.mp3</v>
      </c>
      <c r="M1308" s="4" t="s">
        <v>10</v>
      </c>
    </row>
    <row r="1309" ht="15.75" customHeight="1">
      <c r="A1309" s="1">
        <v>2677.0</v>
      </c>
      <c r="B1309" s="3">
        <v>110.0</v>
      </c>
      <c r="C1309" s="7" t="s">
        <v>1320</v>
      </c>
      <c r="D1309" s="8" t="str">
        <f>IFERROR(__xludf.DUMMYFUNCTION("GOOGLETRANSLATE(C1309, ""en"", ""pt"")"),"depender")</f>
        <v>depender</v>
      </c>
      <c r="E1309" s="8" t="str">
        <f>IFERROR(__xludf.DUMMYFUNCTION("GOOGLETRANSLATE(C1309, ""en"", ""es"")"),"depender")</f>
        <v>depender</v>
      </c>
      <c r="F1309" s="8" t="str">
        <f>IFERROR(__xludf.DUMMYFUNCTION("GOOGLETRANSLATE(C1309, ""en"", ""fr"")"),"dépendre")</f>
        <v>dépendre</v>
      </c>
      <c r="G1309" s="8" t="str">
        <f>IFERROR(__xludf.DUMMYFUNCTION("GOOGLETRANSLATE(C1309, ""en"", ""de"")"),"abhängen")</f>
        <v>abhängen</v>
      </c>
      <c r="H1309" s="8" t="str">
        <f>IFERROR(__xludf.DUMMYFUNCTION("GOOGLETRANSLATE(C1309, ""en"", ""ru"")"),"зависеть")</f>
        <v>зависеть</v>
      </c>
      <c r="I1309" s="8" t="str">
        <f>IFERROR(__xludf.DUMMYFUNCTION("GOOGLETRANSLATE(C1309, ""en"", ""ar"")"),"يعتمد")</f>
        <v>يعتمد</v>
      </c>
      <c r="J1309" s="8"/>
      <c r="K1309" s="7" t="str">
        <f>IFERROR(__xludf.DUMMYFUNCTION("CONCAT(REGEXREPLACE(C1309,""[ ,]+"",""_""),"".mp3"")"),"depend.mp3")</f>
        <v>depend.mp3</v>
      </c>
      <c r="M1309" s="4" t="s">
        <v>10</v>
      </c>
    </row>
    <row r="1310" ht="15.75" customHeight="1">
      <c r="A1310" s="1">
        <v>2678.0</v>
      </c>
      <c r="B1310" s="3">
        <v>110.0</v>
      </c>
      <c r="C1310" s="7" t="s">
        <v>1321</v>
      </c>
      <c r="D1310" s="8" t="str">
        <f>IFERROR(__xludf.DUMMYFUNCTION("GOOGLETRANSLATE(C1310, ""en"", ""pt"")"),"descrever")</f>
        <v>descrever</v>
      </c>
      <c r="E1310" s="8" t="str">
        <f>IFERROR(__xludf.DUMMYFUNCTION("GOOGLETRANSLATE(C1310, ""en"", ""es"")"),"describir")</f>
        <v>describir</v>
      </c>
      <c r="F1310" s="8" t="str">
        <f>IFERROR(__xludf.DUMMYFUNCTION("GOOGLETRANSLATE(C1310, ""en"", ""fr"")"),"décrire")</f>
        <v>décrire</v>
      </c>
      <c r="G1310" s="8" t="str">
        <f>IFERROR(__xludf.DUMMYFUNCTION("GOOGLETRANSLATE(C1310, ""en"", ""de"")"),"beschreiben")</f>
        <v>beschreiben</v>
      </c>
      <c r="H1310" s="8" t="str">
        <f>IFERROR(__xludf.DUMMYFUNCTION("GOOGLETRANSLATE(C1310, ""en"", ""ru"")"),"описывать")</f>
        <v>описывать</v>
      </c>
      <c r="I1310" s="8" t="str">
        <f>IFERROR(__xludf.DUMMYFUNCTION("GOOGLETRANSLATE(C1310, ""en"", ""ar"")"),"يصف")</f>
        <v>يصف</v>
      </c>
      <c r="J1310" s="8"/>
      <c r="K1310" s="7" t="str">
        <f>IFERROR(__xludf.DUMMYFUNCTION("CONCAT(REGEXREPLACE(C1310,""[ ,]+"",""_""),"".mp3"")"),"describe.mp3")</f>
        <v>describe.mp3</v>
      </c>
      <c r="M1310" s="4" t="s">
        <v>10</v>
      </c>
    </row>
    <row r="1311" ht="15.75" customHeight="1">
      <c r="A1311" s="1">
        <v>2679.0</v>
      </c>
      <c r="B1311" s="3">
        <v>110.0</v>
      </c>
      <c r="C1311" s="7" t="s">
        <v>1322</v>
      </c>
      <c r="D1311" s="8" t="str">
        <f>IFERROR(__xludf.DUMMYFUNCTION("GOOGLETRANSLATE(C1311, ""en"", ""pt"")"),"projeto")</f>
        <v>projeto</v>
      </c>
      <c r="E1311" s="8" t="str">
        <f>IFERROR(__xludf.DUMMYFUNCTION("GOOGLETRANSLATE(C1311, ""en"", ""es"")"),"diseño")</f>
        <v>diseño</v>
      </c>
      <c r="F1311" s="8" t="str">
        <f>IFERROR(__xludf.DUMMYFUNCTION("GOOGLETRANSLATE(C1311, ""en"", ""fr"")"),"conception")</f>
        <v>conception</v>
      </c>
      <c r="G1311" s="8" t="str">
        <f>IFERROR(__xludf.DUMMYFUNCTION("GOOGLETRANSLATE(C1311, ""en"", ""de"")"),"Design")</f>
        <v>Design</v>
      </c>
      <c r="H1311" s="8" t="str">
        <f>IFERROR(__xludf.DUMMYFUNCTION("GOOGLETRANSLATE(C1311, ""en"", ""ru"")"),"дизайн")</f>
        <v>дизайн</v>
      </c>
      <c r="I1311" s="8" t="str">
        <f>IFERROR(__xludf.DUMMYFUNCTION("GOOGLETRANSLATE(C1311, ""en"", ""ar"")"),"تصميم")</f>
        <v>تصميم</v>
      </c>
      <c r="J1311" s="8"/>
      <c r="K1311" s="7" t="str">
        <f>IFERROR(__xludf.DUMMYFUNCTION("CONCAT(REGEXREPLACE(C1311,""[ ,]+"",""_""),"".mp3"")"),"design.mp3")</f>
        <v>design.mp3</v>
      </c>
      <c r="M1311" s="4" t="s">
        <v>10</v>
      </c>
    </row>
    <row r="1312" ht="15.75" customHeight="1">
      <c r="A1312" s="1">
        <v>2680.0</v>
      </c>
      <c r="B1312" s="3">
        <v>110.0</v>
      </c>
      <c r="C1312" s="7" t="s">
        <v>1323</v>
      </c>
      <c r="D1312" s="8" t="str">
        <f>IFERROR(__xludf.DUMMYFUNCTION("GOOGLETRANSLATE(C1312, ""en"", ""pt"")"),"destruir")</f>
        <v>destruir</v>
      </c>
      <c r="E1312" s="8" t="str">
        <f>IFERROR(__xludf.DUMMYFUNCTION("GOOGLETRANSLATE(C1312, ""en"", ""es"")"),"destruir")</f>
        <v>destruir</v>
      </c>
      <c r="F1312" s="8" t="str">
        <f>IFERROR(__xludf.DUMMYFUNCTION("GOOGLETRANSLATE(C1312, ""en"", ""fr"")"),"détruire")</f>
        <v>détruire</v>
      </c>
      <c r="G1312" s="8" t="str">
        <f>IFERROR(__xludf.DUMMYFUNCTION("GOOGLETRANSLATE(C1312, ""en"", ""de"")"),"zerstören")</f>
        <v>zerstören</v>
      </c>
      <c r="H1312" s="8" t="str">
        <f>IFERROR(__xludf.DUMMYFUNCTION("GOOGLETRANSLATE(C1312, ""en"", ""ru"")"),"разрушать")</f>
        <v>разрушать</v>
      </c>
      <c r="I1312" s="8" t="str">
        <f>IFERROR(__xludf.DUMMYFUNCTION("GOOGLETRANSLATE(C1312, ""en"", ""ar"")"),"تدمير")</f>
        <v>تدمير</v>
      </c>
      <c r="J1312" s="8"/>
      <c r="K1312" s="7" t="str">
        <f>IFERROR(__xludf.DUMMYFUNCTION("CONCAT(REGEXREPLACE(C1312,""[ ,]+"",""_""),"".mp3"")"),"destroy.mp3")</f>
        <v>destroy.mp3</v>
      </c>
      <c r="M1312" s="4" t="s">
        <v>10</v>
      </c>
    </row>
    <row r="1313" ht="15.75" customHeight="1">
      <c r="A1313" s="1">
        <v>2681.0</v>
      </c>
      <c r="B1313" s="3">
        <v>110.0</v>
      </c>
      <c r="C1313" s="7" t="s">
        <v>1324</v>
      </c>
      <c r="D1313" s="8" t="str">
        <f>IFERROR(__xludf.DUMMYFUNCTION("GOOGLETRANSLATE(C1313, ""en"", ""pt"")"),"desenvolver")</f>
        <v>desenvolver</v>
      </c>
      <c r="E1313" s="8" t="str">
        <f>IFERROR(__xludf.DUMMYFUNCTION("GOOGLETRANSLATE(C1313, ""en"", ""es"")"),"desarrollar")</f>
        <v>desarrollar</v>
      </c>
      <c r="F1313" s="8" t="str">
        <f>IFERROR(__xludf.DUMMYFUNCTION("GOOGLETRANSLATE(C1313, ""en"", ""fr"")"),"développer")</f>
        <v>développer</v>
      </c>
      <c r="G1313" s="8" t="str">
        <f>IFERROR(__xludf.DUMMYFUNCTION("GOOGLETRANSLATE(C1313, ""en"", ""de"")"),"entwickeln")</f>
        <v>entwickeln</v>
      </c>
      <c r="H1313" s="8" t="str">
        <f>IFERROR(__xludf.DUMMYFUNCTION("GOOGLETRANSLATE(C1313, ""en"", ""ru"")"),"развивать")</f>
        <v>развивать</v>
      </c>
      <c r="I1313" s="8" t="str">
        <f>IFERROR(__xludf.DUMMYFUNCTION("GOOGLETRANSLATE(C1313, ""en"", ""ar"")"),"يطور")</f>
        <v>يطور</v>
      </c>
      <c r="J1313" s="8"/>
      <c r="K1313" s="7" t="str">
        <f>IFERROR(__xludf.DUMMYFUNCTION("CONCAT(REGEXREPLACE(C1313,""[ ,]+"",""_""),"".mp3"")"),"develop.mp3")</f>
        <v>develop.mp3</v>
      </c>
      <c r="M1313" s="4" t="s">
        <v>10</v>
      </c>
    </row>
    <row r="1314" ht="15.75" customHeight="1">
      <c r="A1314" s="1">
        <v>2682.0</v>
      </c>
      <c r="B1314" s="3">
        <v>110.0</v>
      </c>
      <c r="C1314" s="7" t="s">
        <v>1325</v>
      </c>
      <c r="D1314" s="8" t="str">
        <f>IFERROR(__xludf.DUMMYFUNCTION("GOOGLETRANSLATE(C1314, ""en"", ""pt"")"),"discutir")</f>
        <v>discutir</v>
      </c>
      <c r="E1314" s="8" t="str">
        <f>IFERROR(__xludf.DUMMYFUNCTION("GOOGLETRANSLATE(C1314, ""en"", ""es"")"),"conversar")</f>
        <v>conversar</v>
      </c>
      <c r="F1314" s="8" t="str">
        <f>IFERROR(__xludf.DUMMYFUNCTION("GOOGLETRANSLATE(C1314, ""en"", ""fr"")"),"discuter")</f>
        <v>discuter</v>
      </c>
      <c r="G1314" s="8" t="str">
        <f>IFERROR(__xludf.DUMMYFUNCTION("GOOGLETRANSLATE(C1314, ""en"", ""de"")"),"diskutieren")</f>
        <v>diskutieren</v>
      </c>
      <c r="H1314" s="8" t="str">
        <f>IFERROR(__xludf.DUMMYFUNCTION("GOOGLETRANSLATE(C1314, ""en"", ""ru"")"),"обсуждать")</f>
        <v>обсуждать</v>
      </c>
      <c r="I1314" s="8" t="str">
        <f>IFERROR(__xludf.DUMMYFUNCTION("GOOGLETRANSLATE(C1314, ""en"", ""ar"")"),"يناقش")</f>
        <v>يناقش</v>
      </c>
      <c r="J1314" s="8"/>
      <c r="K1314" s="7" t="str">
        <f>IFERROR(__xludf.DUMMYFUNCTION("CONCAT(REGEXREPLACE(C1314,""[ ,]+"",""_""),"".mp3"")"),"discuss.mp3")</f>
        <v>discuss.mp3</v>
      </c>
      <c r="M1314" s="4" t="s">
        <v>10</v>
      </c>
    </row>
    <row r="1315" ht="15.75" customHeight="1">
      <c r="A1315" s="1">
        <v>2683.0</v>
      </c>
      <c r="B1315" s="3">
        <v>110.0</v>
      </c>
      <c r="C1315" s="7" t="s">
        <v>1326</v>
      </c>
      <c r="D1315" s="8" t="str">
        <f>IFERROR(__xludf.DUMMYFUNCTION("GOOGLETRANSLATE(C1315, ""en"", ""pt"")"),"dividir")</f>
        <v>dividir</v>
      </c>
      <c r="E1315" s="8" t="str">
        <f>IFERROR(__xludf.DUMMYFUNCTION("GOOGLETRANSLATE(C1315, ""en"", ""es"")"),"dividir")</f>
        <v>dividir</v>
      </c>
      <c r="F1315" s="8" t="str">
        <f>IFERROR(__xludf.DUMMYFUNCTION("GOOGLETRANSLATE(C1315, ""en"", ""fr"")"),"diviser")</f>
        <v>diviser</v>
      </c>
      <c r="G1315" s="8" t="str">
        <f>IFERROR(__xludf.DUMMYFUNCTION("GOOGLETRANSLATE(C1315, ""en"", ""de"")"),"teilen")</f>
        <v>teilen</v>
      </c>
      <c r="H1315" s="8" t="str">
        <f>IFERROR(__xludf.DUMMYFUNCTION("GOOGLETRANSLATE(C1315, ""en"", ""ru"")"),"разделять")</f>
        <v>разделять</v>
      </c>
      <c r="I1315" s="8" t="str">
        <f>IFERROR(__xludf.DUMMYFUNCTION("GOOGLETRANSLATE(C1315, ""en"", ""ar"")"),"انقسام")</f>
        <v>انقسام</v>
      </c>
      <c r="J1315" s="8"/>
      <c r="K1315" s="7" t="str">
        <f>IFERROR(__xludf.DUMMYFUNCTION("CONCAT(REGEXREPLACE(C1315,""[ ,]+"",""_""),"".mp3"")"),"divide.mp3")</f>
        <v>divide.mp3</v>
      </c>
      <c r="M1315" s="4" t="s">
        <v>10</v>
      </c>
    </row>
    <row r="1316" ht="15.75" customHeight="1">
      <c r="A1316" s="1">
        <v>2684.0</v>
      </c>
      <c r="B1316" s="3">
        <v>110.0</v>
      </c>
      <c r="C1316" s="7" t="s">
        <v>1327</v>
      </c>
      <c r="D1316" s="8" t="str">
        <f>IFERROR(__xludf.DUMMYFUNCTION("GOOGLETRANSLATE(C1316, ""en"", ""pt"")"),"vestir")</f>
        <v>vestir</v>
      </c>
      <c r="E1316" s="8" t="str">
        <f>IFERROR(__xludf.DUMMYFUNCTION("GOOGLETRANSLATE(C1316, ""en"", ""es"")"),"vestido")</f>
        <v>vestido</v>
      </c>
      <c r="F1316" s="8" t="str">
        <f>IFERROR(__xludf.DUMMYFUNCTION("GOOGLETRANSLATE(C1316, ""en"", ""fr"")"),"robe")</f>
        <v>robe</v>
      </c>
      <c r="G1316" s="8" t="str">
        <f>IFERROR(__xludf.DUMMYFUNCTION("GOOGLETRANSLATE(C1316, ""en"", ""de"")"),"Kleid")</f>
        <v>Kleid</v>
      </c>
      <c r="H1316" s="8" t="str">
        <f>IFERROR(__xludf.DUMMYFUNCTION("GOOGLETRANSLATE(C1316, ""en"", ""ru"")"),"одеваться")</f>
        <v>одеваться</v>
      </c>
      <c r="I1316" s="8" t="str">
        <f>IFERROR(__xludf.DUMMYFUNCTION("GOOGLETRANSLATE(C1316, ""en"", ""ar"")"),"فستان")</f>
        <v>فستان</v>
      </c>
      <c r="J1316" s="8"/>
      <c r="K1316" s="7" t="str">
        <f>IFERROR(__xludf.DUMMYFUNCTION("CONCAT(REGEXREPLACE(C1316,""[ ,]+"",""_""),"".mp3"")"),"dress.mp3")</f>
        <v>dress.mp3</v>
      </c>
      <c r="M1316" s="4" t="s">
        <v>10</v>
      </c>
    </row>
    <row r="1317" ht="15.75" customHeight="1">
      <c r="A1317" s="1">
        <v>2685.0</v>
      </c>
      <c r="B1317" s="3">
        <v>110.0</v>
      </c>
      <c r="C1317" s="7" t="s">
        <v>1328</v>
      </c>
      <c r="D1317" s="8" t="str">
        <f>IFERROR(__xludf.DUMMYFUNCTION("GOOGLETRANSLATE(C1317, ""en"", ""pt"")"),"derrubar")</f>
        <v>derrubar</v>
      </c>
      <c r="E1317" s="8" t="str">
        <f>IFERROR(__xludf.DUMMYFUNCTION("GOOGLETRANSLATE(C1317, ""en"", ""es"")"),"gota")</f>
        <v>gota</v>
      </c>
      <c r="F1317" s="8" t="str">
        <f>IFERROR(__xludf.DUMMYFUNCTION("GOOGLETRANSLATE(C1317, ""en"", ""fr"")"),"baisse")</f>
        <v>baisse</v>
      </c>
      <c r="G1317" s="8" t="str">
        <f>IFERROR(__xludf.DUMMYFUNCTION("GOOGLETRANSLATE(C1317, ""en"", ""de"")"),"fallen")</f>
        <v>fallen</v>
      </c>
      <c r="H1317" s="8" t="str">
        <f>IFERROR(__xludf.DUMMYFUNCTION("GOOGLETRANSLATE(C1317, ""en"", ""ru"")"),"уронить")</f>
        <v>уронить</v>
      </c>
      <c r="I1317" s="8" t="str">
        <f>IFERROR(__xludf.DUMMYFUNCTION("GOOGLETRANSLATE(C1317, ""en"", ""ar"")"),"يسقط")</f>
        <v>يسقط</v>
      </c>
      <c r="J1317" s="8"/>
      <c r="K1317" s="7" t="str">
        <f>IFERROR(__xludf.DUMMYFUNCTION("CONCAT(REGEXREPLACE(C1317,""[ ,]+"",""_""),"".mp3"")"),"drop.mp3")</f>
        <v>drop.mp3</v>
      </c>
      <c r="M1317" s="4" t="s">
        <v>10</v>
      </c>
    </row>
    <row r="1318" ht="15.75" customHeight="1">
      <c r="A1318" s="1">
        <v>2686.0</v>
      </c>
      <c r="B1318" s="3">
        <v>110.0</v>
      </c>
      <c r="C1318" s="7" t="s">
        <v>1329</v>
      </c>
      <c r="D1318" s="8" t="str">
        <f>IFERROR(__xludf.DUMMYFUNCTION("GOOGLETRANSLATE(C1318, ""en"", ""pt"")"),"ganhar")</f>
        <v>ganhar</v>
      </c>
      <c r="E1318" s="8" t="str">
        <f>IFERROR(__xludf.DUMMYFUNCTION("GOOGLETRANSLATE(C1318, ""en"", ""es"")"),"ganar")</f>
        <v>ganar</v>
      </c>
      <c r="F1318" s="8" t="str">
        <f>IFERROR(__xludf.DUMMYFUNCTION("GOOGLETRANSLATE(C1318, ""en"", ""fr"")"),"gagner")</f>
        <v>gagner</v>
      </c>
      <c r="G1318" s="8" t="str">
        <f>IFERROR(__xludf.DUMMYFUNCTION("GOOGLETRANSLATE(C1318, ""en"", ""de"")"),"verdienen")</f>
        <v>verdienen</v>
      </c>
      <c r="H1318" s="8" t="str">
        <f>IFERROR(__xludf.DUMMYFUNCTION("GOOGLETRANSLATE(C1318, ""en"", ""ru"")"),"зарабатывать")</f>
        <v>зарабатывать</v>
      </c>
      <c r="I1318" s="8" t="str">
        <f>IFERROR(__xludf.DUMMYFUNCTION("GOOGLETRANSLATE(C1318, ""en"", ""ar"")"),"يكسب")</f>
        <v>يكسب</v>
      </c>
      <c r="J1318" s="8"/>
      <c r="K1318" s="7" t="str">
        <f>IFERROR(__xludf.DUMMYFUNCTION("CONCAT(REGEXREPLACE(C1318,""[ ,]+"",""_""),"".mp3"")"),"earn.mp3")</f>
        <v>earn.mp3</v>
      </c>
      <c r="M1318" s="4" t="s">
        <v>10</v>
      </c>
    </row>
    <row r="1319" ht="15.75" customHeight="1">
      <c r="A1319" s="1">
        <v>2687.0</v>
      </c>
      <c r="B1319" s="3">
        <v>110.0</v>
      </c>
      <c r="C1319" s="7" t="s">
        <v>1330</v>
      </c>
      <c r="D1319" s="8" t="str">
        <f>IFERROR(__xludf.DUMMYFUNCTION("GOOGLETRANSLATE(C1319, ""en"", ""pt"")"),"fim")</f>
        <v>fim</v>
      </c>
      <c r="E1319" s="8" t="str">
        <f>IFERROR(__xludf.DUMMYFUNCTION("GOOGLETRANSLATE(C1319, ""en"", ""es"")"),"fin")</f>
        <v>fin</v>
      </c>
      <c r="F1319" s="8" t="str">
        <f>IFERROR(__xludf.DUMMYFUNCTION("GOOGLETRANSLATE(C1319, ""en"", ""fr"")"),"fin")</f>
        <v>fin</v>
      </c>
      <c r="G1319" s="8" t="str">
        <f>IFERROR(__xludf.DUMMYFUNCTION("GOOGLETRANSLATE(C1319, ""en"", ""de"")"),"Ende")</f>
        <v>Ende</v>
      </c>
      <c r="H1319" s="8" t="str">
        <f>IFERROR(__xludf.DUMMYFUNCTION("GOOGLETRANSLATE(C1319, ""en"", ""ru"")"),"конец")</f>
        <v>конец</v>
      </c>
      <c r="I1319" s="8" t="str">
        <f>IFERROR(__xludf.DUMMYFUNCTION("GOOGLETRANSLATE(C1319, ""en"", ""ar"")"),"نهاية")</f>
        <v>نهاية</v>
      </c>
      <c r="J1319" s="8"/>
      <c r="K1319" s="7" t="str">
        <f>IFERROR(__xludf.DUMMYFUNCTION("CONCAT(REGEXREPLACE(C1319,""[ ,]+"",""_""),"".mp3"")"),"end.mp3")</f>
        <v>end.mp3</v>
      </c>
      <c r="M1319" s="4" t="s">
        <v>10</v>
      </c>
    </row>
    <row r="1320" ht="15.75" customHeight="1">
      <c r="A1320" s="1">
        <v>2688.0</v>
      </c>
      <c r="B1320" s="3">
        <v>110.0</v>
      </c>
      <c r="C1320" s="7" t="s">
        <v>1331</v>
      </c>
      <c r="D1320" s="8" t="str">
        <f>IFERROR(__xludf.DUMMYFUNCTION("GOOGLETRANSLATE(C1320, ""en"", ""pt"")"),"aproveitar")</f>
        <v>aproveitar</v>
      </c>
      <c r="E1320" s="8" t="str">
        <f>IFERROR(__xludf.DUMMYFUNCTION("GOOGLETRANSLATE(C1320, ""en"", ""es"")"),"disfrutar")</f>
        <v>disfrutar</v>
      </c>
      <c r="F1320" s="8" t="str">
        <f>IFERROR(__xludf.DUMMYFUNCTION("GOOGLETRANSLATE(C1320, ""en"", ""fr"")"),"apprécier")</f>
        <v>apprécier</v>
      </c>
      <c r="G1320" s="8" t="str">
        <f>IFERROR(__xludf.DUMMYFUNCTION("GOOGLETRANSLATE(C1320, ""en"", ""de"")"),"genießen")</f>
        <v>genießen</v>
      </c>
      <c r="H1320" s="8" t="str">
        <f>IFERROR(__xludf.DUMMYFUNCTION("GOOGLETRANSLATE(C1320, ""en"", ""ru"")"),"наслаждаться")</f>
        <v>наслаждаться</v>
      </c>
      <c r="I1320" s="8" t="str">
        <f>IFERROR(__xludf.DUMMYFUNCTION("GOOGLETRANSLATE(C1320, ""en"", ""ar"")"),"يتمتع")</f>
        <v>يتمتع</v>
      </c>
      <c r="J1320" s="8"/>
      <c r="K1320" s="7" t="str">
        <f>IFERROR(__xludf.DUMMYFUNCTION("CONCAT(REGEXREPLACE(C1320,""[ ,]+"",""_""),"".mp3"")"),"enjoy.mp3")</f>
        <v>enjoy.mp3</v>
      </c>
      <c r="M1320" s="4" t="s">
        <v>10</v>
      </c>
    </row>
    <row r="1321" ht="15.75" customHeight="1">
      <c r="A1321" s="1">
        <v>2689.0</v>
      </c>
      <c r="B1321" s="3">
        <v>110.0</v>
      </c>
      <c r="C1321" s="7" t="s">
        <v>1332</v>
      </c>
      <c r="D1321" s="8" t="str">
        <f>IFERROR(__xludf.DUMMYFUNCTION("GOOGLETRANSLATE(C1321, ""en"", ""pt"")"),"explicar")</f>
        <v>explicar</v>
      </c>
      <c r="E1321" s="8" t="str">
        <f>IFERROR(__xludf.DUMMYFUNCTION("GOOGLETRANSLATE(C1321, ""en"", ""es"")"),"explicar")</f>
        <v>explicar</v>
      </c>
      <c r="F1321" s="8" t="str">
        <f>IFERROR(__xludf.DUMMYFUNCTION("GOOGLETRANSLATE(C1321, ""en"", ""fr"")"),"expliquer")</f>
        <v>expliquer</v>
      </c>
      <c r="G1321" s="8" t="str">
        <f>IFERROR(__xludf.DUMMYFUNCTION("GOOGLETRANSLATE(C1321, ""en"", ""de"")"),"erklären")</f>
        <v>erklären</v>
      </c>
      <c r="H1321" s="8" t="str">
        <f>IFERROR(__xludf.DUMMYFUNCTION("GOOGLETRANSLATE(C1321, ""en"", ""ru"")"),"объяснять")</f>
        <v>объяснять</v>
      </c>
      <c r="I1321" s="8" t="str">
        <f>IFERROR(__xludf.DUMMYFUNCTION("GOOGLETRANSLATE(C1321, ""en"", ""ar"")"),"يشرح")</f>
        <v>يشرح</v>
      </c>
      <c r="J1321" s="8"/>
      <c r="K1321" s="7" t="str">
        <f>IFERROR(__xludf.DUMMYFUNCTION("CONCAT(REGEXREPLACE(C1321,""[ ,]+"",""_""),"".mp3"")"),"explain.mp3")</f>
        <v>explain.mp3</v>
      </c>
      <c r="M1321" s="4" t="s">
        <v>10</v>
      </c>
    </row>
    <row r="1322" ht="15.75" customHeight="1">
      <c r="A1322" s="1">
        <v>2690.0</v>
      </c>
      <c r="B1322" s="3">
        <v>110.0</v>
      </c>
      <c r="C1322" s="7" t="s">
        <v>1333</v>
      </c>
      <c r="D1322" s="8" t="str">
        <f>IFERROR(__xludf.DUMMYFUNCTION("GOOGLETRANSLATE(C1322, ""en"", ""pt"")"),"preencher")</f>
        <v>preencher</v>
      </c>
      <c r="E1322" s="8" t="str">
        <f>IFERROR(__xludf.DUMMYFUNCTION("GOOGLETRANSLATE(C1322, ""en"", ""es"")"),"llenar")</f>
        <v>llenar</v>
      </c>
      <c r="F1322" s="8" t="str">
        <f>IFERROR(__xludf.DUMMYFUNCTION("GOOGLETRANSLATE(C1322, ""en"", ""fr"")"),"remplir")</f>
        <v>remplir</v>
      </c>
      <c r="G1322" s="8" t="str">
        <f>IFERROR(__xludf.DUMMYFUNCTION("GOOGLETRANSLATE(C1322, ""en"", ""de"")"),"füllen")</f>
        <v>füllen</v>
      </c>
      <c r="H1322" s="8" t="str">
        <f>IFERROR(__xludf.DUMMYFUNCTION("GOOGLETRANSLATE(C1322, ""en"", ""ru"")"),"наполнять")</f>
        <v>наполнять</v>
      </c>
      <c r="I1322" s="8" t="str">
        <f>IFERROR(__xludf.DUMMYFUNCTION("GOOGLETRANSLATE(C1322, ""en"", ""ar"")"),"يملأ")</f>
        <v>يملأ</v>
      </c>
      <c r="J1322" s="8"/>
      <c r="K1322" s="7" t="str">
        <f>IFERROR(__xludf.DUMMYFUNCTION("CONCAT(REGEXREPLACE(C1322,""[ ,]+"",""_""),"".mp3"")"),"fill.mp3")</f>
        <v>fill.mp3</v>
      </c>
      <c r="M1322" s="4" t="s">
        <v>10</v>
      </c>
    </row>
    <row r="1323" ht="15.75" customHeight="1">
      <c r="A1323" s="1">
        <v>2691.0</v>
      </c>
      <c r="B1323" s="3">
        <v>110.0</v>
      </c>
      <c r="C1323" s="7" t="s">
        <v>1334</v>
      </c>
      <c r="D1323" s="8" t="str">
        <f>IFERROR(__xludf.DUMMYFUNCTION("GOOGLETRANSLATE(C1323, ""en"", ""pt"")"),"terminar")</f>
        <v>terminar</v>
      </c>
      <c r="E1323" s="8" t="str">
        <f>IFERROR(__xludf.DUMMYFUNCTION("GOOGLETRANSLATE(C1323, ""en"", ""es"")"),"finalizar")</f>
        <v>finalizar</v>
      </c>
      <c r="F1323" s="8" t="str">
        <f>IFERROR(__xludf.DUMMYFUNCTION("GOOGLETRANSLATE(C1323, ""en"", ""fr"")"),"finition")</f>
        <v>finition</v>
      </c>
      <c r="G1323" s="8" t="str">
        <f>IFERROR(__xludf.DUMMYFUNCTION("GOOGLETRANSLATE(C1323, ""en"", ""de"")"),"beenden")</f>
        <v>beenden</v>
      </c>
      <c r="H1323" s="8" t="str">
        <f>IFERROR(__xludf.DUMMYFUNCTION("GOOGLETRANSLATE(C1323, ""en"", ""ru"")"),"заканчивать")</f>
        <v>заканчивать</v>
      </c>
      <c r="I1323" s="8" t="str">
        <f>IFERROR(__xludf.DUMMYFUNCTION("GOOGLETRANSLATE(C1323, ""en"", ""ar"")"),"ينهي")</f>
        <v>ينهي</v>
      </c>
      <c r="J1323" s="8"/>
      <c r="K1323" s="7" t="str">
        <f>IFERROR(__xludf.DUMMYFUNCTION("CONCAT(REGEXREPLACE(C1323,""[ ,]+"",""_""),"".mp3"")"),"finish.mp3")</f>
        <v>finish.mp3</v>
      </c>
      <c r="M1323" s="4" t="s">
        <v>10</v>
      </c>
    </row>
    <row r="1324" ht="15.75" customHeight="1">
      <c r="A1324" s="1">
        <v>2692.0</v>
      </c>
      <c r="B1324" s="3">
        <v>110.0</v>
      </c>
      <c r="C1324" s="7" t="s">
        <v>1335</v>
      </c>
      <c r="D1324" s="8" t="str">
        <f>IFERROR(__xludf.DUMMYFUNCTION("GOOGLETRANSLATE(C1324, ""en"", ""pt"")"),"seguir")</f>
        <v>seguir</v>
      </c>
      <c r="E1324" s="8" t="str">
        <f>IFERROR(__xludf.DUMMYFUNCTION("GOOGLETRANSLATE(C1324, ""en"", ""es"")"),"seguir")</f>
        <v>seguir</v>
      </c>
      <c r="F1324" s="8" t="str">
        <f>IFERROR(__xludf.DUMMYFUNCTION("GOOGLETRANSLATE(C1324, ""en"", ""fr"")"),"suivre")</f>
        <v>suivre</v>
      </c>
      <c r="G1324" s="8" t="str">
        <f>IFERROR(__xludf.DUMMYFUNCTION("GOOGLETRANSLATE(C1324, ""en"", ""de"")"),"folgen")</f>
        <v>folgen</v>
      </c>
      <c r="H1324" s="8" t="str">
        <f>IFERROR(__xludf.DUMMYFUNCTION("GOOGLETRANSLATE(C1324, ""en"", ""ru"")"),"следовать")</f>
        <v>следовать</v>
      </c>
      <c r="I1324" s="8" t="str">
        <f>IFERROR(__xludf.DUMMYFUNCTION("GOOGLETRANSLATE(C1324, ""en"", ""ar"")"),"يتبع")</f>
        <v>يتبع</v>
      </c>
      <c r="J1324" s="8"/>
      <c r="K1324" s="7" t="str">
        <f>IFERROR(__xludf.DUMMYFUNCTION("CONCAT(REGEXREPLACE(C1324,""[ ,]+"",""_""),"".mp3"")"),"follow.mp3")</f>
        <v>follow.mp3</v>
      </c>
      <c r="M1324" s="4" t="s">
        <v>10</v>
      </c>
    </row>
    <row r="1325" ht="15.75" customHeight="1">
      <c r="A1325" s="1">
        <v>2693.0</v>
      </c>
      <c r="B1325" s="3">
        <v>110.0</v>
      </c>
      <c r="C1325" s="7" t="s">
        <v>1336</v>
      </c>
      <c r="D1325" s="8" t="str">
        <f>IFERROR(__xludf.DUMMYFUNCTION("GOOGLETRANSLATE(C1325, ""en"", ""pt"")"),"forma")</f>
        <v>forma</v>
      </c>
      <c r="E1325" s="8" t="str">
        <f>IFERROR(__xludf.DUMMYFUNCTION("GOOGLETRANSLATE(C1325, ""en"", ""es"")"),"forma")</f>
        <v>forma</v>
      </c>
      <c r="F1325" s="8" t="str">
        <f>IFERROR(__xludf.DUMMYFUNCTION("GOOGLETRANSLATE(C1325, ""en"", ""fr"")"),"formulaire")</f>
        <v>formulaire</v>
      </c>
      <c r="G1325" s="8" t="str">
        <f>IFERROR(__xludf.DUMMYFUNCTION("GOOGLETRANSLATE(C1325, ""en"", ""de"")"),"bilden")</f>
        <v>bilden</v>
      </c>
      <c r="H1325" s="8" t="str">
        <f>IFERROR(__xludf.DUMMYFUNCTION("GOOGLETRANSLATE(C1325, ""en"", ""ru"")"),"форма")</f>
        <v>форма</v>
      </c>
      <c r="I1325" s="8" t="str">
        <f>IFERROR(__xludf.DUMMYFUNCTION("GOOGLETRANSLATE(C1325, ""en"", ""ar"")"),"استمارة")</f>
        <v>استمارة</v>
      </c>
      <c r="J1325" s="8"/>
      <c r="K1325" s="7" t="str">
        <f>IFERROR(__xludf.DUMMYFUNCTION("CONCAT(REGEXREPLACE(C1325,""[ ,]+"",""_""),"".mp3"")"),"form.mp3")</f>
        <v>form.mp3</v>
      </c>
      <c r="M1325" s="4" t="s">
        <v>10</v>
      </c>
    </row>
    <row r="1326" ht="15.75" customHeight="1">
      <c r="A1326" s="1">
        <v>2694.0</v>
      </c>
      <c r="B1326" s="3">
        <v>110.0</v>
      </c>
      <c r="C1326" s="7" t="s">
        <v>1337</v>
      </c>
      <c r="D1326" s="8" t="str">
        <f>IFERROR(__xludf.DUMMYFUNCTION("GOOGLETRANSLATE(C1326, ""en"", ""pt"")"),"consertar")</f>
        <v>consertar</v>
      </c>
      <c r="E1326" s="8" t="str">
        <f>IFERROR(__xludf.DUMMYFUNCTION("GOOGLETRANSLATE(C1326, ""en"", ""es"")"),"arreglar")</f>
        <v>arreglar</v>
      </c>
      <c r="F1326" s="8" t="str">
        <f>IFERROR(__xludf.DUMMYFUNCTION("GOOGLETRANSLATE(C1326, ""en"", ""fr"")"),"réparer")</f>
        <v>réparer</v>
      </c>
      <c r="G1326" s="8" t="str">
        <f>IFERROR(__xludf.DUMMYFUNCTION("GOOGLETRANSLATE(C1326, ""en"", ""de"")"),"Fix")</f>
        <v>Fix</v>
      </c>
      <c r="H1326" s="8" t="str">
        <f>IFERROR(__xludf.DUMMYFUNCTION("GOOGLETRANSLATE(C1326, ""en"", ""ru"")"),"исправить")</f>
        <v>исправить</v>
      </c>
      <c r="I1326" s="8" t="str">
        <f>IFERROR(__xludf.DUMMYFUNCTION("GOOGLETRANSLATE(C1326, ""en"", ""ar"")"),"يصلح")</f>
        <v>يصلح</v>
      </c>
      <c r="J1326" s="8"/>
      <c r="K1326" s="7" t="str">
        <f>IFERROR(__xludf.DUMMYFUNCTION("CONCAT(REGEXREPLACE(C1326,""[ ,]+"",""_""),"".mp3"")"),"fix.mp3")</f>
        <v>fix.mp3</v>
      </c>
      <c r="M1326" s="4" t="s">
        <v>10</v>
      </c>
    </row>
    <row r="1327" ht="15.75" customHeight="1">
      <c r="A1327" s="1">
        <v>2695.0</v>
      </c>
      <c r="B1327" s="3">
        <v>110.0</v>
      </c>
      <c r="C1327" s="7" t="s">
        <v>1338</v>
      </c>
      <c r="D1327" s="8" t="str">
        <f>IFERROR(__xludf.DUMMYFUNCTION("GOOGLETRANSLATE(C1327, ""en"", ""pt"")"),"adivinhar")</f>
        <v>adivinhar</v>
      </c>
      <c r="E1327" s="8" t="str">
        <f>IFERROR(__xludf.DUMMYFUNCTION("GOOGLETRANSLATE(C1327, ""en"", ""es"")"),"adivinar")</f>
        <v>adivinar</v>
      </c>
      <c r="F1327" s="8" t="str">
        <f>IFERROR(__xludf.DUMMYFUNCTION("GOOGLETRANSLATE(C1327, ""en"", ""fr"")"),"deviner")</f>
        <v>deviner</v>
      </c>
      <c r="G1327" s="8" t="str">
        <f>IFERROR(__xludf.DUMMYFUNCTION("GOOGLETRANSLATE(C1327, ""en"", ""de"")"),"erraten")</f>
        <v>erraten</v>
      </c>
      <c r="H1327" s="8" t="str">
        <f>IFERROR(__xludf.DUMMYFUNCTION("GOOGLETRANSLATE(C1327, ""en"", ""ru"")"),"предполагать")</f>
        <v>предполагать</v>
      </c>
      <c r="I1327" s="8" t="str">
        <f>IFERROR(__xludf.DUMMYFUNCTION("GOOGLETRANSLATE(C1327, ""en"", ""ar"")"),"يخمن")</f>
        <v>يخمن</v>
      </c>
      <c r="J1327" s="8"/>
      <c r="K1327" s="7" t="str">
        <f>IFERROR(__xludf.DUMMYFUNCTION("CONCAT(REGEXREPLACE(C1327,""[ ,]+"",""_""),"".mp3"")"),"guess.mp3")</f>
        <v>guess.mp3</v>
      </c>
      <c r="M1327" s="4" t="s">
        <v>10</v>
      </c>
    </row>
    <row r="1328" ht="15.75" customHeight="1">
      <c r="A1328" s="1">
        <v>2696.0</v>
      </c>
      <c r="B1328" s="3">
        <v>110.0</v>
      </c>
      <c r="C1328" s="7" t="s">
        <v>1339</v>
      </c>
      <c r="D1328" s="8" t="str">
        <f>IFERROR(__xludf.DUMMYFUNCTION("GOOGLETRANSLATE(C1328, ""en"", ""pt"")"),"guia")</f>
        <v>guia</v>
      </c>
      <c r="E1328" s="8" t="str">
        <f>IFERROR(__xludf.DUMMYFUNCTION("GOOGLETRANSLATE(C1328, ""en"", ""es"")"),"guía")</f>
        <v>guía</v>
      </c>
      <c r="F1328" s="8" t="str">
        <f>IFERROR(__xludf.DUMMYFUNCTION("GOOGLETRANSLATE(C1328, ""en"", ""fr"")"),"guide")</f>
        <v>guide</v>
      </c>
      <c r="G1328" s="8" t="str">
        <f>IFERROR(__xludf.DUMMYFUNCTION("GOOGLETRANSLATE(C1328, ""en"", ""de"")"),"Führung")</f>
        <v>Führung</v>
      </c>
      <c r="H1328" s="8" t="str">
        <f>IFERROR(__xludf.DUMMYFUNCTION("GOOGLETRANSLATE(C1328, ""en"", ""ru"")"),"гид")</f>
        <v>гид</v>
      </c>
      <c r="I1328" s="8" t="str">
        <f>IFERROR(__xludf.DUMMYFUNCTION("GOOGLETRANSLATE(C1328, ""en"", ""ar"")"),"مرشد")</f>
        <v>مرشد</v>
      </c>
      <c r="J1328" s="8"/>
      <c r="K1328" s="7" t="str">
        <f>IFERROR(__xludf.DUMMYFUNCTION("CONCAT(REGEXREPLACE(C1328,""[ ,]+"",""_""),"".mp3"")"),"guide.mp3")</f>
        <v>guide.mp3</v>
      </c>
      <c r="M1328" s="4" t="s">
        <v>10</v>
      </c>
    </row>
    <row r="1329" ht="15.75" customHeight="1">
      <c r="A1329" s="1">
        <v>2697.0</v>
      </c>
      <c r="B1329" s="3">
        <v>110.0</v>
      </c>
      <c r="C1329" s="7" t="s">
        <v>1340</v>
      </c>
      <c r="D1329" s="8" t="str">
        <f>IFERROR(__xludf.DUMMYFUNCTION("GOOGLETRANSLATE(C1329, ""en"", ""pt"")"),"acontecer")</f>
        <v>acontecer</v>
      </c>
      <c r="E1329" s="8" t="str">
        <f>IFERROR(__xludf.DUMMYFUNCTION("GOOGLETRANSLATE(C1329, ""en"", ""es"")"),"suceder")</f>
        <v>suceder</v>
      </c>
      <c r="F1329" s="8" t="str">
        <f>IFERROR(__xludf.DUMMYFUNCTION("GOOGLETRANSLATE(C1329, ""en"", ""fr"")"),"arriver")</f>
        <v>arriver</v>
      </c>
      <c r="G1329" s="8" t="str">
        <f>IFERROR(__xludf.DUMMYFUNCTION("GOOGLETRANSLATE(C1329, ""en"", ""de"")"),"passieren")</f>
        <v>passieren</v>
      </c>
      <c r="H1329" s="8" t="str">
        <f>IFERROR(__xludf.DUMMYFUNCTION("GOOGLETRANSLATE(C1329, ""en"", ""ru"")"),"случаться")</f>
        <v>случаться</v>
      </c>
      <c r="I1329" s="8" t="str">
        <f>IFERROR(__xludf.DUMMYFUNCTION("GOOGLETRANSLATE(C1329, ""en"", ""ar"")"),"يحدث")</f>
        <v>يحدث</v>
      </c>
      <c r="J1329" s="8"/>
      <c r="K1329" s="7" t="str">
        <f>IFERROR(__xludf.DUMMYFUNCTION("CONCAT(REGEXREPLACE(C1329,""[ ,]+"",""_""),"".mp3"")"),"happen.mp3")</f>
        <v>happen.mp3</v>
      </c>
      <c r="M1329" s="4" t="s">
        <v>10</v>
      </c>
    </row>
    <row r="1330" ht="15.75" customHeight="1">
      <c r="A1330" s="1">
        <v>2698.0</v>
      </c>
      <c r="B1330" s="3">
        <v>110.0</v>
      </c>
      <c r="C1330" s="7" t="s">
        <v>1341</v>
      </c>
      <c r="D1330" s="8" t="str">
        <f>IFERROR(__xludf.DUMMYFUNCTION("GOOGLETRANSLATE(C1330, ""en"", ""pt"")"),"ajuda")</f>
        <v>ajuda</v>
      </c>
      <c r="E1330" s="8" t="str">
        <f>IFERROR(__xludf.DUMMYFUNCTION("GOOGLETRANSLATE(C1330, ""en"", ""es"")"),"ayuda")</f>
        <v>ayuda</v>
      </c>
      <c r="F1330" s="8" t="str">
        <f>IFERROR(__xludf.DUMMYFUNCTION("GOOGLETRANSLATE(C1330, ""en"", ""fr"")"),"aide")</f>
        <v>aide</v>
      </c>
      <c r="G1330" s="8" t="str">
        <f>IFERROR(__xludf.DUMMYFUNCTION("GOOGLETRANSLATE(C1330, ""en"", ""de"")"),"helfen")</f>
        <v>helfen</v>
      </c>
      <c r="H1330" s="8" t="str">
        <f>IFERROR(__xludf.DUMMYFUNCTION("GOOGLETRANSLATE(C1330, ""en"", ""ru"")"),"помощь")</f>
        <v>помощь</v>
      </c>
      <c r="I1330" s="8" t="str">
        <f>IFERROR(__xludf.DUMMYFUNCTION("GOOGLETRANSLATE(C1330, ""en"", ""ar"")"),"يساعد")</f>
        <v>يساعد</v>
      </c>
      <c r="J1330" s="8"/>
      <c r="K1330" s="7" t="str">
        <f>IFERROR(__xludf.DUMMYFUNCTION("CONCAT(REGEXREPLACE(C1330,""[ ,]+"",""_""),"".mp3"")"),"help.mp3")</f>
        <v>help.mp3</v>
      </c>
      <c r="M1330" s="4" t="s">
        <v>10</v>
      </c>
    </row>
    <row r="1331" ht="15.75" customHeight="1">
      <c r="A1331" s="1">
        <v>2699.0</v>
      </c>
      <c r="B1331" s="3">
        <v>110.0</v>
      </c>
      <c r="C1331" s="7" t="s">
        <v>1342</v>
      </c>
      <c r="D1331" s="8" t="str">
        <f>IFERROR(__xludf.DUMMYFUNCTION("GOOGLETRANSLATE(C1331, ""en"", ""pt"")"),"ter esperança")</f>
        <v>ter esperança</v>
      </c>
      <c r="E1331" s="8" t="str">
        <f>IFERROR(__xludf.DUMMYFUNCTION("GOOGLETRANSLATE(C1331, ""en"", ""es"")"),"esperanza")</f>
        <v>esperanza</v>
      </c>
      <c r="F1331" s="8" t="str">
        <f>IFERROR(__xludf.DUMMYFUNCTION("GOOGLETRANSLATE(C1331, ""en"", ""fr"")"),"espoir")</f>
        <v>espoir</v>
      </c>
      <c r="G1331" s="8" t="str">
        <f>IFERROR(__xludf.DUMMYFUNCTION("GOOGLETRANSLATE(C1331, ""en"", ""de"")"),"Hoffnung")</f>
        <v>Hoffnung</v>
      </c>
      <c r="H1331" s="8" t="str">
        <f>IFERROR(__xludf.DUMMYFUNCTION("GOOGLETRANSLATE(C1331, ""en"", ""ru"")"),"надеяться")</f>
        <v>надеяться</v>
      </c>
      <c r="I1331" s="8" t="str">
        <f>IFERROR(__xludf.DUMMYFUNCTION("GOOGLETRANSLATE(C1331, ""en"", ""ar"")"),"يأمل")</f>
        <v>يأمل</v>
      </c>
      <c r="J1331" s="8"/>
      <c r="K1331" s="7" t="str">
        <f>IFERROR(__xludf.DUMMYFUNCTION("CONCAT(REGEXREPLACE(C1331,""[ ,]+"",""_""),"".mp3"")"),"hope.mp3")</f>
        <v>hope.mp3</v>
      </c>
      <c r="M1331" s="4" t="s">
        <v>10</v>
      </c>
    </row>
    <row r="1332" ht="15.75" customHeight="1">
      <c r="A1332" s="1">
        <v>2700.0</v>
      </c>
      <c r="B1332" s="3">
        <v>110.0</v>
      </c>
      <c r="C1332" s="7" t="s">
        <v>1343</v>
      </c>
      <c r="D1332" s="8" t="str">
        <f>IFERROR(__xludf.DUMMYFUNCTION("GOOGLETRANSLATE(C1332, ""en"", ""pt"")"),"imaginar")</f>
        <v>imaginar</v>
      </c>
      <c r="E1332" s="8" t="str">
        <f>IFERROR(__xludf.DUMMYFUNCTION("GOOGLETRANSLATE(C1332, ""en"", ""es"")"),"imaginar")</f>
        <v>imaginar</v>
      </c>
      <c r="F1332" s="8" t="str">
        <f>IFERROR(__xludf.DUMMYFUNCTION("GOOGLETRANSLATE(C1332, ""en"", ""fr"")"),"imaginer")</f>
        <v>imaginer</v>
      </c>
      <c r="G1332" s="8" t="str">
        <f>IFERROR(__xludf.DUMMYFUNCTION("GOOGLETRANSLATE(C1332, ""en"", ""de"")"),"vorstellen")</f>
        <v>vorstellen</v>
      </c>
      <c r="H1332" s="8" t="str">
        <f>IFERROR(__xludf.DUMMYFUNCTION("GOOGLETRANSLATE(C1332, ""en"", ""ru"")"),"представлять себе")</f>
        <v>представлять себе</v>
      </c>
      <c r="I1332" s="8" t="str">
        <f>IFERROR(__xludf.DUMMYFUNCTION("GOOGLETRANSLATE(C1332, ""en"", ""ar"")"),"يتصور")</f>
        <v>يتصور</v>
      </c>
      <c r="J1332" s="8"/>
      <c r="K1332" s="7" t="str">
        <f>IFERROR(__xludf.DUMMYFUNCTION("CONCAT(REGEXREPLACE(C1332,""[ ,]+"",""_""),"".mp3"")"),"imagine.mp3")</f>
        <v>imagine.mp3</v>
      </c>
      <c r="M1332" s="4" t="s">
        <v>10</v>
      </c>
    </row>
    <row r="1333" ht="15.75" customHeight="1">
      <c r="A1333" s="1">
        <v>2701.0</v>
      </c>
      <c r="B1333" s="3">
        <v>110.0</v>
      </c>
      <c r="C1333" s="7" t="s">
        <v>1344</v>
      </c>
      <c r="D1333" s="8" t="str">
        <f>IFERROR(__xludf.DUMMYFUNCTION("GOOGLETRANSLATE(C1333, ""en"", ""pt"")"),"melhorar")</f>
        <v>melhorar</v>
      </c>
      <c r="E1333" s="8" t="str">
        <f>IFERROR(__xludf.DUMMYFUNCTION("GOOGLETRANSLATE(C1333, ""en"", ""es"")"),"mejorar")</f>
        <v>mejorar</v>
      </c>
      <c r="F1333" s="8" t="str">
        <f>IFERROR(__xludf.DUMMYFUNCTION("GOOGLETRANSLATE(C1333, ""en"", ""fr"")"),"améliorer")</f>
        <v>améliorer</v>
      </c>
      <c r="G1333" s="8" t="str">
        <f>IFERROR(__xludf.DUMMYFUNCTION("GOOGLETRANSLATE(C1333, ""en"", ""de"")"),"verbessern")</f>
        <v>verbessern</v>
      </c>
      <c r="H1333" s="8" t="str">
        <f>IFERROR(__xludf.DUMMYFUNCTION("GOOGLETRANSLATE(C1333, ""en"", ""ru"")"),"улучшать")</f>
        <v>улучшать</v>
      </c>
      <c r="I1333" s="8" t="str">
        <f>IFERROR(__xludf.DUMMYFUNCTION("GOOGLETRANSLATE(C1333, ""en"", ""ar"")"),"يحسن")</f>
        <v>يحسن</v>
      </c>
      <c r="J1333" s="8"/>
      <c r="K1333" s="7" t="str">
        <f>IFERROR(__xludf.DUMMYFUNCTION("CONCAT(REGEXREPLACE(C1333,""[ ,]+"",""_""),"".mp3"")"),"improve.mp3")</f>
        <v>improve.mp3</v>
      </c>
      <c r="M1333" s="4" t="s">
        <v>10</v>
      </c>
    </row>
    <row r="1334" ht="15.75" customHeight="1">
      <c r="A1334" s="1">
        <v>2702.0</v>
      </c>
      <c r="B1334" s="3">
        <v>110.0</v>
      </c>
      <c r="C1334" s="7" t="s">
        <v>1345</v>
      </c>
      <c r="D1334" s="8" t="str">
        <f>IFERROR(__xludf.DUMMYFUNCTION("GOOGLETRANSLATE(C1334, ""en"", ""pt"")"),"incluir")</f>
        <v>incluir</v>
      </c>
      <c r="E1334" s="8" t="str">
        <f>IFERROR(__xludf.DUMMYFUNCTION("GOOGLETRANSLATE(C1334, ""en"", ""es"")"),"incluir")</f>
        <v>incluir</v>
      </c>
      <c r="F1334" s="8" t="str">
        <f>IFERROR(__xludf.DUMMYFUNCTION("GOOGLETRANSLATE(C1334, ""en"", ""fr"")"),"inclure")</f>
        <v>inclure</v>
      </c>
      <c r="G1334" s="8" t="str">
        <f>IFERROR(__xludf.DUMMYFUNCTION("GOOGLETRANSLATE(C1334, ""en"", ""de"")"),"enthalten")</f>
        <v>enthalten</v>
      </c>
      <c r="H1334" s="8" t="str">
        <f>IFERROR(__xludf.DUMMYFUNCTION("GOOGLETRANSLATE(C1334, ""en"", ""ru"")"),"включать")</f>
        <v>включать</v>
      </c>
      <c r="I1334" s="8" t="str">
        <f>IFERROR(__xludf.DUMMYFUNCTION("GOOGLETRANSLATE(C1334, ""en"", ""ar"")"),"يشمل")</f>
        <v>يشمل</v>
      </c>
      <c r="J1334" s="8"/>
      <c r="K1334" s="7" t="str">
        <f>IFERROR(__xludf.DUMMYFUNCTION("CONCAT(REGEXREPLACE(C1334,""[ ,]+"",""_""),"".mp3"")"),"include.mp3")</f>
        <v>include.mp3</v>
      </c>
      <c r="M1334" s="4" t="s">
        <v>10</v>
      </c>
    </row>
    <row r="1335" ht="15.75" customHeight="1">
      <c r="A1335" s="1">
        <v>2703.0</v>
      </c>
      <c r="B1335" s="3">
        <v>110.0</v>
      </c>
      <c r="C1335" s="7" t="s">
        <v>1346</v>
      </c>
      <c r="D1335" s="8" t="str">
        <f>IFERROR(__xludf.DUMMYFUNCTION("GOOGLETRANSLATE(C1335, ""en"", ""pt"")"),"aumentar")</f>
        <v>aumentar</v>
      </c>
      <c r="E1335" s="8" t="str">
        <f>IFERROR(__xludf.DUMMYFUNCTION("GOOGLETRANSLATE(C1335, ""en"", ""es"")"),"aumentar")</f>
        <v>aumentar</v>
      </c>
      <c r="F1335" s="8" t="str">
        <f>IFERROR(__xludf.DUMMYFUNCTION("GOOGLETRANSLATE(C1335, ""en"", ""fr"")"),"augmenter")</f>
        <v>augmenter</v>
      </c>
      <c r="G1335" s="8" t="str">
        <f>IFERROR(__xludf.DUMMYFUNCTION("GOOGLETRANSLATE(C1335, ""en"", ""de"")"),"Zunahme")</f>
        <v>Zunahme</v>
      </c>
      <c r="H1335" s="8" t="str">
        <f>IFERROR(__xludf.DUMMYFUNCTION("GOOGLETRANSLATE(C1335, ""en"", ""ru"")"),"увеличивать")</f>
        <v>увеличивать</v>
      </c>
      <c r="I1335" s="8" t="str">
        <f>IFERROR(__xludf.DUMMYFUNCTION("GOOGLETRANSLATE(C1335, ""en"", ""ar"")"),"يزيد")</f>
        <v>يزيد</v>
      </c>
      <c r="J1335" s="8"/>
      <c r="K1335" s="7" t="str">
        <f>IFERROR(__xludf.DUMMYFUNCTION("CONCAT(REGEXREPLACE(C1335,""[ ,]+"",""_""),"".mp3"")"),"increase.mp3")</f>
        <v>increase.mp3</v>
      </c>
      <c r="M1335" s="4" t="s">
        <v>10</v>
      </c>
    </row>
    <row r="1336" ht="15.75" customHeight="1">
      <c r="A1336" s="1">
        <v>2704.0</v>
      </c>
      <c r="B1336" s="3">
        <v>110.0</v>
      </c>
      <c r="C1336" s="7" t="s">
        <v>1347</v>
      </c>
      <c r="D1336" s="8" t="str">
        <f>IFERROR(__xludf.DUMMYFUNCTION("GOOGLETRANSLATE(C1336, ""en"", ""pt"")"),"informar")</f>
        <v>informar</v>
      </c>
      <c r="E1336" s="8" t="str">
        <f>IFERROR(__xludf.DUMMYFUNCTION("GOOGLETRANSLATE(C1336, ""en"", ""es"")"),"informar")</f>
        <v>informar</v>
      </c>
      <c r="F1336" s="8" t="str">
        <f>IFERROR(__xludf.DUMMYFUNCTION("GOOGLETRANSLATE(C1336, ""en"", ""fr"")"),"informer")</f>
        <v>informer</v>
      </c>
      <c r="G1336" s="8" t="str">
        <f>IFERROR(__xludf.DUMMYFUNCTION("GOOGLETRANSLATE(C1336, ""en"", ""de"")"),"informieren")</f>
        <v>informieren</v>
      </c>
      <c r="H1336" s="8" t="str">
        <f>IFERROR(__xludf.DUMMYFUNCTION("GOOGLETRANSLATE(C1336, ""en"", ""ru"")"),"информировать")</f>
        <v>информировать</v>
      </c>
      <c r="I1336" s="8" t="str">
        <f>IFERROR(__xludf.DUMMYFUNCTION("GOOGLETRANSLATE(C1336, ""en"", ""ar"")"),"يخبر")</f>
        <v>يخبر</v>
      </c>
      <c r="J1336" s="8"/>
      <c r="K1336" s="7" t="str">
        <f>IFERROR(__xludf.DUMMYFUNCTION("CONCAT(REGEXREPLACE(C1336,""[ ,]+"",""_""),"".mp3"")"),"inform.mp3")</f>
        <v>inform.mp3</v>
      </c>
      <c r="M1336" s="4" t="s">
        <v>10</v>
      </c>
    </row>
    <row r="1337" ht="15.75" customHeight="1">
      <c r="A1337" s="1">
        <v>2705.0</v>
      </c>
      <c r="B1337" s="3">
        <v>110.0</v>
      </c>
      <c r="C1337" s="7" t="s">
        <v>1348</v>
      </c>
      <c r="D1337" s="8" t="str">
        <f>IFERROR(__xludf.DUMMYFUNCTION("GOOGLETRANSLATE(C1337, ""en"", ""pt"")"),"convidar")</f>
        <v>convidar</v>
      </c>
      <c r="E1337" s="8" t="str">
        <f>IFERROR(__xludf.DUMMYFUNCTION("GOOGLETRANSLATE(C1337, ""en"", ""es"")"),"invitar")</f>
        <v>invitar</v>
      </c>
      <c r="F1337" s="8" t="str">
        <f>IFERROR(__xludf.DUMMYFUNCTION("GOOGLETRANSLATE(C1337, ""en"", ""fr"")"),"inviter")</f>
        <v>inviter</v>
      </c>
      <c r="G1337" s="8" t="str">
        <f>IFERROR(__xludf.DUMMYFUNCTION("GOOGLETRANSLATE(C1337, ""en"", ""de"")"),"einladen")</f>
        <v>einladen</v>
      </c>
      <c r="H1337" s="8" t="str">
        <f>IFERROR(__xludf.DUMMYFUNCTION("GOOGLETRANSLATE(C1337, ""en"", ""ru"")"),"приглашать")</f>
        <v>приглашать</v>
      </c>
      <c r="I1337" s="8" t="str">
        <f>IFERROR(__xludf.DUMMYFUNCTION("GOOGLETRANSLATE(C1337, ""en"", ""ar"")"),"يدعو")</f>
        <v>يدعو</v>
      </c>
      <c r="J1337" s="8"/>
      <c r="K1337" s="7" t="str">
        <f>IFERROR(__xludf.DUMMYFUNCTION("CONCAT(REGEXREPLACE(C1337,""[ ,]+"",""_""),"".mp3"")"),"invite.mp3")</f>
        <v>invite.mp3</v>
      </c>
      <c r="M1337" s="4" t="s">
        <v>10</v>
      </c>
    </row>
    <row r="1338" ht="15.75" customHeight="1">
      <c r="A1338" s="1">
        <v>2706.0</v>
      </c>
      <c r="B1338" s="3">
        <v>110.0</v>
      </c>
      <c r="C1338" s="7" t="s">
        <v>1349</v>
      </c>
      <c r="D1338" s="8" t="str">
        <f>IFERROR(__xludf.DUMMYFUNCTION("GOOGLETRANSLATE(C1338, ""en"", ""pt"")"),"juntar")</f>
        <v>juntar</v>
      </c>
      <c r="E1338" s="8" t="str">
        <f>IFERROR(__xludf.DUMMYFUNCTION("GOOGLETRANSLATE(C1338, ""en"", ""es"")"),"unirse")</f>
        <v>unirse</v>
      </c>
      <c r="F1338" s="8" t="str">
        <f>IFERROR(__xludf.DUMMYFUNCTION("GOOGLETRANSLATE(C1338, ""en"", ""fr"")"),"rejoindre")</f>
        <v>rejoindre</v>
      </c>
      <c r="G1338" s="8" t="str">
        <f>IFERROR(__xludf.DUMMYFUNCTION("GOOGLETRANSLATE(C1338, ""en"", ""de"")"),"verbinden")</f>
        <v>verbinden</v>
      </c>
      <c r="H1338" s="8" t="str">
        <f>IFERROR(__xludf.DUMMYFUNCTION("GOOGLETRANSLATE(C1338, ""en"", ""ru"")"),"присоединиться")</f>
        <v>присоединиться</v>
      </c>
      <c r="I1338" s="8" t="str">
        <f>IFERROR(__xludf.DUMMYFUNCTION("GOOGLETRANSLATE(C1338, ""en"", ""ar"")"),"ينضم")</f>
        <v>ينضم</v>
      </c>
      <c r="J1338" s="8"/>
      <c r="K1338" s="7" t="str">
        <f>IFERROR(__xludf.DUMMYFUNCTION("CONCAT(REGEXREPLACE(C1338,""[ ,]+"",""_""),"".mp3"")"),"join.mp3")</f>
        <v>join.mp3</v>
      </c>
      <c r="M1338" s="4" t="s">
        <v>10</v>
      </c>
    </row>
    <row r="1339" ht="15.75" customHeight="1">
      <c r="A1339" s="1">
        <v>2707.0</v>
      </c>
      <c r="B1339" s="3">
        <v>110.0</v>
      </c>
      <c r="C1339" s="7" t="s">
        <v>1350</v>
      </c>
      <c r="D1339" s="8" t="str">
        <f>IFERROR(__xludf.DUMMYFUNCTION("GOOGLETRANSLATE(C1339, ""en"", ""pt"")"),"beijo")</f>
        <v>beijo</v>
      </c>
      <c r="E1339" s="8" t="str">
        <f>IFERROR(__xludf.DUMMYFUNCTION("GOOGLETRANSLATE(C1339, ""en"", ""es"")"),"beso")</f>
        <v>beso</v>
      </c>
      <c r="F1339" s="8" t="str">
        <f>IFERROR(__xludf.DUMMYFUNCTION("GOOGLETRANSLATE(C1339, ""en"", ""fr"")"),"baiser")</f>
        <v>baiser</v>
      </c>
      <c r="G1339" s="8" t="str">
        <f>IFERROR(__xludf.DUMMYFUNCTION("GOOGLETRANSLATE(C1339, ""en"", ""de"")"),"Kuss")</f>
        <v>Kuss</v>
      </c>
      <c r="H1339" s="8" t="str">
        <f>IFERROR(__xludf.DUMMYFUNCTION("GOOGLETRANSLATE(C1339, ""en"", ""ru"")"),"целовать")</f>
        <v>целовать</v>
      </c>
      <c r="I1339" s="8" t="str">
        <f>IFERROR(__xludf.DUMMYFUNCTION("GOOGLETRANSLATE(C1339, ""en"", ""ar"")"),"قبلة")</f>
        <v>قبلة</v>
      </c>
      <c r="J1339" s="8"/>
      <c r="K1339" s="7" t="str">
        <f>IFERROR(__xludf.DUMMYFUNCTION("CONCAT(REGEXREPLACE(C1339,""[ ,]+"",""_""),"".mp3"")"),"kiss.mp3")</f>
        <v>kiss.mp3</v>
      </c>
      <c r="M1339" s="4" t="s">
        <v>10</v>
      </c>
    </row>
    <row r="1340" ht="15.75" customHeight="1">
      <c r="A1340" s="1">
        <v>2708.0</v>
      </c>
      <c r="B1340" s="3">
        <v>110.0</v>
      </c>
      <c r="C1340" s="7" t="s">
        <v>1351</v>
      </c>
      <c r="D1340" s="8" t="str">
        <f>IFERROR(__xludf.DUMMYFUNCTION("GOOGLETRANSLATE(C1340, ""en"", ""pt"")"),"bater")</f>
        <v>bater</v>
      </c>
      <c r="E1340" s="8" t="str">
        <f>IFERROR(__xludf.DUMMYFUNCTION("GOOGLETRANSLATE(C1340, ""en"", ""es"")"),"golpear")</f>
        <v>golpear</v>
      </c>
      <c r="F1340" s="8" t="str">
        <f>IFERROR(__xludf.DUMMYFUNCTION("GOOGLETRANSLATE(C1340, ""en"", ""fr"")"),"frappe")</f>
        <v>frappe</v>
      </c>
      <c r="G1340" s="8" t="str">
        <f>IFERROR(__xludf.DUMMYFUNCTION("GOOGLETRANSLATE(C1340, ""en"", ""de"")"),"klopfen")</f>
        <v>klopfen</v>
      </c>
      <c r="H1340" s="8" t="str">
        <f>IFERROR(__xludf.DUMMYFUNCTION("GOOGLETRANSLATE(C1340, ""en"", ""ru"")"),"стук")</f>
        <v>стук</v>
      </c>
      <c r="I1340" s="8" t="str">
        <f>IFERROR(__xludf.DUMMYFUNCTION("GOOGLETRANSLATE(C1340, ""en"", ""ar"")"),"طرق")</f>
        <v>طرق</v>
      </c>
      <c r="J1340" s="8"/>
      <c r="K1340" s="7" t="str">
        <f>IFERROR(__xludf.DUMMYFUNCTION("CONCAT(REGEXREPLACE(C1340,""[ ,]+"",""_""),"".mp3"")"),"knock.mp3")</f>
        <v>knock.mp3</v>
      </c>
      <c r="M1340" s="4" t="s">
        <v>10</v>
      </c>
    </row>
    <row r="1341" ht="15.75" customHeight="1">
      <c r="A1341" s="1">
        <v>2709.0</v>
      </c>
      <c r="B1341" s="3">
        <v>110.0</v>
      </c>
      <c r="C1341" s="7" t="s">
        <v>1352</v>
      </c>
      <c r="D1341" s="8" t="str">
        <f>IFERROR(__xludf.DUMMYFUNCTION("GOOGLETRANSLATE(C1341, ""en"", ""pt"")"),"rir")</f>
        <v>rir</v>
      </c>
      <c r="E1341" s="8" t="str">
        <f>IFERROR(__xludf.DUMMYFUNCTION("GOOGLETRANSLATE(C1341, ""en"", ""es"")"),"reír")</f>
        <v>reír</v>
      </c>
      <c r="F1341" s="8" t="str">
        <f>IFERROR(__xludf.DUMMYFUNCTION("GOOGLETRANSLATE(C1341, ""en"", ""fr"")"),"rire")</f>
        <v>rire</v>
      </c>
      <c r="G1341" s="8" t="str">
        <f>IFERROR(__xludf.DUMMYFUNCTION("GOOGLETRANSLATE(C1341, ""en"", ""de"")"),"lachen")</f>
        <v>lachen</v>
      </c>
      <c r="H1341" s="8" t="str">
        <f>IFERROR(__xludf.DUMMYFUNCTION("GOOGLETRANSLATE(C1341, ""en"", ""ru"")"),"смех")</f>
        <v>смех</v>
      </c>
      <c r="I1341" s="8" t="str">
        <f>IFERROR(__xludf.DUMMYFUNCTION("GOOGLETRANSLATE(C1341, ""en"", ""ar"")"),"يضحك")</f>
        <v>يضحك</v>
      </c>
      <c r="J1341" s="8"/>
      <c r="K1341" s="7" t="str">
        <f>IFERROR(__xludf.DUMMYFUNCTION("CONCAT(REGEXREPLACE(C1341,""[ ,]+"",""_""),"".mp3"")"),"laugh.mp3")</f>
        <v>laugh.mp3</v>
      </c>
      <c r="M1341" s="4" t="s">
        <v>10</v>
      </c>
    </row>
    <row r="1342" ht="15.75" customHeight="1">
      <c r="A1342" s="1">
        <v>2710.0</v>
      </c>
      <c r="B1342" s="3">
        <v>110.0</v>
      </c>
      <c r="C1342" s="3" t="s">
        <v>1353</v>
      </c>
      <c r="D1342" s="8" t="str">
        <f>IFERROR(__xludf.DUMMYFUNCTION("GOOGLETRANSLATE(C1342, ""en"", ""pt"")"),"aprender")</f>
        <v>aprender</v>
      </c>
      <c r="E1342" s="8" t="str">
        <f>IFERROR(__xludf.DUMMYFUNCTION("GOOGLETRANSLATE(C1342, ""en"", ""es"")"),"aprender")</f>
        <v>aprender</v>
      </c>
      <c r="F1342" s="8" t="str">
        <f>IFERROR(__xludf.DUMMYFUNCTION("GOOGLETRANSLATE(C1342, ""en"", ""fr"")"),"apprendre")</f>
        <v>apprendre</v>
      </c>
      <c r="G1342" s="8" t="str">
        <f>IFERROR(__xludf.DUMMYFUNCTION("GOOGLETRANSLATE(C1342, ""en"", ""de"")"),"lernen")</f>
        <v>lernen</v>
      </c>
      <c r="H1342" s="8" t="str">
        <f>IFERROR(__xludf.DUMMYFUNCTION("GOOGLETRANSLATE(C1342, ""en"", ""ru"")"),"учиться")</f>
        <v>учиться</v>
      </c>
      <c r="I1342" s="8" t="str">
        <f>IFERROR(__xludf.DUMMYFUNCTION("GOOGLETRANSLATE(C1342, ""en"", ""ar"")"),"يتعلم")</f>
        <v>يتعلم</v>
      </c>
      <c r="J1342" s="8"/>
      <c r="K1342" s="7" t="str">
        <f>IFERROR(__xludf.DUMMYFUNCTION("CONCAT(REGEXREPLACE(C1342,""[ ,]+"",""_""),"".mp3"")"),"learn.mp3")</f>
        <v>learn.mp3</v>
      </c>
      <c r="M1342" s="4" t="s">
        <v>10</v>
      </c>
    </row>
    <row r="1343" ht="15.75" customHeight="1">
      <c r="A1343" s="1">
        <v>2711.0</v>
      </c>
      <c r="B1343" s="3">
        <v>110.0</v>
      </c>
      <c r="C1343" s="7" t="s">
        <v>1354</v>
      </c>
      <c r="D1343" s="8" t="str">
        <f>IFERROR(__xludf.DUMMYFUNCTION("GOOGLETRANSLATE(C1343, ""en"", ""pt"")"),"como")</f>
        <v>como</v>
      </c>
      <c r="E1343" s="8" t="str">
        <f>IFERROR(__xludf.DUMMYFUNCTION("GOOGLETRANSLATE(C1343, ""en"", ""es"")"),"como")</f>
        <v>como</v>
      </c>
      <c r="F1343" s="8" t="str">
        <f>IFERROR(__xludf.DUMMYFUNCTION("GOOGLETRANSLATE(C1343, ""en"", ""fr"")"),"comme")</f>
        <v>comme</v>
      </c>
      <c r="G1343" s="8" t="str">
        <f>IFERROR(__xludf.DUMMYFUNCTION("GOOGLETRANSLATE(C1343, ""en"", ""de"")"),"wie")</f>
        <v>wie</v>
      </c>
      <c r="H1343" s="8" t="str">
        <f>IFERROR(__xludf.DUMMYFUNCTION("GOOGLETRANSLATE(C1343, ""en"", ""ru"")"),"нравиться")</f>
        <v>нравиться</v>
      </c>
      <c r="I1343" s="8" t="str">
        <f>IFERROR(__xludf.DUMMYFUNCTION("GOOGLETRANSLATE(C1343, ""en"", ""ar"")"),"يحب")</f>
        <v>يحب</v>
      </c>
      <c r="J1343" s="8"/>
      <c r="K1343" s="7" t="str">
        <f>IFERROR(__xludf.DUMMYFUNCTION("CONCAT(REGEXREPLACE(C1343,""[ ,]+"",""_""),"".mp3"")"),"like.mp3")</f>
        <v>like.mp3</v>
      </c>
      <c r="M1343" s="4" t="s">
        <v>10</v>
      </c>
    </row>
    <row r="1344" ht="15.75" customHeight="1">
      <c r="A1344" s="1">
        <v>2712.0</v>
      </c>
      <c r="B1344" s="3">
        <v>110.0</v>
      </c>
      <c r="C1344" s="7" t="s">
        <v>1355</v>
      </c>
      <c r="D1344" s="8" t="str">
        <f>IFERROR(__xludf.DUMMYFUNCTION("GOOGLETRANSLATE(C1344, ""en"", ""pt"")"),"ouvir")</f>
        <v>ouvir</v>
      </c>
      <c r="E1344" s="8" t="str">
        <f>IFERROR(__xludf.DUMMYFUNCTION("GOOGLETRANSLATE(C1344, ""en"", ""es"")"),"escuchar")</f>
        <v>escuchar</v>
      </c>
      <c r="F1344" s="8" t="str">
        <f>IFERROR(__xludf.DUMMYFUNCTION("GOOGLETRANSLATE(C1344, ""en"", ""fr"")"),"écouter")</f>
        <v>écouter</v>
      </c>
      <c r="G1344" s="8" t="str">
        <f>IFERROR(__xludf.DUMMYFUNCTION("GOOGLETRANSLATE(C1344, ""en"", ""de"")"),"Hören")</f>
        <v>Hören</v>
      </c>
      <c r="H1344" s="8" t="str">
        <f>IFERROR(__xludf.DUMMYFUNCTION("GOOGLETRANSLATE(C1344, ""en"", ""ru"")"),"слушать")</f>
        <v>слушать</v>
      </c>
      <c r="I1344" s="8" t="str">
        <f>IFERROR(__xludf.DUMMYFUNCTION("GOOGLETRANSLATE(C1344, ""en"", ""ar"")"),"يستمع")</f>
        <v>يستمع</v>
      </c>
      <c r="J1344" s="8"/>
      <c r="K1344" s="7" t="str">
        <f>IFERROR(__xludf.DUMMYFUNCTION("CONCAT(REGEXREPLACE(C1344,""[ ,]+"",""_""),"".mp3"")"),"listen.mp3")</f>
        <v>listen.mp3</v>
      </c>
      <c r="M1344" s="4" t="s">
        <v>10</v>
      </c>
    </row>
    <row r="1345" ht="15.75" customHeight="1">
      <c r="A1345" s="1">
        <v>2713.0</v>
      </c>
      <c r="B1345" s="3">
        <v>110.0</v>
      </c>
      <c r="C1345" s="7" t="s">
        <v>1356</v>
      </c>
      <c r="D1345" s="8" t="str">
        <f>IFERROR(__xludf.DUMMYFUNCTION("GOOGLETRANSLATE(C1345, ""en"", ""pt"")"),"ao vivo")</f>
        <v>ao vivo</v>
      </c>
      <c r="E1345" s="8" t="str">
        <f>IFERROR(__xludf.DUMMYFUNCTION("GOOGLETRANSLATE(C1345, ""en"", ""es"")"),"vivir")</f>
        <v>vivir</v>
      </c>
      <c r="F1345" s="8" t="str">
        <f>IFERROR(__xludf.DUMMYFUNCTION("GOOGLETRANSLATE(C1345, ""en"", ""fr"")"),"en direct")</f>
        <v>en direct</v>
      </c>
      <c r="G1345" s="8" t="str">
        <f>IFERROR(__xludf.DUMMYFUNCTION("GOOGLETRANSLATE(C1345, ""en"", ""de"")"),"live")</f>
        <v>live</v>
      </c>
      <c r="H1345" s="8" t="str">
        <f>IFERROR(__xludf.DUMMYFUNCTION("GOOGLETRANSLATE(C1345, ""en"", ""ru"")"),"жить")</f>
        <v>жить</v>
      </c>
      <c r="I1345" s="8" t="str">
        <f>IFERROR(__xludf.DUMMYFUNCTION("GOOGLETRANSLATE(C1345, ""en"", ""ar"")"),"يعيش")</f>
        <v>يعيش</v>
      </c>
      <c r="J1345" s="8"/>
      <c r="K1345" s="7" t="str">
        <f>IFERROR(__xludf.DUMMYFUNCTION("CONCAT(REGEXREPLACE(C1345,""[ ,]+"",""_""),"".mp3"")"),"live.mp3")</f>
        <v>live.mp3</v>
      </c>
      <c r="M1345" s="4" t="s">
        <v>10</v>
      </c>
    </row>
    <row r="1346" ht="15.75" customHeight="1">
      <c r="A1346" s="1">
        <v>2714.0</v>
      </c>
      <c r="B1346" s="3">
        <v>110.0</v>
      </c>
      <c r="C1346" s="7" t="s">
        <v>1357</v>
      </c>
      <c r="D1346" s="8" t="str">
        <f>IFERROR(__xludf.DUMMYFUNCTION("GOOGLETRANSLATE(C1346, ""en"", ""pt"")"),"olhar")</f>
        <v>olhar</v>
      </c>
      <c r="E1346" s="8" t="str">
        <f>IFERROR(__xludf.DUMMYFUNCTION("GOOGLETRANSLATE(C1346, ""en"", ""es"")"),"mirar")</f>
        <v>mirar</v>
      </c>
      <c r="F1346" s="8" t="str">
        <f>IFERROR(__xludf.DUMMYFUNCTION("GOOGLETRANSLATE(C1346, ""en"", ""fr"")"),"regarder")</f>
        <v>regarder</v>
      </c>
      <c r="G1346" s="8" t="str">
        <f>IFERROR(__xludf.DUMMYFUNCTION("GOOGLETRANSLATE(C1346, ""en"", ""de"")"),"sehen")</f>
        <v>sehen</v>
      </c>
      <c r="H1346" s="8" t="str">
        <f>IFERROR(__xludf.DUMMYFUNCTION("GOOGLETRANSLATE(C1346, ""en"", ""ru"")"),"смотреть")</f>
        <v>смотреть</v>
      </c>
      <c r="I1346" s="8" t="str">
        <f>IFERROR(__xludf.DUMMYFUNCTION("GOOGLETRANSLATE(C1346, ""en"", ""ar"")"),"ينظر")</f>
        <v>ينظر</v>
      </c>
      <c r="J1346" s="8"/>
      <c r="K1346" s="7" t="str">
        <f>IFERROR(__xludf.DUMMYFUNCTION("CONCAT(REGEXREPLACE(C1346,""[ ,]+"",""_""),"".mp3"")"),"look.mp3")</f>
        <v>look.mp3</v>
      </c>
      <c r="M1346" s="4" t="s">
        <v>10</v>
      </c>
    </row>
    <row r="1347" ht="15.75" customHeight="1">
      <c r="A1347" s="1">
        <v>2715.0</v>
      </c>
      <c r="B1347" s="3">
        <v>110.0</v>
      </c>
      <c r="C1347" s="7" t="s">
        <v>1358</v>
      </c>
      <c r="D1347" s="8" t="str">
        <f>IFERROR(__xludf.DUMMYFUNCTION("GOOGLETRANSLATE(C1347, ""en"", ""pt"")"),"amor")</f>
        <v>amor</v>
      </c>
      <c r="E1347" s="8" t="str">
        <f>IFERROR(__xludf.DUMMYFUNCTION("GOOGLETRANSLATE(C1347, ""en"", ""es"")"),"amar")</f>
        <v>amar</v>
      </c>
      <c r="F1347" s="8" t="str">
        <f>IFERROR(__xludf.DUMMYFUNCTION("GOOGLETRANSLATE(C1347, ""en"", ""fr"")"),"amour")</f>
        <v>amour</v>
      </c>
      <c r="G1347" s="8" t="str">
        <f>IFERROR(__xludf.DUMMYFUNCTION("GOOGLETRANSLATE(C1347, ""en"", ""de"")"),"Liebe")</f>
        <v>Liebe</v>
      </c>
      <c r="H1347" s="8" t="str">
        <f>IFERROR(__xludf.DUMMYFUNCTION("GOOGLETRANSLATE(C1347, ""en"", ""ru"")"),"любовь")</f>
        <v>любовь</v>
      </c>
      <c r="I1347" s="8" t="str">
        <f>IFERROR(__xludf.DUMMYFUNCTION("GOOGLETRANSLATE(C1347, ""en"", ""ar"")"),"حب")</f>
        <v>حب</v>
      </c>
      <c r="J1347" s="8"/>
      <c r="K1347" s="7" t="str">
        <f>IFERROR(__xludf.DUMMYFUNCTION("CONCAT(REGEXREPLACE(C1347,""[ ,]+"",""_""),"".mp3"")"),"love.mp3")</f>
        <v>love.mp3</v>
      </c>
      <c r="M1347" s="4" t="s">
        <v>10</v>
      </c>
    </row>
    <row r="1348" ht="15.75" customHeight="1">
      <c r="A1348" s="1">
        <v>2716.0</v>
      </c>
      <c r="B1348" s="3">
        <v>110.0</v>
      </c>
      <c r="C1348" s="7" t="s">
        <v>1359</v>
      </c>
      <c r="D1348" s="8" t="str">
        <f>IFERROR(__xludf.DUMMYFUNCTION("GOOGLETRANSLATE(C1348, ""en"", ""pt"")"),"gerenciar")</f>
        <v>gerenciar</v>
      </c>
      <c r="E1348" s="8" t="str">
        <f>IFERROR(__xludf.DUMMYFUNCTION("GOOGLETRANSLATE(C1348, ""en"", ""es"")"),"administrar")</f>
        <v>administrar</v>
      </c>
      <c r="F1348" s="8" t="str">
        <f>IFERROR(__xludf.DUMMYFUNCTION("GOOGLETRANSLATE(C1348, ""en"", ""fr"")"),"gérer")</f>
        <v>gérer</v>
      </c>
      <c r="G1348" s="8" t="str">
        <f>IFERROR(__xludf.DUMMYFUNCTION("GOOGLETRANSLATE(C1348, ""en"", ""de"")"),"verwalten")</f>
        <v>verwalten</v>
      </c>
      <c r="H1348" s="8" t="str">
        <f>IFERROR(__xludf.DUMMYFUNCTION("GOOGLETRANSLATE(C1348, ""en"", ""ru"")"),"управлять")</f>
        <v>управлять</v>
      </c>
      <c r="I1348" s="8" t="str">
        <f>IFERROR(__xludf.DUMMYFUNCTION("GOOGLETRANSLATE(C1348, ""en"", ""ar"")"),"يدير")</f>
        <v>يدير</v>
      </c>
      <c r="J1348" s="8"/>
      <c r="K1348" s="7" t="str">
        <f>IFERROR(__xludf.DUMMYFUNCTION("CONCAT(REGEXREPLACE(C1348,""[ ,]+"",""_""),"".mp3"")"),"manage.mp3")</f>
        <v>manage.mp3</v>
      </c>
      <c r="M1348" s="4" t="s">
        <v>10</v>
      </c>
    </row>
    <row r="1349" ht="15.75" customHeight="1">
      <c r="A1349" s="1">
        <v>2717.0</v>
      </c>
      <c r="B1349" s="3">
        <v>110.0</v>
      </c>
      <c r="C1349" s="7" t="s">
        <v>1360</v>
      </c>
      <c r="D1349" s="8" t="str">
        <f>IFERROR(__xludf.DUMMYFUNCTION("GOOGLETRANSLATE(C1349, ""en"", ""pt"")"),"marca")</f>
        <v>marca</v>
      </c>
      <c r="E1349" s="8" t="str">
        <f>IFERROR(__xludf.DUMMYFUNCTION("GOOGLETRANSLATE(C1349, ""en"", ""es"")"),"marca")</f>
        <v>marca</v>
      </c>
      <c r="F1349" s="8" t="str">
        <f>IFERROR(__xludf.DUMMYFUNCTION("GOOGLETRANSLATE(C1349, ""en"", ""fr"")"),"marque")</f>
        <v>marque</v>
      </c>
      <c r="G1349" s="8" t="str">
        <f>IFERROR(__xludf.DUMMYFUNCTION("GOOGLETRANSLATE(C1349, ""en"", ""de"")"),"markieren")</f>
        <v>markieren</v>
      </c>
      <c r="H1349" s="8" t="str">
        <f>IFERROR(__xludf.DUMMYFUNCTION("GOOGLETRANSLATE(C1349, ""en"", ""ru"")"),"отметка")</f>
        <v>отметка</v>
      </c>
      <c r="I1349" s="8" t="str">
        <f>IFERROR(__xludf.DUMMYFUNCTION("GOOGLETRANSLATE(C1349, ""en"", ""ar"")"),"علامة")</f>
        <v>علامة</v>
      </c>
      <c r="J1349" s="8"/>
      <c r="K1349" s="7" t="str">
        <f>IFERROR(__xludf.DUMMYFUNCTION("CONCAT(REGEXREPLACE(C1349,""[ ,]+"",""_""),"".mp3"")"),"mark.mp3")</f>
        <v>mark.mp3</v>
      </c>
      <c r="M1349" s="4" t="s">
        <v>10</v>
      </c>
    </row>
    <row r="1350" ht="15.75" customHeight="1">
      <c r="A1350" s="1">
        <v>2718.0</v>
      </c>
      <c r="B1350" s="3">
        <v>110.0</v>
      </c>
      <c r="C1350" s="7" t="s">
        <v>1361</v>
      </c>
      <c r="D1350" s="8" t="str">
        <f>IFERROR(__xludf.DUMMYFUNCTION("GOOGLETRANSLATE(C1350, ""en"", ""pt"")"),"medir")</f>
        <v>medir</v>
      </c>
      <c r="E1350" s="8" t="str">
        <f>IFERROR(__xludf.DUMMYFUNCTION("GOOGLETRANSLATE(C1350, ""en"", ""es"")"),"medida")</f>
        <v>medida</v>
      </c>
      <c r="F1350" s="8" t="str">
        <f>IFERROR(__xludf.DUMMYFUNCTION("GOOGLETRANSLATE(C1350, ""en"", ""fr"")"),"mesure")</f>
        <v>mesure</v>
      </c>
      <c r="G1350" s="8" t="str">
        <f>IFERROR(__xludf.DUMMYFUNCTION("GOOGLETRANSLATE(C1350, ""en"", ""de"")"),"messen")</f>
        <v>messen</v>
      </c>
      <c r="H1350" s="8" t="str">
        <f>IFERROR(__xludf.DUMMYFUNCTION("GOOGLETRANSLATE(C1350, ""en"", ""ru"")"),"мера")</f>
        <v>мера</v>
      </c>
      <c r="I1350" s="8" t="str">
        <f>IFERROR(__xludf.DUMMYFUNCTION("GOOGLETRANSLATE(C1350, ""en"", ""ar"")"),"يقيس")</f>
        <v>يقيس</v>
      </c>
      <c r="J1350" s="8"/>
      <c r="K1350" s="7" t="str">
        <f>IFERROR(__xludf.DUMMYFUNCTION("CONCAT(REGEXREPLACE(C1350,""[ ,]+"",""_""),"".mp3"")"),"measure.mp3")</f>
        <v>measure.mp3</v>
      </c>
      <c r="M1350" s="4" t="s">
        <v>10</v>
      </c>
    </row>
    <row r="1351" ht="15.75" customHeight="1">
      <c r="A1351" s="1">
        <v>2719.0</v>
      </c>
      <c r="B1351" s="3">
        <v>110.0</v>
      </c>
      <c r="C1351" s="7" t="s">
        <v>1362</v>
      </c>
      <c r="D1351" s="8" t="str">
        <f>IFERROR(__xludf.DUMMYFUNCTION("GOOGLETRANSLATE(C1351, ""en"", ""pt"")"),"mover")</f>
        <v>mover</v>
      </c>
      <c r="E1351" s="8" t="str">
        <f>IFERROR(__xludf.DUMMYFUNCTION("GOOGLETRANSLATE(C1351, ""en"", ""es"")"),"mover")</f>
        <v>mover</v>
      </c>
      <c r="F1351" s="8" t="str">
        <f>IFERROR(__xludf.DUMMYFUNCTION("GOOGLETRANSLATE(C1351, ""en"", ""fr"")"),"se déplacer")</f>
        <v>se déplacer</v>
      </c>
      <c r="G1351" s="8" t="str">
        <f>IFERROR(__xludf.DUMMYFUNCTION("GOOGLETRANSLATE(C1351, ""en"", ""de"")"),"bewegen")</f>
        <v>bewegen</v>
      </c>
      <c r="H1351" s="8" t="str">
        <f>IFERROR(__xludf.DUMMYFUNCTION("GOOGLETRANSLATE(C1351, ""en"", ""ru"")"),"двигаться")</f>
        <v>двигаться</v>
      </c>
      <c r="I1351" s="8" t="str">
        <f>IFERROR(__xludf.DUMMYFUNCTION("GOOGLETRANSLATE(C1351, ""en"", ""ar"")"),"يتحرك")</f>
        <v>يتحرك</v>
      </c>
      <c r="J1351" s="8"/>
      <c r="K1351" s="7" t="str">
        <f>IFERROR(__xludf.DUMMYFUNCTION("CONCAT(REGEXREPLACE(C1351,""[ ,]+"",""_""),"".mp3"")"),"move.mp3")</f>
        <v>move.mp3</v>
      </c>
      <c r="M1351" s="4" t="s">
        <v>10</v>
      </c>
    </row>
    <row r="1352" ht="15.75" customHeight="1">
      <c r="A1352" s="1">
        <v>2720.0</v>
      </c>
      <c r="B1352" s="3">
        <v>110.0</v>
      </c>
      <c r="C1352" s="7" t="s">
        <v>1363</v>
      </c>
      <c r="D1352" s="8" t="str">
        <f>IFERROR(__xludf.DUMMYFUNCTION("GOOGLETRANSLATE(C1352, ""en"", ""pt"")"),"precisar")</f>
        <v>precisar</v>
      </c>
      <c r="E1352" s="8" t="str">
        <f>IFERROR(__xludf.DUMMYFUNCTION("GOOGLETRANSLATE(C1352, ""en"", ""es"")"),"necesidad")</f>
        <v>necesidad</v>
      </c>
      <c r="F1352" s="8" t="str">
        <f>IFERROR(__xludf.DUMMYFUNCTION("GOOGLETRANSLATE(C1352, ""en"", ""fr"")"),"besoin")</f>
        <v>besoin</v>
      </c>
      <c r="G1352" s="8" t="str">
        <f>IFERROR(__xludf.DUMMYFUNCTION("GOOGLETRANSLATE(C1352, ""en"", ""de"")"),"brauchen")</f>
        <v>brauchen</v>
      </c>
      <c r="H1352" s="8" t="str">
        <f>IFERROR(__xludf.DUMMYFUNCTION("GOOGLETRANSLATE(C1352, ""en"", ""ru"")"),"нуждаться")</f>
        <v>нуждаться</v>
      </c>
      <c r="I1352" s="8" t="str">
        <f>IFERROR(__xludf.DUMMYFUNCTION("GOOGLETRANSLATE(C1352, ""en"", ""ar"")"),"يحتاج")</f>
        <v>يحتاج</v>
      </c>
      <c r="J1352" s="8"/>
      <c r="K1352" s="7" t="str">
        <f>IFERROR(__xludf.DUMMYFUNCTION("CONCAT(REGEXREPLACE(C1352,""[ ,]+"",""_""),"".mp3"")"),"need.mp3")</f>
        <v>need.mp3</v>
      </c>
      <c r="M1352" s="4" t="s">
        <v>10</v>
      </c>
    </row>
    <row r="1353" ht="15.75" customHeight="1">
      <c r="A1353" s="1">
        <v>2721.0</v>
      </c>
      <c r="B1353" s="3">
        <v>110.0</v>
      </c>
      <c r="C1353" s="7" t="s">
        <v>1364</v>
      </c>
      <c r="D1353" s="8" t="str">
        <f>IFERROR(__xludf.DUMMYFUNCTION("GOOGLETRANSLATE(C1353, ""en"", ""pt"")"),"perceber")</f>
        <v>perceber</v>
      </c>
      <c r="E1353" s="8" t="str">
        <f>IFERROR(__xludf.DUMMYFUNCTION("GOOGLETRANSLATE(C1353, ""en"", ""es"")"),"aviso")</f>
        <v>aviso</v>
      </c>
      <c r="F1353" s="8" t="str">
        <f>IFERROR(__xludf.DUMMYFUNCTION("GOOGLETRANSLATE(C1353, ""en"", ""fr"")"),"avis")</f>
        <v>avis</v>
      </c>
      <c r="G1353" s="8" t="str">
        <f>IFERROR(__xludf.DUMMYFUNCTION("GOOGLETRANSLATE(C1353, ""en"", ""de"")"),"beachten")</f>
        <v>beachten</v>
      </c>
      <c r="H1353" s="8" t="str">
        <f>IFERROR(__xludf.DUMMYFUNCTION("GOOGLETRANSLATE(C1353, ""en"", ""ru"")"),"уведомление")</f>
        <v>уведомление</v>
      </c>
      <c r="I1353" s="8" t="str">
        <f>IFERROR(__xludf.DUMMYFUNCTION("GOOGLETRANSLATE(C1353, ""en"", ""ar"")"),"يلاحظ")</f>
        <v>يلاحظ</v>
      </c>
      <c r="J1353" s="8"/>
      <c r="K1353" s="7" t="str">
        <f>IFERROR(__xludf.DUMMYFUNCTION("CONCAT(REGEXREPLACE(C1353,""[ ,]+"",""_""),"".mp3"")"),"notice.mp3")</f>
        <v>notice.mp3</v>
      </c>
      <c r="M1353" s="4" t="s">
        <v>10</v>
      </c>
    </row>
    <row r="1354" ht="15.75" customHeight="1">
      <c r="A1354" s="1">
        <v>2722.0</v>
      </c>
      <c r="B1354" s="3">
        <v>110.0</v>
      </c>
      <c r="C1354" s="7" t="s">
        <v>1365</v>
      </c>
      <c r="D1354" s="8" t="str">
        <f>IFERROR(__xludf.DUMMYFUNCTION("GOOGLETRANSLATE(C1354, ""en"", ""pt"")"),"oferecer")</f>
        <v>oferecer</v>
      </c>
      <c r="E1354" s="8" t="str">
        <f>IFERROR(__xludf.DUMMYFUNCTION("GOOGLETRANSLATE(C1354, ""en"", ""es"")"),"oferta")</f>
        <v>oferta</v>
      </c>
      <c r="F1354" s="8" t="str">
        <f>IFERROR(__xludf.DUMMYFUNCTION("GOOGLETRANSLATE(C1354, ""en"", ""fr"")"),"offre")</f>
        <v>offre</v>
      </c>
      <c r="G1354" s="8" t="str">
        <f>IFERROR(__xludf.DUMMYFUNCTION("GOOGLETRANSLATE(C1354, ""en"", ""de"")"),"Angebot")</f>
        <v>Angebot</v>
      </c>
      <c r="H1354" s="8" t="str">
        <f>IFERROR(__xludf.DUMMYFUNCTION("GOOGLETRANSLATE(C1354, ""en"", ""ru"")"),"предложение")</f>
        <v>предложение</v>
      </c>
      <c r="I1354" s="8" t="str">
        <f>IFERROR(__xludf.DUMMYFUNCTION("GOOGLETRANSLATE(C1354, ""en"", ""ar"")"),"يعرض")</f>
        <v>يعرض</v>
      </c>
      <c r="J1354" s="8"/>
      <c r="K1354" s="7" t="str">
        <f>IFERROR(__xludf.DUMMYFUNCTION("CONCAT(REGEXREPLACE(C1354,""[ ,]+"",""_""),"".mp3"")"),"offer.mp3")</f>
        <v>offer.mp3</v>
      </c>
      <c r="M1354" s="4" t="s">
        <v>10</v>
      </c>
    </row>
    <row r="1355" ht="15.75" customHeight="1">
      <c r="A1355" s="1">
        <v>2723.0</v>
      </c>
      <c r="B1355" s="3">
        <v>110.0</v>
      </c>
      <c r="C1355" s="7" t="s">
        <v>1366</v>
      </c>
      <c r="D1355" s="8" t="str">
        <f>IFERROR(__xludf.DUMMYFUNCTION("GOOGLETRANSLATE(C1355, ""en"", ""pt"")"),"abrir")</f>
        <v>abrir</v>
      </c>
      <c r="E1355" s="8" t="str">
        <f>IFERROR(__xludf.DUMMYFUNCTION("GOOGLETRANSLATE(C1355, ""en"", ""es"")"),"abierto")</f>
        <v>abierto</v>
      </c>
      <c r="F1355" s="8" t="str">
        <f>IFERROR(__xludf.DUMMYFUNCTION("GOOGLETRANSLATE(C1355, ""en"", ""fr"")"),"ouvrir")</f>
        <v>ouvrir</v>
      </c>
      <c r="G1355" s="8" t="str">
        <f>IFERROR(__xludf.DUMMYFUNCTION("GOOGLETRANSLATE(C1355, ""en"", ""de"")"),"offen")</f>
        <v>offen</v>
      </c>
      <c r="H1355" s="8" t="str">
        <f>IFERROR(__xludf.DUMMYFUNCTION("GOOGLETRANSLATE(C1355, ""en"", ""ru"")"),"открыть")</f>
        <v>открыть</v>
      </c>
      <c r="I1355" s="8" t="str">
        <f>IFERROR(__xludf.DUMMYFUNCTION("GOOGLETRANSLATE(C1355, ""en"", ""ar"")"),"يفتح")</f>
        <v>يفتح</v>
      </c>
      <c r="J1355" s="8"/>
      <c r="K1355" s="7" t="str">
        <f>IFERROR(__xludf.DUMMYFUNCTION("CONCAT(REGEXREPLACE(C1355,""[ ,]+"",""_""),"".mp3"")"),"open.mp3")</f>
        <v>open.mp3</v>
      </c>
      <c r="M1355" s="4" t="s">
        <v>10</v>
      </c>
    </row>
    <row r="1356" ht="15.75" customHeight="1">
      <c r="A1356" s="1">
        <v>2724.0</v>
      </c>
      <c r="B1356" s="3">
        <v>110.0</v>
      </c>
      <c r="C1356" s="7" t="s">
        <v>1367</v>
      </c>
      <c r="D1356" s="8" t="str">
        <f>IFERROR(__xludf.DUMMYFUNCTION("GOOGLETRANSLATE(C1356, ""en"", ""pt"")"),"ordem")</f>
        <v>ordem</v>
      </c>
      <c r="E1356" s="8" t="str">
        <f>IFERROR(__xludf.DUMMYFUNCTION("GOOGLETRANSLATE(C1356, ""en"", ""es"")"),"orden")</f>
        <v>orden</v>
      </c>
      <c r="F1356" s="8" t="str">
        <f>IFERROR(__xludf.DUMMYFUNCTION("GOOGLETRANSLATE(C1356, ""en"", ""fr"")"),"commande")</f>
        <v>commande</v>
      </c>
      <c r="G1356" s="8" t="str">
        <f>IFERROR(__xludf.DUMMYFUNCTION("GOOGLETRANSLATE(C1356, ""en"", ""de"")"),"Befehl")</f>
        <v>Befehl</v>
      </c>
      <c r="H1356" s="8" t="str">
        <f>IFERROR(__xludf.DUMMYFUNCTION("GOOGLETRANSLATE(C1356, ""en"", ""ru"")"),"заказ")</f>
        <v>заказ</v>
      </c>
      <c r="I1356" s="8" t="str">
        <f>IFERROR(__xludf.DUMMYFUNCTION("GOOGLETRANSLATE(C1356, ""en"", ""ar"")"),"طلب")</f>
        <v>طلب</v>
      </c>
      <c r="J1356" s="8"/>
      <c r="K1356" s="7" t="str">
        <f>IFERROR(__xludf.DUMMYFUNCTION("CONCAT(REGEXREPLACE(C1356,""[ ,]+"",""_""),"".mp3"")"),"order.mp3")</f>
        <v>order.mp3</v>
      </c>
      <c r="M1356" s="4" t="s">
        <v>10</v>
      </c>
    </row>
    <row r="1357" ht="15.75" customHeight="1">
      <c r="A1357" s="1">
        <v>2725.0</v>
      </c>
      <c r="B1357" s="3">
        <v>110.0</v>
      </c>
      <c r="C1357" s="7" t="s">
        <v>1368</v>
      </c>
      <c r="D1357" s="8" t="str">
        <f>IFERROR(__xludf.DUMMYFUNCTION("GOOGLETRANSLATE(C1357, ""en"", ""pt"")"),"pintar")</f>
        <v>pintar</v>
      </c>
      <c r="E1357" s="8" t="str">
        <f>IFERROR(__xludf.DUMMYFUNCTION("GOOGLETRANSLATE(C1357, ""en"", ""es"")"),"pintar")</f>
        <v>pintar</v>
      </c>
      <c r="F1357" s="8" t="str">
        <f>IFERROR(__xludf.DUMMYFUNCTION("GOOGLETRANSLATE(C1357, ""en"", ""fr"")"),"peinture")</f>
        <v>peinture</v>
      </c>
      <c r="G1357" s="8" t="str">
        <f>IFERROR(__xludf.DUMMYFUNCTION("GOOGLETRANSLATE(C1357, ""en"", ""de"")"),"malen")</f>
        <v>malen</v>
      </c>
      <c r="H1357" s="8" t="str">
        <f>IFERROR(__xludf.DUMMYFUNCTION("GOOGLETRANSLATE(C1357, ""en"", ""ru"")"),"краска")</f>
        <v>краска</v>
      </c>
      <c r="I1357" s="8" t="str">
        <f>IFERROR(__xludf.DUMMYFUNCTION("GOOGLETRANSLATE(C1357, ""en"", ""ar"")"),"طلاء")</f>
        <v>طلاء</v>
      </c>
      <c r="J1357" s="8"/>
      <c r="K1357" s="7" t="str">
        <f>IFERROR(__xludf.DUMMYFUNCTION("CONCAT(REGEXREPLACE(C1357,""[ ,]+"",""_""),"".mp3"")"),"paint.mp3")</f>
        <v>paint.mp3</v>
      </c>
      <c r="M1357" s="4" t="s">
        <v>10</v>
      </c>
    </row>
    <row r="1358" ht="15.75" customHeight="1">
      <c r="A1358" s="1">
        <v>2726.0</v>
      </c>
      <c r="B1358" s="3">
        <v>110.0</v>
      </c>
      <c r="C1358" s="7" t="s">
        <v>1369</v>
      </c>
      <c r="D1358" s="8" t="str">
        <f>IFERROR(__xludf.DUMMYFUNCTION("GOOGLETRANSLATE(C1358, ""en"", ""pt"")"),"passar")</f>
        <v>passar</v>
      </c>
      <c r="E1358" s="8" t="str">
        <f>IFERROR(__xludf.DUMMYFUNCTION("GOOGLETRANSLATE(C1358, ""en"", ""es"")"),"aprobar")</f>
        <v>aprobar</v>
      </c>
      <c r="F1358" s="8" t="str">
        <f>IFERROR(__xludf.DUMMYFUNCTION("GOOGLETRANSLATE(C1358, ""en"", ""fr"")"),"passer")</f>
        <v>passer</v>
      </c>
      <c r="G1358" s="8" t="str">
        <f>IFERROR(__xludf.DUMMYFUNCTION("GOOGLETRANSLATE(C1358, ""en"", ""de"")"),"passieren")</f>
        <v>passieren</v>
      </c>
      <c r="H1358" s="8" t="str">
        <f>IFERROR(__xludf.DUMMYFUNCTION("GOOGLETRANSLATE(C1358, ""en"", ""ru"")"),"проходить")</f>
        <v>проходить</v>
      </c>
      <c r="I1358" s="8" t="str">
        <f>IFERROR(__xludf.DUMMYFUNCTION("GOOGLETRANSLATE(C1358, ""en"", ""ar"")"),"يمر")</f>
        <v>يمر</v>
      </c>
      <c r="J1358" s="8"/>
      <c r="K1358" s="7" t="str">
        <f>IFERROR(__xludf.DUMMYFUNCTION("CONCAT(REGEXREPLACE(C1358,""[ ,]+"",""_""),"".mp3"")"),"pass.mp3")</f>
        <v>pass.mp3</v>
      </c>
      <c r="M1358" s="4" t="s">
        <v>10</v>
      </c>
    </row>
    <row r="1359" ht="15.75" customHeight="1">
      <c r="A1359" s="1">
        <v>2727.0</v>
      </c>
      <c r="B1359" s="3">
        <v>110.0</v>
      </c>
      <c r="C1359" s="7" t="s">
        <v>1370</v>
      </c>
      <c r="D1359" s="8" t="str">
        <f>IFERROR(__xludf.DUMMYFUNCTION("GOOGLETRANSLATE(C1359, ""en"", ""pt"")"),"plano")</f>
        <v>plano</v>
      </c>
      <c r="E1359" s="8" t="str">
        <f>IFERROR(__xludf.DUMMYFUNCTION("GOOGLETRANSLATE(C1359, ""en"", ""es"")"),"plan")</f>
        <v>plan</v>
      </c>
      <c r="F1359" s="8" t="str">
        <f>IFERROR(__xludf.DUMMYFUNCTION("GOOGLETRANSLATE(C1359, ""en"", ""fr"")"),"plan")</f>
        <v>plan</v>
      </c>
      <c r="G1359" s="8" t="str">
        <f>IFERROR(__xludf.DUMMYFUNCTION("GOOGLETRANSLATE(C1359, ""en"", ""de"")"),"planen")</f>
        <v>planen</v>
      </c>
      <c r="H1359" s="8" t="str">
        <f>IFERROR(__xludf.DUMMYFUNCTION("GOOGLETRANSLATE(C1359, ""en"", ""ru"")"),"план")</f>
        <v>план</v>
      </c>
      <c r="I1359" s="8" t="str">
        <f>IFERROR(__xludf.DUMMYFUNCTION("GOOGLETRANSLATE(C1359, ""en"", ""ar"")"),"يخطط")</f>
        <v>يخطط</v>
      </c>
      <c r="J1359" s="8"/>
      <c r="K1359" s="7" t="str">
        <f>IFERROR(__xludf.DUMMYFUNCTION("CONCAT(REGEXREPLACE(C1359,""[ ,]+"",""_""),"".mp3"")"),"plan.mp3")</f>
        <v>plan.mp3</v>
      </c>
      <c r="M1359" s="4" t="s">
        <v>10</v>
      </c>
    </row>
    <row r="1360" ht="15.75" customHeight="1">
      <c r="A1360" s="1">
        <v>2728.0</v>
      </c>
      <c r="B1360" s="3">
        <v>110.0</v>
      </c>
      <c r="C1360" s="7" t="s">
        <v>1371</v>
      </c>
      <c r="D1360" s="8" t="str">
        <f>IFERROR(__xludf.DUMMYFUNCTION("GOOGLETRANSLATE(C1360, ""en"", ""pt"")"),"jogar")</f>
        <v>jogar</v>
      </c>
      <c r="E1360" s="8" t="str">
        <f>IFERROR(__xludf.DUMMYFUNCTION("GOOGLETRANSLATE(C1360, ""en"", ""es"")"),"jugar")</f>
        <v>jugar</v>
      </c>
      <c r="F1360" s="8" t="str">
        <f>IFERROR(__xludf.DUMMYFUNCTION("GOOGLETRANSLATE(C1360, ""en"", ""fr"")"),"jouer")</f>
        <v>jouer</v>
      </c>
      <c r="G1360" s="8" t="str">
        <f>IFERROR(__xludf.DUMMYFUNCTION("GOOGLETRANSLATE(C1360, ""en"", ""de"")"),"spielen")</f>
        <v>spielen</v>
      </c>
      <c r="H1360" s="8" t="str">
        <f>IFERROR(__xludf.DUMMYFUNCTION("GOOGLETRANSLATE(C1360, ""en"", ""ru"")"),"играть")</f>
        <v>играть</v>
      </c>
      <c r="I1360" s="8" t="str">
        <f>IFERROR(__xludf.DUMMYFUNCTION("GOOGLETRANSLATE(C1360, ""en"", ""ar"")"),"يلعب")</f>
        <v>يلعب</v>
      </c>
      <c r="J1360" s="8"/>
      <c r="K1360" s="7" t="str">
        <f>IFERROR(__xludf.DUMMYFUNCTION("CONCAT(REGEXREPLACE(C1360,""[ ,]+"",""_""),"".mp3"")"),"play.mp3")</f>
        <v>play.mp3</v>
      </c>
      <c r="M1360" s="4" t="s">
        <v>10</v>
      </c>
    </row>
    <row r="1361" ht="15.75" customHeight="1">
      <c r="A1361" s="1">
        <v>2729.0</v>
      </c>
      <c r="B1361" s="3">
        <v>110.0</v>
      </c>
      <c r="C1361" s="7" t="s">
        <v>1372</v>
      </c>
      <c r="D1361" s="8" t="str">
        <f>IFERROR(__xludf.DUMMYFUNCTION("GOOGLETRANSLATE(C1361, ""en"", ""pt"")"),"preferir")</f>
        <v>preferir</v>
      </c>
      <c r="E1361" s="8" t="str">
        <f>IFERROR(__xludf.DUMMYFUNCTION("GOOGLETRANSLATE(C1361, ""en"", ""es"")"),"preferir")</f>
        <v>preferir</v>
      </c>
      <c r="F1361" s="8" t="str">
        <f>IFERROR(__xludf.DUMMYFUNCTION("GOOGLETRANSLATE(C1361, ""en"", ""fr"")"),"préférer")</f>
        <v>préférer</v>
      </c>
      <c r="G1361" s="8" t="str">
        <f>IFERROR(__xludf.DUMMYFUNCTION("GOOGLETRANSLATE(C1361, ""en"", ""de"")"),"bevorzugen")</f>
        <v>bevorzugen</v>
      </c>
      <c r="H1361" s="8" t="str">
        <f>IFERROR(__xludf.DUMMYFUNCTION("GOOGLETRANSLATE(C1361, ""en"", ""ru"")"),"предпочитать")</f>
        <v>предпочитать</v>
      </c>
      <c r="I1361" s="8" t="str">
        <f>IFERROR(__xludf.DUMMYFUNCTION("GOOGLETRANSLATE(C1361, ""en"", ""ar"")"),"يفضل")</f>
        <v>يفضل</v>
      </c>
      <c r="J1361" s="8"/>
      <c r="K1361" s="7" t="str">
        <f>IFERROR(__xludf.DUMMYFUNCTION("CONCAT(REGEXREPLACE(C1361,""[ ,]+"",""_""),"".mp3"")"),"prefer.mp3")</f>
        <v>prefer.mp3</v>
      </c>
      <c r="M1361" s="4" t="s">
        <v>10</v>
      </c>
    </row>
    <row r="1362" ht="15.75" customHeight="1">
      <c r="A1362" s="1">
        <v>2730.0</v>
      </c>
      <c r="B1362" s="3">
        <v>110.0</v>
      </c>
      <c r="C1362" s="7" t="s">
        <v>1373</v>
      </c>
      <c r="D1362" s="8" t="str">
        <f>IFERROR(__xludf.DUMMYFUNCTION("GOOGLETRANSLATE(C1362, ""en"", ""pt"")"),"preparar")</f>
        <v>preparar</v>
      </c>
      <c r="E1362" s="8" t="str">
        <f>IFERROR(__xludf.DUMMYFUNCTION("GOOGLETRANSLATE(C1362, ""en"", ""es"")"),"preparar")</f>
        <v>preparar</v>
      </c>
      <c r="F1362" s="8" t="str">
        <f>IFERROR(__xludf.DUMMYFUNCTION("GOOGLETRANSLATE(C1362, ""en"", ""fr"")"),"préparer")</f>
        <v>préparer</v>
      </c>
      <c r="G1362" s="8" t="str">
        <f>IFERROR(__xludf.DUMMYFUNCTION("GOOGLETRANSLATE(C1362, ""en"", ""de"")"),"vorbereiten")</f>
        <v>vorbereiten</v>
      </c>
      <c r="H1362" s="8" t="str">
        <f>IFERROR(__xludf.DUMMYFUNCTION("GOOGLETRANSLATE(C1362, ""en"", ""ru"")"),"подготовить")</f>
        <v>подготовить</v>
      </c>
      <c r="I1362" s="8" t="str">
        <f>IFERROR(__xludf.DUMMYFUNCTION("GOOGLETRANSLATE(C1362, ""en"", ""ar"")"),"يحضر")</f>
        <v>يحضر</v>
      </c>
      <c r="J1362" s="8"/>
      <c r="K1362" s="7" t="str">
        <f>IFERROR(__xludf.DUMMYFUNCTION("CONCAT(REGEXREPLACE(C1362,""[ ,]+"",""_""),"".mp3"")"),"prepare.mp3")</f>
        <v>prepare.mp3</v>
      </c>
      <c r="M1362" s="4" t="s">
        <v>10</v>
      </c>
    </row>
    <row r="1363" ht="15.75" customHeight="1">
      <c r="A1363" s="1">
        <v>2731.0</v>
      </c>
      <c r="B1363" s="3">
        <v>110.0</v>
      </c>
      <c r="C1363" s="7" t="s">
        <v>1374</v>
      </c>
      <c r="D1363" s="8" t="str">
        <f>IFERROR(__xludf.DUMMYFUNCTION("GOOGLETRANSLATE(C1363, ""en"", ""pt"")"),"promessa")</f>
        <v>promessa</v>
      </c>
      <c r="E1363" s="8" t="str">
        <f>IFERROR(__xludf.DUMMYFUNCTION("GOOGLETRANSLATE(C1363, ""en"", ""es"")"),"promesa")</f>
        <v>promesa</v>
      </c>
      <c r="F1363" s="8" t="str">
        <f>IFERROR(__xludf.DUMMYFUNCTION("GOOGLETRANSLATE(C1363, ""en"", ""fr"")"),"promesse")</f>
        <v>promesse</v>
      </c>
      <c r="G1363" s="8" t="str">
        <f>IFERROR(__xludf.DUMMYFUNCTION("GOOGLETRANSLATE(C1363, ""en"", ""de"")"),"versprechen")</f>
        <v>versprechen</v>
      </c>
      <c r="H1363" s="8" t="str">
        <f>IFERROR(__xludf.DUMMYFUNCTION("GOOGLETRANSLATE(C1363, ""en"", ""ru"")"),"обещать")</f>
        <v>обещать</v>
      </c>
      <c r="I1363" s="8" t="str">
        <f>IFERROR(__xludf.DUMMYFUNCTION("GOOGLETRANSLATE(C1363, ""en"", ""ar"")"),"يعد")</f>
        <v>يعد</v>
      </c>
      <c r="J1363" s="8"/>
      <c r="K1363" s="7" t="str">
        <f>IFERROR(__xludf.DUMMYFUNCTION("CONCAT(REGEXREPLACE(C1363,""[ ,]+"",""_""),"".mp3"")"),"promise.mp3")</f>
        <v>promise.mp3</v>
      </c>
      <c r="M1363" s="4" t="s">
        <v>10</v>
      </c>
    </row>
    <row r="1364" ht="15.75" customHeight="1">
      <c r="A1364" s="1">
        <v>2732.0</v>
      </c>
      <c r="B1364" s="3">
        <v>110.0</v>
      </c>
      <c r="C1364" s="7" t="s">
        <v>1375</v>
      </c>
      <c r="D1364" s="8" t="str">
        <f>IFERROR(__xludf.DUMMYFUNCTION("GOOGLETRANSLATE(C1364, ""en"", ""pt"")"),"proteger")</f>
        <v>proteger</v>
      </c>
      <c r="E1364" s="8" t="str">
        <f>IFERROR(__xludf.DUMMYFUNCTION("GOOGLETRANSLATE(C1364, ""en"", ""es"")"),"proteger")</f>
        <v>proteger</v>
      </c>
      <c r="F1364" s="8" t="str">
        <f>IFERROR(__xludf.DUMMYFUNCTION("GOOGLETRANSLATE(C1364, ""en"", ""fr"")"),"protéger")</f>
        <v>protéger</v>
      </c>
      <c r="G1364" s="8" t="str">
        <f>IFERROR(__xludf.DUMMYFUNCTION("GOOGLETRANSLATE(C1364, ""en"", ""de"")"),"schützen")</f>
        <v>schützen</v>
      </c>
      <c r="H1364" s="8" t="str">
        <f>IFERROR(__xludf.DUMMYFUNCTION("GOOGLETRANSLATE(C1364, ""en"", ""ru"")"),"защищать")</f>
        <v>защищать</v>
      </c>
      <c r="I1364" s="8" t="str">
        <f>IFERROR(__xludf.DUMMYFUNCTION("GOOGLETRANSLATE(C1364, ""en"", ""ar"")"),"يحمي")</f>
        <v>يحمي</v>
      </c>
      <c r="J1364" s="8"/>
      <c r="K1364" s="7" t="str">
        <f>IFERROR(__xludf.DUMMYFUNCTION("CONCAT(REGEXREPLACE(C1364,""[ ,]+"",""_""),"".mp3"")"),"protect.mp3")</f>
        <v>protect.mp3</v>
      </c>
      <c r="M1364" s="4" t="s">
        <v>10</v>
      </c>
    </row>
    <row r="1365" ht="15.75" customHeight="1">
      <c r="A1365" s="1">
        <v>2733.0</v>
      </c>
      <c r="B1365" s="3">
        <v>110.0</v>
      </c>
      <c r="C1365" s="7" t="s">
        <v>1376</v>
      </c>
      <c r="D1365" s="8" t="str">
        <f>IFERROR(__xludf.DUMMYFUNCTION("GOOGLETRANSLATE(C1365, ""en"", ""pt"")"),"puxar")</f>
        <v>puxar</v>
      </c>
      <c r="E1365" s="8" t="str">
        <f>IFERROR(__xludf.DUMMYFUNCTION("GOOGLETRANSLATE(C1365, ""en"", ""es"")"),"jalar")</f>
        <v>jalar</v>
      </c>
      <c r="F1365" s="8" t="str">
        <f>IFERROR(__xludf.DUMMYFUNCTION("GOOGLETRANSLATE(C1365, ""en"", ""fr"")"),"tirer")</f>
        <v>tirer</v>
      </c>
      <c r="G1365" s="8" t="str">
        <f>IFERROR(__xludf.DUMMYFUNCTION("GOOGLETRANSLATE(C1365, ""en"", ""de"")"),"ziehen")</f>
        <v>ziehen</v>
      </c>
      <c r="H1365" s="8" t="str">
        <f>IFERROR(__xludf.DUMMYFUNCTION("GOOGLETRANSLATE(C1365, ""en"", ""ru"")"),"тянуть")</f>
        <v>тянуть</v>
      </c>
      <c r="I1365" s="8" t="str">
        <f>IFERROR(__xludf.DUMMYFUNCTION("GOOGLETRANSLATE(C1365, ""en"", ""ar"")"),"يحذب")</f>
        <v>يحذب</v>
      </c>
      <c r="J1365" s="8"/>
      <c r="K1365" s="7" t="str">
        <f>IFERROR(__xludf.DUMMYFUNCTION("CONCAT(REGEXREPLACE(C1365,""[ ,]+"",""_""),"".mp3"")"),"pull.mp3")</f>
        <v>pull.mp3</v>
      </c>
      <c r="M1365" s="4" t="s">
        <v>10</v>
      </c>
    </row>
    <row r="1366" ht="15.75" customHeight="1">
      <c r="A1366" s="1">
        <v>2734.0</v>
      </c>
      <c r="B1366" s="3">
        <v>110.0</v>
      </c>
      <c r="C1366" s="7" t="s">
        <v>1377</v>
      </c>
      <c r="D1366" s="8" t="str">
        <f>IFERROR(__xludf.DUMMYFUNCTION("GOOGLETRANSLATE(C1366, ""en"", ""pt"")"),"empurrar")</f>
        <v>empurrar</v>
      </c>
      <c r="E1366" s="8" t="str">
        <f>IFERROR(__xludf.DUMMYFUNCTION("GOOGLETRANSLATE(C1366, ""en"", ""es"")"),"empujar")</f>
        <v>empujar</v>
      </c>
      <c r="F1366" s="8" t="str">
        <f>IFERROR(__xludf.DUMMYFUNCTION("GOOGLETRANSLATE(C1366, ""en"", ""fr"")"),"pousser")</f>
        <v>pousser</v>
      </c>
      <c r="G1366" s="8" t="str">
        <f>IFERROR(__xludf.DUMMYFUNCTION("GOOGLETRANSLATE(C1366, ""en"", ""de"")"),"drücken")</f>
        <v>drücken</v>
      </c>
      <c r="H1366" s="8" t="str">
        <f>IFERROR(__xludf.DUMMYFUNCTION("GOOGLETRANSLATE(C1366, ""en"", ""ru"")"),"толкать")</f>
        <v>толкать</v>
      </c>
      <c r="I1366" s="8" t="str">
        <f>IFERROR(__xludf.DUMMYFUNCTION("GOOGLETRANSLATE(C1366, ""en"", ""ar"")"),"يدفع")</f>
        <v>يدفع</v>
      </c>
      <c r="J1366" s="8"/>
      <c r="K1366" s="7" t="str">
        <f>IFERROR(__xludf.DUMMYFUNCTION("CONCAT(REGEXREPLACE(C1366,""[ ,]+"",""_""),"".mp3"")"),"push.mp3")</f>
        <v>push.mp3</v>
      </c>
      <c r="M1366" s="4" t="s">
        <v>10</v>
      </c>
    </row>
    <row r="1367" ht="15.75" customHeight="1">
      <c r="A1367" s="1">
        <v>2735.0</v>
      </c>
      <c r="B1367" s="3">
        <v>110.0</v>
      </c>
      <c r="C1367" s="7" t="s">
        <v>1378</v>
      </c>
      <c r="D1367" s="8" t="str">
        <f>IFERROR(__xludf.DUMMYFUNCTION("GOOGLETRANSLATE(C1367, ""en"", ""pt"")"),"chuva")</f>
        <v>chuva</v>
      </c>
      <c r="E1367" s="8" t="str">
        <f>IFERROR(__xludf.DUMMYFUNCTION("GOOGLETRANSLATE(C1367, ""en"", ""es"")"),"lluvia")</f>
        <v>lluvia</v>
      </c>
      <c r="F1367" s="8" t="str">
        <f>IFERROR(__xludf.DUMMYFUNCTION("GOOGLETRANSLATE(C1367, ""en"", ""fr"")"),"pluie")</f>
        <v>pluie</v>
      </c>
      <c r="G1367" s="8" t="str">
        <f>IFERROR(__xludf.DUMMYFUNCTION("GOOGLETRANSLATE(C1367, ""en"", ""de"")"),"Regen")</f>
        <v>Regen</v>
      </c>
      <c r="H1367" s="8" t="str">
        <f>IFERROR(__xludf.DUMMYFUNCTION("GOOGLETRANSLATE(C1367, ""en"", ""ru"")"),"дождь")</f>
        <v>дождь</v>
      </c>
      <c r="I1367" s="8" t="str">
        <f>IFERROR(__xludf.DUMMYFUNCTION("GOOGLETRANSLATE(C1367, ""en"", ""ar"")"),"مطر")</f>
        <v>مطر</v>
      </c>
      <c r="J1367" s="8"/>
      <c r="K1367" s="7" t="str">
        <f>IFERROR(__xludf.DUMMYFUNCTION("CONCAT(REGEXREPLACE(C1367,""[ ,]+"",""_""),"".mp3"")"),"rain.mp3")</f>
        <v>rain.mp3</v>
      </c>
      <c r="M1367" s="4" t="s">
        <v>10</v>
      </c>
    </row>
    <row r="1368" ht="15.75" customHeight="1">
      <c r="A1368" s="1">
        <v>2736.0</v>
      </c>
      <c r="B1368" s="3">
        <v>110.0</v>
      </c>
      <c r="C1368" s="7" t="s">
        <v>1379</v>
      </c>
      <c r="D1368" s="8" t="str">
        <f>IFERROR(__xludf.DUMMYFUNCTION("GOOGLETRANSLATE(C1368, ""en"", ""pt"")"),"alcançar")</f>
        <v>alcançar</v>
      </c>
      <c r="E1368" s="8" t="str">
        <f>IFERROR(__xludf.DUMMYFUNCTION("GOOGLETRANSLATE(C1368, ""en"", ""es"")"),"alcanzar")</f>
        <v>alcanzar</v>
      </c>
      <c r="F1368" s="8" t="str">
        <f>IFERROR(__xludf.DUMMYFUNCTION("GOOGLETRANSLATE(C1368, ""en"", ""fr"")"),"atteindre")</f>
        <v>atteindre</v>
      </c>
      <c r="G1368" s="8" t="str">
        <f>IFERROR(__xludf.DUMMYFUNCTION("GOOGLETRANSLATE(C1368, ""en"", ""de"")"),"erreichen")</f>
        <v>erreichen</v>
      </c>
      <c r="H1368" s="8" t="str">
        <f>IFERROR(__xludf.DUMMYFUNCTION("GOOGLETRANSLATE(C1368, ""en"", ""ru"")"),"достигать")</f>
        <v>достигать</v>
      </c>
      <c r="I1368" s="8" t="str">
        <f>IFERROR(__xludf.DUMMYFUNCTION("GOOGLETRANSLATE(C1368, ""en"", ""ar"")"),"يصل")</f>
        <v>يصل</v>
      </c>
      <c r="J1368" s="8"/>
      <c r="K1368" s="7" t="str">
        <f>IFERROR(__xludf.DUMMYFUNCTION("CONCAT(REGEXREPLACE(C1368,""[ ,]+"",""_""),"".mp3"")"),"reach.mp3")</f>
        <v>reach.mp3</v>
      </c>
      <c r="M1368" s="4" t="s">
        <v>10</v>
      </c>
    </row>
    <row r="1369" ht="15.75" customHeight="1">
      <c r="A1369" s="1">
        <v>2737.0</v>
      </c>
      <c r="B1369" s="3">
        <v>110.0</v>
      </c>
      <c r="C1369" s="7" t="s">
        <v>1380</v>
      </c>
      <c r="D1369" s="8" t="str">
        <f>IFERROR(__xludf.DUMMYFUNCTION("GOOGLETRANSLATE(C1369, ""en"", ""pt"")"),"receber")</f>
        <v>receber</v>
      </c>
      <c r="E1369" s="8" t="str">
        <f>IFERROR(__xludf.DUMMYFUNCTION("GOOGLETRANSLATE(C1369, ""en"", ""es"")"),"recibir")</f>
        <v>recibir</v>
      </c>
      <c r="F1369" s="8" t="str">
        <f>IFERROR(__xludf.DUMMYFUNCTION("GOOGLETRANSLATE(C1369, ""en"", ""fr"")"),"recevoir")</f>
        <v>recevoir</v>
      </c>
      <c r="G1369" s="8" t="str">
        <f>IFERROR(__xludf.DUMMYFUNCTION("GOOGLETRANSLATE(C1369, ""en"", ""de"")"),"erhalten")</f>
        <v>erhalten</v>
      </c>
      <c r="H1369" s="8" t="str">
        <f>IFERROR(__xludf.DUMMYFUNCTION("GOOGLETRANSLATE(C1369, ""en"", ""ru"")"),"получать")</f>
        <v>получать</v>
      </c>
      <c r="I1369" s="8" t="str">
        <f>IFERROR(__xludf.DUMMYFUNCTION("GOOGLETRANSLATE(C1369, ""en"", ""ar"")"),"يستلم")</f>
        <v>يستلم</v>
      </c>
      <c r="J1369" s="8"/>
      <c r="K1369" s="7" t="str">
        <f>IFERROR(__xludf.DUMMYFUNCTION("CONCAT(REGEXREPLACE(C1369,""[ ,]+"",""_""),"".mp3"")"),"receive.mp3")</f>
        <v>receive.mp3</v>
      </c>
      <c r="M1369" s="4" t="s">
        <v>10</v>
      </c>
    </row>
    <row r="1370" ht="15.75" customHeight="1">
      <c r="A1370" s="1">
        <v>2738.0</v>
      </c>
      <c r="B1370" s="3">
        <v>110.0</v>
      </c>
      <c r="C1370" s="7" t="s">
        <v>1381</v>
      </c>
      <c r="D1370" s="8" t="str">
        <f>IFERROR(__xludf.DUMMYFUNCTION("GOOGLETRANSLATE(C1370, ""en"", ""pt"")"),"lembrar")</f>
        <v>lembrar</v>
      </c>
      <c r="E1370" s="8" t="str">
        <f>IFERROR(__xludf.DUMMYFUNCTION("GOOGLETRANSLATE(C1370, ""en"", ""es"")"),"recordar")</f>
        <v>recordar</v>
      </c>
      <c r="F1370" s="8" t="str">
        <f>IFERROR(__xludf.DUMMYFUNCTION("GOOGLETRANSLATE(C1370, ""en"", ""fr"")"),"souviens-toi")</f>
        <v>souviens-toi</v>
      </c>
      <c r="G1370" s="8" t="str">
        <f>IFERROR(__xludf.DUMMYFUNCTION("GOOGLETRANSLATE(C1370, ""en"", ""de"")"),"erinnern")</f>
        <v>erinnern</v>
      </c>
      <c r="H1370" s="8" t="str">
        <f>IFERROR(__xludf.DUMMYFUNCTION("GOOGLETRANSLATE(C1370, ""en"", ""ru"")"),"помнить")</f>
        <v>помнить</v>
      </c>
      <c r="I1370" s="8" t="str">
        <f>IFERROR(__xludf.DUMMYFUNCTION("GOOGLETRANSLATE(C1370, ""en"", ""ar"")"),"يتذكر")</f>
        <v>يتذكر</v>
      </c>
      <c r="J1370" s="8"/>
      <c r="K1370" s="7" t="str">
        <f>IFERROR(__xludf.DUMMYFUNCTION("CONCAT(REGEXREPLACE(C1370,""[ ,]+"",""_""),"".mp3"")"),"remember.mp3")</f>
        <v>remember.mp3</v>
      </c>
      <c r="M1370" s="4" t="s">
        <v>10</v>
      </c>
    </row>
    <row r="1371" ht="15.75" customHeight="1">
      <c r="A1371" s="1">
        <v>2739.0</v>
      </c>
      <c r="B1371" s="3">
        <v>110.0</v>
      </c>
      <c r="C1371" s="7" t="s">
        <v>1382</v>
      </c>
      <c r="D1371" s="8" t="str">
        <f>IFERROR(__xludf.DUMMYFUNCTION("GOOGLETRANSLATE(C1371, ""en"", ""pt"")"),"repita")</f>
        <v>repita</v>
      </c>
      <c r="E1371" s="8" t="str">
        <f>IFERROR(__xludf.DUMMYFUNCTION("GOOGLETRANSLATE(C1371, ""en"", ""es"")"),"repetir")</f>
        <v>repetir</v>
      </c>
      <c r="F1371" s="8" t="str">
        <f>IFERROR(__xludf.DUMMYFUNCTION("GOOGLETRANSLATE(C1371, ""en"", ""fr"")"),"répéter")</f>
        <v>répéter</v>
      </c>
      <c r="G1371" s="8" t="str">
        <f>IFERROR(__xludf.DUMMYFUNCTION("GOOGLETRANSLATE(C1371, ""en"", ""de"")"),"wiederholen")</f>
        <v>wiederholen</v>
      </c>
      <c r="H1371" s="8" t="str">
        <f>IFERROR(__xludf.DUMMYFUNCTION("GOOGLETRANSLATE(C1371, ""en"", ""ru"")"),"повторить")</f>
        <v>повторить</v>
      </c>
      <c r="I1371" s="8" t="str">
        <f>IFERROR(__xludf.DUMMYFUNCTION("GOOGLETRANSLATE(C1371, ""en"", ""ar"")"),"يكرر")</f>
        <v>يكرر</v>
      </c>
      <c r="J1371" s="8"/>
      <c r="K1371" s="7" t="str">
        <f>IFERROR(__xludf.DUMMYFUNCTION("CONCAT(REGEXREPLACE(C1371,""[ ,]+"",""_""),"".mp3"")"),"repeat.mp3")</f>
        <v>repeat.mp3</v>
      </c>
      <c r="M1371" s="4" t="s">
        <v>10</v>
      </c>
    </row>
    <row r="1372" ht="15.75" customHeight="1">
      <c r="A1372" s="1">
        <v>2740.0</v>
      </c>
      <c r="B1372" s="3">
        <v>110.0</v>
      </c>
      <c r="C1372" s="7" t="s">
        <v>1383</v>
      </c>
      <c r="D1372" s="8" t="str">
        <f>IFERROR(__xludf.DUMMYFUNCTION("GOOGLETRANSLATE(C1372, ""en"", ""pt"")"),"responder")</f>
        <v>responder</v>
      </c>
      <c r="E1372" s="8" t="str">
        <f>IFERROR(__xludf.DUMMYFUNCTION("GOOGLETRANSLATE(C1372, ""en"", ""es"")"),"responder")</f>
        <v>responder</v>
      </c>
      <c r="F1372" s="8" t="str">
        <f>IFERROR(__xludf.DUMMYFUNCTION("GOOGLETRANSLATE(C1372, ""en"", ""fr"")"),"répondre")</f>
        <v>répondre</v>
      </c>
      <c r="G1372" s="8" t="str">
        <f>IFERROR(__xludf.DUMMYFUNCTION("GOOGLETRANSLATE(C1372, ""en"", ""de"")"),"Antwort")</f>
        <v>Antwort</v>
      </c>
      <c r="H1372" s="8" t="str">
        <f>IFERROR(__xludf.DUMMYFUNCTION("GOOGLETRANSLATE(C1372, ""en"", ""ru"")"),"отвечать")</f>
        <v>отвечать</v>
      </c>
      <c r="I1372" s="8" t="str">
        <f>IFERROR(__xludf.DUMMYFUNCTION("GOOGLETRANSLATE(C1372, ""en"", ""ar"")"),"رد")</f>
        <v>رد</v>
      </c>
      <c r="J1372" s="8"/>
      <c r="K1372" s="7" t="str">
        <f>IFERROR(__xludf.DUMMYFUNCTION("CONCAT(REGEXREPLACE(C1372,""[ ,]+"",""_""),"".mp3"")"),"reply.mp3")</f>
        <v>reply.mp3</v>
      </c>
      <c r="M1372" s="4" t="s">
        <v>10</v>
      </c>
    </row>
    <row r="1373" ht="15.75" customHeight="1">
      <c r="A1373" s="1">
        <v>2741.0</v>
      </c>
      <c r="B1373" s="3">
        <v>110.0</v>
      </c>
      <c r="C1373" s="7" t="s">
        <v>1384</v>
      </c>
      <c r="D1373" s="8" t="str">
        <f>IFERROR(__xludf.DUMMYFUNCTION("GOOGLETRANSLATE(C1373, ""en"", ""pt"")"),"retornar")</f>
        <v>retornar</v>
      </c>
      <c r="E1373" s="8" t="str">
        <f>IFERROR(__xludf.DUMMYFUNCTION("GOOGLETRANSLATE(C1373, ""en"", ""es"")"),"devolver")</f>
        <v>devolver</v>
      </c>
      <c r="F1373" s="8" t="str">
        <f>IFERROR(__xludf.DUMMYFUNCTION("GOOGLETRANSLATE(C1373, ""en"", ""fr"")"),"retour")</f>
        <v>retour</v>
      </c>
      <c r="G1373" s="8" t="str">
        <f>IFERROR(__xludf.DUMMYFUNCTION("GOOGLETRANSLATE(C1373, ""en"", ""de"")"),"zurückkehren")</f>
        <v>zurückkehren</v>
      </c>
      <c r="H1373" s="8" t="str">
        <f>IFERROR(__xludf.DUMMYFUNCTION("GOOGLETRANSLATE(C1373, ""en"", ""ru"")"),"возвращаться")</f>
        <v>возвращаться</v>
      </c>
      <c r="I1373" s="8" t="str">
        <f>IFERROR(__xludf.DUMMYFUNCTION("GOOGLETRANSLATE(C1373, ""en"", ""ar"")"),"يعود")</f>
        <v>يعود</v>
      </c>
      <c r="J1373" s="8"/>
      <c r="K1373" s="7" t="str">
        <f>IFERROR(__xludf.DUMMYFUNCTION("CONCAT(REGEXREPLACE(C1373,""[ ,]+"",""_""),"".mp3"")"),"return.mp3")</f>
        <v>return.mp3</v>
      </c>
      <c r="M1373" s="4" t="s">
        <v>10</v>
      </c>
    </row>
    <row r="1374" ht="15.75" customHeight="1">
      <c r="A1374" s="1">
        <v>2742.0</v>
      </c>
      <c r="B1374" s="3">
        <v>110.0</v>
      </c>
      <c r="C1374" s="7" t="s">
        <v>1385</v>
      </c>
      <c r="D1374" s="8" t="str">
        <f>IFERROR(__xludf.DUMMYFUNCTION("GOOGLETRANSLATE(C1374, ""en"", ""pt"")"),"salvar")</f>
        <v>salvar</v>
      </c>
      <c r="E1374" s="8" t="str">
        <f>IFERROR(__xludf.DUMMYFUNCTION("GOOGLETRANSLATE(C1374, ""en"", ""es"")"),"ahorrar")</f>
        <v>ahorrar</v>
      </c>
      <c r="F1374" s="8" t="str">
        <f>IFERROR(__xludf.DUMMYFUNCTION("GOOGLETRANSLATE(C1374, ""en"", ""fr"")"),"sauvegarder")</f>
        <v>sauvegarder</v>
      </c>
      <c r="G1374" s="8" t="str">
        <f>IFERROR(__xludf.DUMMYFUNCTION("GOOGLETRANSLATE(C1374, ""en"", ""de"")"),"speichern")</f>
        <v>speichern</v>
      </c>
      <c r="H1374" s="8" t="str">
        <f>IFERROR(__xludf.DUMMYFUNCTION("GOOGLETRANSLATE(C1374, ""en"", ""ru"")"),"сохранять")</f>
        <v>сохранять</v>
      </c>
      <c r="I1374" s="8" t="str">
        <f>IFERROR(__xludf.DUMMYFUNCTION("GOOGLETRANSLATE(C1374, ""en"", ""ar"")"),"يحفظ")</f>
        <v>يحفظ</v>
      </c>
      <c r="J1374" s="8"/>
      <c r="K1374" s="7" t="str">
        <f>IFERROR(__xludf.DUMMYFUNCTION("CONCAT(REGEXREPLACE(C1374,""[ ,]+"",""_""),"".mp3"")"),"save.mp3")</f>
        <v>save.mp3</v>
      </c>
      <c r="M1374" s="4" t="s">
        <v>10</v>
      </c>
    </row>
    <row r="1375" ht="15.75" customHeight="1">
      <c r="A1375" s="1">
        <v>2743.0</v>
      </c>
      <c r="B1375" s="3">
        <v>110.0</v>
      </c>
      <c r="C1375" s="7" t="s">
        <v>1386</v>
      </c>
      <c r="D1375" s="8" t="str">
        <f>IFERROR(__xludf.DUMMYFUNCTION("GOOGLETRANSLATE(C1375, ""en"", ""pt"")"),"parecer")</f>
        <v>parecer</v>
      </c>
      <c r="E1375" s="8" t="str">
        <f>IFERROR(__xludf.DUMMYFUNCTION("GOOGLETRANSLATE(C1375, ""en"", ""es"")"),"parecer")</f>
        <v>parecer</v>
      </c>
      <c r="F1375" s="8" t="str">
        <f>IFERROR(__xludf.DUMMYFUNCTION("GOOGLETRANSLATE(C1375, ""en"", ""fr"")"),"sembler")</f>
        <v>sembler</v>
      </c>
      <c r="G1375" s="8" t="str">
        <f>IFERROR(__xludf.DUMMYFUNCTION("GOOGLETRANSLATE(C1375, ""en"", ""de"")"),"erscheinen")</f>
        <v>erscheinen</v>
      </c>
      <c r="H1375" s="8" t="str">
        <f>IFERROR(__xludf.DUMMYFUNCTION("GOOGLETRANSLATE(C1375, ""en"", ""ru"")"),"казаться")</f>
        <v>казаться</v>
      </c>
      <c r="I1375" s="8" t="str">
        <f>IFERROR(__xludf.DUMMYFUNCTION("GOOGLETRANSLATE(C1375, ""en"", ""ar"")"),"يبدو")</f>
        <v>يبدو</v>
      </c>
      <c r="J1375" s="8"/>
      <c r="K1375" s="7" t="str">
        <f>IFERROR(__xludf.DUMMYFUNCTION("CONCAT(REGEXREPLACE(C1375,""[ ,]+"",""_""),"".mp3"")"),"seem.mp3")</f>
        <v>seem.mp3</v>
      </c>
      <c r="M1375" s="4" t="s">
        <v>10</v>
      </c>
    </row>
    <row r="1376" ht="15.75" customHeight="1">
      <c r="A1376" s="1">
        <v>2744.0</v>
      </c>
      <c r="B1376" s="3">
        <v>110.0</v>
      </c>
      <c r="C1376" s="7" t="s">
        <v>1387</v>
      </c>
      <c r="D1376" s="8" t="str">
        <f>IFERROR(__xludf.DUMMYFUNCTION("GOOGLETRANSLATE(C1376, ""en"", ""pt"")"),"compartilhar")</f>
        <v>compartilhar</v>
      </c>
      <c r="E1376" s="8" t="str">
        <f>IFERROR(__xludf.DUMMYFUNCTION("GOOGLETRANSLATE(C1376, ""en"", ""es"")"),"compartir")</f>
        <v>compartir</v>
      </c>
      <c r="F1376" s="8" t="str">
        <f>IFERROR(__xludf.DUMMYFUNCTION("GOOGLETRANSLATE(C1376, ""en"", ""fr"")"),"partager")</f>
        <v>partager</v>
      </c>
      <c r="G1376" s="8" t="str">
        <f>IFERROR(__xludf.DUMMYFUNCTION("GOOGLETRANSLATE(C1376, ""en"", ""de"")"),"Aktie")</f>
        <v>Aktie</v>
      </c>
      <c r="H1376" s="8" t="str">
        <f>IFERROR(__xludf.DUMMYFUNCTION("GOOGLETRANSLATE(C1376, ""en"", ""ru"")"),"делиться")</f>
        <v>делиться</v>
      </c>
      <c r="I1376" s="8" t="str">
        <f>IFERROR(__xludf.DUMMYFUNCTION("GOOGLETRANSLATE(C1376, ""en"", ""ar"")"),"يشارك")</f>
        <v>يشارك</v>
      </c>
      <c r="J1376" s="8"/>
      <c r="K1376" s="7" t="str">
        <f>IFERROR(__xludf.DUMMYFUNCTION("CONCAT(REGEXREPLACE(C1376,""[ ,]+"",""_""),"".mp3"")"),"share.mp3")</f>
        <v>share.mp3</v>
      </c>
      <c r="M1376" s="4" t="s">
        <v>10</v>
      </c>
    </row>
    <row r="1377" ht="15.75" customHeight="1">
      <c r="A1377" s="1">
        <v>2745.0</v>
      </c>
      <c r="B1377" s="3">
        <v>110.0</v>
      </c>
      <c r="C1377" s="7" t="s">
        <v>1388</v>
      </c>
      <c r="D1377" s="8" t="str">
        <f>IFERROR(__xludf.DUMMYFUNCTION("GOOGLETRANSLATE(C1377, ""en"", ""pt"")"),"sorriso")</f>
        <v>sorriso</v>
      </c>
      <c r="E1377" s="8" t="str">
        <f>IFERROR(__xludf.DUMMYFUNCTION("GOOGLETRANSLATE(C1377, ""en"", ""es"")"),"sonrisa")</f>
        <v>sonrisa</v>
      </c>
      <c r="F1377" s="8" t="str">
        <f>IFERROR(__xludf.DUMMYFUNCTION("GOOGLETRANSLATE(C1377, ""en"", ""fr"")"),"sourire")</f>
        <v>sourire</v>
      </c>
      <c r="G1377" s="8" t="str">
        <f>IFERROR(__xludf.DUMMYFUNCTION("GOOGLETRANSLATE(C1377, ""en"", ""de"")"),"lächeln")</f>
        <v>lächeln</v>
      </c>
      <c r="H1377" s="8" t="str">
        <f>IFERROR(__xludf.DUMMYFUNCTION("GOOGLETRANSLATE(C1377, ""en"", ""ru"")"),"улыбка")</f>
        <v>улыбка</v>
      </c>
      <c r="I1377" s="8" t="str">
        <f>IFERROR(__xludf.DUMMYFUNCTION("GOOGLETRANSLATE(C1377, ""en"", ""ar"")"),"يبتسم")</f>
        <v>يبتسم</v>
      </c>
      <c r="J1377" s="8"/>
      <c r="K1377" s="7" t="str">
        <f>IFERROR(__xludf.DUMMYFUNCTION("CONCAT(REGEXREPLACE(C1377,""[ ,]+"",""_""),"".mp3"")"),"smile.mp3")</f>
        <v>smile.mp3</v>
      </c>
      <c r="M1377" s="4" t="s">
        <v>10</v>
      </c>
    </row>
    <row r="1378" ht="15.75" customHeight="1">
      <c r="A1378" s="1">
        <v>2746.0</v>
      </c>
      <c r="B1378" s="3">
        <v>110.0</v>
      </c>
      <c r="C1378" s="7" t="s">
        <v>1389</v>
      </c>
      <c r="D1378" s="8" t="str">
        <f>IFERROR(__xludf.DUMMYFUNCTION("GOOGLETRANSLATE(C1378, ""en"", ""pt"")"),"começar")</f>
        <v>começar</v>
      </c>
      <c r="E1378" s="8" t="str">
        <f>IFERROR(__xludf.DUMMYFUNCTION("GOOGLETRANSLATE(C1378, ""en"", ""es"")"),"comenzar")</f>
        <v>comenzar</v>
      </c>
      <c r="F1378" s="8" t="str">
        <f>IFERROR(__xludf.DUMMYFUNCTION("GOOGLETRANSLATE(C1378, ""en"", ""fr"")"),"commencer")</f>
        <v>commencer</v>
      </c>
      <c r="G1378" s="8" t="str">
        <f>IFERROR(__xludf.DUMMYFUNCTION("GOOGLETRANSLATE(C1378, ""en"", ""de"")"),"Start")</f>
        <v>Start</v>
      </c>
      <c r="H1378" s="8" t="str">
        <f>IFERROR(__xludf.DUMMYFUNCTION("GOOGLETRANSLATE(C1378, ""en"", ""ru"")"),"начинать")</f>
        <v>начинать</v>
      </c>
      <c r="I1378" s="8" t="str">
        <f>IFERROR(__xludf.DUMMYFUNCTION("GOOGLETRANSLATE(C1378, ""en"", ""ar"")"),"يبدأ")</f>
        <v>يبدأ</v>
      </c>
      <c r="J1378" s="8"/>
      <c r="K1378" s="7" t="str">
        <f>IFERROR(__xludf.DUMMYFUNCTION("CONCAT(REGEXREPLACE(C1378,""[ ,]+"",""_""),"".mp3"")"),"start.mp3")</f>
        <v>start.mp3</v>
      </c>
      <c r="M1378" s="4" t="s">
        <v>10</v>
      </c>
    </row>
    <row r="1379" ht="15.75" customHeight="1">
      <c r="A1379" s="1">
        <v>2747.0</v>
      </c>
      <c r="B1379" s="3">
        <v>110.0</v>
      </c>
      <c r="C1379" s="7" t="s">
        <v>1390</v>
      </c>
      <c r="D1379" s="8" t="str">
        <f>IFERROR(__xludf.DUMMYFUNCTION("GOOGLETRANSLATE(C1379, ""en"", ""pt"")"),"ficar")</f>
        <v>ficar</v>
      </c>
      <c r="E1379" s="8" t="str">
        <f>IFERROR(__xludf.DUMMYFUNCTION("GOOGLETRANSLATE(C1379, ""en"", ""es"")"),"permanecer")</f>
        <v>permanecer</v>
      </c>
      <c r="F1379" s="8" t="str">
        <f>IFERROR(__xludf.DUMMYFUNCTION("GOOGLETRANSLATE(C1379, ""en"", ""fr"")"),"rester")</f>
        <v>rester</v>
      </c>
      <c r="G1379" s="8" t="str">
        <f>IFERROR(__xludf.DUMMYFUNCTION("GOOGLETRANSLATE(C1379, ""en"", ""de"")"),"bleiben")</f>
        <v>bleiben</v>
      </c>
      <c r="H1379" s="8" t="str">
        <f>IFERROR(__xludf.DUMMYFUNCTION("GOOGLETRANSLATE(C1379, ""en"", ""ru"")"),"оставаться")</f>
        <v>оставаться</v>
      </c>
      <c r="I1379" s="8" t="str">
        <f>IFERROR(__xludf.DUMMYFUNCTION("GOOGLETRANSLATE(C1379, ""en"", ""ar"")"),"يقضي")</f>
        <v>يقضي</v>
      </c>
      <c r="J1379" s="8"/>
      <c r="K1379" s="7" t="str">
        <f>IFERROR(__xludf.DUMMYFUNCTION("CONCAT(REGEXREPLACE(C1379,""[ ,]+"",""_""),"".mp3"")"),"stay.mp3")</f>
        <v>stay.mp3</v>
      </c>
      <c r="M1379" s="4" t="s">
        <v>10</v>
      </c>
    </row>
    <row r="1380" ht="15.75" customHeight="1">
      <c r="A1380" s="1">
        <v>2748.0</v>
      </c>
      <c r="B1380" s="3">
        <v>110.0</v>
      </c>
      <c r="C1380" s="7" t="s">
        <v>1391</v>
      </c>
      <c r="D1380" s="8" t="str">
        <f>IFERROR(__xludf.DUMMYFUNCTION("GOOGLETRANSLATE(C1380, ""en"", ""pt"")"),"parar")</f>
        <v>parar</v>
      </c>
      <c r="E1380" s="8" t="str">
        <f>IFERROR(__xludf.DUMMYFUNCTION("GOOGLETRANSLATE(C1380, ""en"", ""es"")"),"detener")</f>
        <v>detener</v>
      </c>
      <c r="F1380" s="8" t="str">
        <f>IFERROR(__xludf.DUMMYFUNCTION("GOOGLETRANSLATE(C1380, ""en"", ""fr"")"),"arrêt")</f>
        <v>arrêt</v>
      </c>
      <c r="G1380" s="8" t="str">
        <f>IFERROR(__xludf.DUMMYFUNCTION("GOOGLETRANSLATE(C1380, ""en"", ""de"")"),"stoppen")</f>
        <v>stoppen</v>
      </c>
      <c r="H1380" s="8" t="str">
        <f>IFERROR(__xludf.DUMMYFUNCTION("GOOGLETRANSLATE(C1380, ""en"", ""ru"")"),"останавливаться")</f>
        <v>останавливаться</v>
      </c>
      <c r="I1380" s="8" t="str">
        <f>IFERROR(__xludf.DUMMYFUNCTION("GOOGLETRANSLATE(C1380, ""en"", ""ar"")"),"قف")</f>
        <v>قف</v>
      </c>
      <c r="J1380" s="8"/>
      <c r="K1380" s="7" t="str">
        <f>IFERROR(__xludf.DUMMYFUNCTION("CONCAT(REGEXREPLACE(C1380,""[ ,]+"",""_""),"".mp3"")"),"stop.mp3")</f>
        <v>stop.mp3</v>
      </c>
      <c r="M1380" s="4" t="s">
        <v>10</v>
      </c>
    </row>
    <row r="1381" ht="15.75" customHeight="1">
      <c r="A1381" s="1">
        <v>2749.0</v>
      </c>
      <c r="B1381" s="3">
        <v>110.0</v>
      </c>
      <c r="C1381" s="7" t="s">
        <v>1392</v>
      </c>
      <c r="D1381" s="8" t="str">
        <f>IFERROR(__xludf.DUMMYFUNCTION("GOOGLETRANSLATE(C1381, ""en"", ""pt"")"),"estudar")</f>
        <v>estudar</v>
      </c>
      <c r="E1381" s="8" t="str">
        <f>IFERROR(__xludf.DUMMYFUNCTION("GOOGLETRANSLATE(C1381, ""en"", ""es"")"),"estudiar")</f>
        <v>estudiar</v>
      </c>
      <c r="F1381" s="8" t="str">
        <f>IFERROR(__xludf.DUMMYFUNCTION("GOOGLETRANSLATE(C1381, ""en"", ""fr"")"),"étude")</f>
        <v>étude</v>
      </c>
      <c r="G1381" s="8" t="str">
        <f>IFERROR(__xludf.DUMMYFUNCTION("GOOGLETRANSLATE(C1381, ""en"", ""de"")"),"Studie")</f>
        <v>Studie</v>
      </c>
      <c r="H1381" s="8" t="str">
        <f>IFERROR(__xludf.DUMMYFUNCTION("GOOGLETRANSLATE(C1381, ""en"", ""ru"")"),"изучать")</f>
        <v>изучать</v>
      </c>
      <c r="I1381" s="8" t="str">
        <f>IFERROR(__xludf.DUMMYFUNCTION("GOOGLETRANSLATE(C1381, ""en"", ""ar"")"),"يذاكر")</f>
        <v>يذاكر</v>
      </c>
      <c r="J1381" s="8"/>
      <c r="K1381" s="7" t="str">
        <f>IFERROR(__xludf.DUMMYFUNCTION("CONCAT(REGEXREPLACE(C1381,""[ ,]+"",""_""),"".mp3"")"),"study.mp3")</f>
        <v>study.mp3</v>
      </c>
      <c r="M1381" s="4" t="s">
        <v>10</v>
      </c>
    </row>
    <row r="1382" ht="15.75" customHeight="1">
      <c r="A1382" s="1">
        <v>2750.0</v>
      </c>
      <c r="B1382" s="3">
        <v>110.0</v>
      </c>
      <c r="C1382" s="7" t="s">
        <v>1393</v>
      </c>
      <c r="D1382" s="8" t="str">
        <f>IFERROR(__xludf.DUMMYFUNCTION("GOOGLETRANSLATE(C1382, ""en"", ""pt"")"),"sugerir")</f>
        <v>sugerir</v>
      </c>
      <c r="E1382" s="8" t="str">
        <f>IFERROR(__xludf.DUMMYFUNCTION("GOOGLETRANSLATE(C1382, ""en"", ""es"")"),"sugerir")</f>
        <v>sugerir</v>
      </c>
      <c r="F1382" s="8" t="str">
        <f>IFERROR(__xludf.DUMMYFUNCTION("GOOGLETRANSLATE(C1382, ""en"", ""fr"")"),"suggérer")</f>
        <v>suggérer</v>
      </c>
      <c r="G1382" s="8" t="str">
        <f>IFERROR(__xludf.DUMMYFUNCTION("GOOGLETRANSLATE(C1382, ""en"", ""de"")"),"vorschlagen")</f>
        <v>vorschlagen</v>
      </c>
      <c r="H1382" s="8" t="str">
        <f>IFERROR(__xludf.DUMMYFUNCTION("GOOGLETRANSLATE(C1382, ""en"", ""ru"")"),"предлагать")</f>
        <v>предлагать</v>
      </c>
      <c r="I1382" s="8" t="str">
        <f>IFERROR(__xludf.DUMMYFUNCTION("GOOGLETRANSLATE(C1382, ""en"", ""ar"")"),"يقترح")</f>
        <v>يقترح</v>
      </c>
      <c r="J1382" s="8"/>
      <c r="K1382" s="7" t="str">
        <f>IFERROR(__xludf.DUMMYFUNCTION("CONCAT(REGEXREPLACE(C1382,""[ ,]+"",""_""),"".mp3"")"),"suggest.mp3")</f>
        <v>suggest.mp3</v>
      </c>
      <c r="M1382" s="4" t="s">
        <v>10</v>
      </c>
    </row>
    <row r="1383" ht="15.75" customHeight="1">
      <c r="A1383" s="1">
        <v>2751.0</v>
      </c>
      <c r="B1383" s="3">
        <v>110.0</v>
      </c>
      <c r="C1383" s="7" t="s">
        <v>1394</v>
      </c>
      <c r="D1383" s="8" t="str">
        <f>IFERROR(__xludf.DUMMYFUNCTION("GOOGLETRANSLATE(C1383, ""en"", ""pt"")"),"apoiar")</f>
        <v>apoiar</v>
      </c>
      <c r="E1383" s="8" t="str">
        <f>IFERROR(__xludf.DUMMYFUNCTION("GOOGLETRANSLATE(C1383, ""en"", ""es"")"),"apoyo")</f>
        <v>apoyo</v>
      </c>
      <c r="F1383" s="8" t="str">
        <f>IFERROR(__xludf.DUMMYFUNCTION("GOOGLETRANSLATE(C1383, ""en"", ""fr"")"),"soutien")</f>
        <v>soutien</v>
      </c>
      <c r="G1383" s="8" t="str">
        <f>IFERROR(__xludf.DUMMYFUNCTION("GOOGLETRANSLATE(C1383, ""en"", ""de"")"),"Unterstützung")</f>
        <v>Unterstützung</v>
      </c>
      <c r="H1383" s="8" t="str">
        <f>IFERROR(__xludf.DUMMYFUNCTION("GOOGLETRANSLATE(C1383, ""en"", ""ru"")"),"поддерживать")</f>
        <v>поддерживать</v>
      </c>
      <c r="I1383" s="8" t="str">
        <f>IFERROR(__xludf.DUMMYFUNCTION("GOOGLETRANSLATE(C1383, ""en"", ""ar"")"),"يدعم")</f>
        <v>يدعم</v>
      </c>
      <c r="J1383" s="8"/>
      <c r="K1383" s="7" t="str">
        <f>IFERROR(__xludf.DUMMYFUNCTION("CONCAT(REGEXREPLACE(C1383,""[ ,]+"",""_""),"".mp3"")"),"support.mp3")</f>
        <v>support.mp3</v>
      </c>
      <c r="M1383" s="4" t="s">
        <v>10</v>
      </c>
    </row>
    <row r="1384" ht="15.75" customHeight="1">
      <c r="A1384" s="1">
        <v>2752.0</v>
      </c>
      <c r="B1384" s="3">
        <v>110.0</v>
      </c>
      <c r="C1384" s="7" t="s">
        <v>1395</v>
      </c>
      <c r="D1384" s="8" t="str">
        <f>IFERROR(__xludf.DUMMYFUNCTION("GOOGLETRANSLATE(C1384, ""en"", ""pt"")"),"falar")</f>
        <v>falar</v>
      </c>
      <c r="E1384" s="8" t="str">
        <f>IFERROR(__xludf.DUMMYFUNCTION("GOOGLETRANSLATE(C1384, ""en"", ""es"")"),"hablar")</f>
        <v>hablar</v>
      </c>
      <c r="F1384" s="8" t="str">
        <f>IFERROR(__xludf.DUMMYFUNCTION("GOOGLETRANSLATE(C1384, ""en"", ""fr"")"),"parler")</f>
        <v>parler</v>
      </c>
      <c r="G1384" s="8" t="str">
        <f>IFERROR(__xludf.DUMMYFUNCTION("GOOGLETRANSLATE(C1384, ""en"", ""de"")"),"sprechen")</f>
        <v>sprechen</v>
      </c>
      <c r="H1384" s="8" t="str">
        <f>IFERROR(__xludf.DUMMYFUNCTION("GOOGLETRANSLATE(C1384, ""en"", ""ru"")"),"разговаривать")</f>
        <v>разговаривать</v>
      </c>
      <c r="I1384" s="8" t="str">
        <f>IFERROR(__xludf.DUMMYFUNCTION("GOOGLETRANSLATE(C1384, ""en"", ""ar"")"),"يتحدث")</f>
        <v>يتحدث</v>
      </c>
      <c r="J1384" s="8"/>
      <c r="K1384" s="7" t="str">
        <f>IFERROR(__xludf.DUMMYFUNCTION("CONCAT(REGEXREPLACE(C1384,""[ ,]+"",""_""),"".mp3"")"),"talk.mp3")</f>
        <v>talk.mp3</v>
      </c>
      <c r="M1384" s="4" t="s">
        <v>10</v>
      </c>
    </row>
    <row r="1385" ht="15.75" customHeight="1">
      <c r="A1385" s="1">
        <v>2753.0</v>
      </c>
      <c r="B1385" s="3">
        <v>110.0</v>
      </c>
      <c r="C1385" s="7" t="s">
        <v>1396</v>
      </c>
      <c r="D1385" s="8" t="str">
        <f>IFERROR(__xludf.DUMMYFUNCTION("GOOGLETRANSLATE(C1385, ""en"", ""pt"")"),"gosto")</f>
        <v>gosto</v>
      </c>
      <c r="E1385" s="8" t="str">
        <f>IFERROR(__xludf.DUMMYFUNCTION("GOOGLETRANSLATE(C1385, ""en"", ""es"")"),"gusto")</f>
        <v>gusto</v>
      </c>
      <c r="F1385" s="8" t="str">
        <f>IFERROR(__xludf.DUMMYFUNCTION("GOOGLETRANSLATE(C1385, ""en"", ""fr"")"),"goût")</f>
        <v>goût</v>
      </c>
      <c r="G1385" s="8" t="str">
        <f>IFERROR(__xludf.DUMMYFUNCTION("GOOGLETRANSLATE(C1385, ""en"", ""de"")"),"schmecken")</f>
        <v>schmecken</v>
      </c>
      <c r="H1385" s="8" t="str">
        <f>IFERROR(__xludf.DUMMYFUNCTION("GOOGLETRANSLATE(C1385, ""en"", ""ru"")"),"вкус")</f>
        <v>вкус</v>
      </c>
      <c r="I1385" s="8" t="str">
        <f>IFERROR(__xludf.DUMMYFUNCTION("GOOGLETRANSLATE(C1385, ""en"", ""ar"")"),"ذوق")</f>
        <v>ذوق</v>
      </c>
      <c r="J1385" s="8"/>
      <c r="K1385" s="7" t="str">
        <f>IFERROR(__xludf.DUMMYFUNCTION("CONCAT(REGEXREPLACE(C1385,""[ ,]+"",""_""),"".mp3"")"),"taste.mp3")</f>
        <v>taste.mp3</v>
      </c>
      <c r="M1385" s="4" t="s">
        <v>10</v>
      </c>
    </row>
    <row r="1386" ht="15.75" customHeight="1">
      <c r="A1386" s="1">
        <v>2754.0</v>
      </c>
      <c r="B1386" s="3">
        <v>110.0</v>
      </c>
      <c r="C1386" s="7" t="s">
        <v>1397</v>
      </c>
      <c r="D1386" s="8" t="str">
        <f>IFERROR(__xludf.DUMMYFUNCTION("GOOGLETRANSLATE(C1386, ""en"", ""pt"")"),"agradecer")</f>
        <v>agradecer</v>
      </c>
      <c r="E1386" s="8" t="str">
        <f>IFERROR(__xludf.DUMMYFUNCTION("GOOGLETRANSLATE(C1386, ""en"", ""es"")"),"agradecer")</f>
        <v>agradecer</v>
      </c>
      <c r="F1386" s="8" t="str">
        <f>IFERROR(__xludf.DUMMYFUNCTION("GOOGLETRANSLATE(C1386, ""en"", ""fr"")"),"remercier")</f>
        <v>remercier</v>
      </c>
      <c r="G1386" s="8" t="str">
        <f>IFERROR(__xludf.DUMMYFUNCTION("GOOGLETRANSLATE(C1386, ""en"", ""de"")"),"Dank")</f>
        <v>Dank</v>
      </c>
      <c r="H1386" s="8" t="str">
        <f>IFERROR(__xludf.DUMMYFUNCTION("GOOGLETRANSLATE(C1386, ""en"", ""ru"")"),"благодарить")</f>
        <v>благодарить</v>
      </c>
      <c r="I1386" s="8" t="str">
        <f>IFERROR(__xludf.DUMMYFUNCTION("GOOGLETRANSLATE(C1386, ""en"", ""ar"")"),"شكر")</f>
        <v>شكر</v>
      </c>
      <c r="J1386" s="8"/>
      <c r="K1386" s="7" t="str">
        <f>IFERROR(__xludf.DUMMYFUNCTION("CONCAT(REGEXREPLACE(C1386,""[ ,]+"",""_""),"".mp3"")"),"thank.mp3")</f>
        <v>thank.mp3</v>
      </c>
      <c r="M1386" s="4" t="s">
        <v>10</v>
      </c>
    </row>
    <row r="1387" ht="15.75" customHeight="1">
      <c r="A1387" s="1">
        <v>2755.0</v>
      </c>
      <c r="B1387" s="3">
        <v>110.0</v>
      </c>
      <c r="C1387" s="7" t="s">
        <v>1398</v>
      </c>
      <c r="D1387" s="8" t="str">
        <f>IFERROR(__xludf.DUMMYFUNCTION("GOOGLETRANSLATE(C1387, ""en"", ""pt"")"),"viagem")</f>
        <v>viagem</v>
      </c>
      <c r="E1387" s="8" t="str">
        <f>IFERROR(__xludf.DUMMYFUNCTION("GOOGLETRANSLATE(C1387, ""en"", ""es"")"),"viajar")</f>
        <v>viajar</v>
      </c>
      <c r="F1387" s="8" t="str">
        <f>IFERROR(__xludf.DUMMYFUNCTION("GOOGLETRANSLATE(C1387, ""en"", ""fr"")"),"voyage")</f>
        <v>voyage</v>
      </c>
      <c r="G1387" s="8" t="str">
        <f>IFERROR(__xludf.DUMMYFUNCTION("GOOGLETRANSLATE(C1387, ""en"", ""de"")"),"reisen")</f>
        <v>reisen</v>
      </c>
      <c r="H1387" s="8" t="str">
        <f>IFERROR(__xludf.DUMMYFUNCTION("GOOGLETRANSLATE(C1387, ""en"", ""ru"")"),"путешествовать")</f>
        <v>путешествовать</v>
      </c>
      <c r="I1387" s="8" t="str">
        <f>IFERROR(__xludf.DUMMYFUNCTION("GOOGLETRANSLATE(C1387, ""en"", ""ar"")"),"يسافر")</f>
        <v>يسافر</v>
      </c>
      <c r="J1387" s="8"/>
      <c r="K1387" s="7" t="str">
        <f>IFERROR(__xludf.DUMMYFUNCTION("CONCAT(REGEXREPLACE(C1387,""[ ,]+"",""_""),"".mp3"")"),"travel.mp3")</f>
        <v>travel.mp3</v>
      </c>
      <c r="M1387" s="4" t="s">
        <v>10</v>
      </c>
    </row>
    <row r="1388" ht="15.75" customHeight="1">
      <c r="A1388" s="1">
        <v>2756.0</v>
      </c>
      <c r="B1388" s="3">
        <v>110.0</v>
      </c>
      <c r="C1388" s="7" t="s">
        <v>1399</v>
      </c>
      <c r="D1388" s="8" t="str">
        <f>IFERROR(__xludf.DUMMYFUNCTION("GOOGLETRANSLATE(C1388, ""en"", ""pt"")"),"tentar")</f>
        <v>tentar</v>
      </c>
      <c r="E1388" s="8" t="str">
        <f>IFERROR(__xludf.DUMMYFUNCTION("GOOGLETRANSLATE(C1388, ""en"", ""es"")"),"intentar")</f>
        <v>intentar</v>
      </c>
      <c r="F1388" s="8" t="str">
        <f>IFERROR(__xludf.DUMMYFUNCTION("GOOGLETRANSLATE(C1388, ""en"", ""fr"")"),"essayer")</f>
        <v>essayer</v>
      </c>
      <c r="G1388" s="8" t="str">
        <f>IFERROR(__xludf.DUMMYFUNCTION("GOOGLETRANSLATE(C1388, ""en"", ""de"")"),"versuchen")</f>
        <v>versuchen</v>
      </c>
      <c r="H1388" s="8" t="str">
        <f>IFERROR(__xludf.DUMMYFUNCTION("GOOGLETRANSLATE(C1388, ""en"", ""ru"")"),"пытаться")</f>
        <v>пытаться</v>
      </c>
      <c r="I1388" s="8" t="str">
        <f>IFERROR(__xludf.DUMMYFUNCTION("GOOGLETRANSLATE(C1388, ""en"", ""ar"")"),"يحاول")</f>
        <v>يحاول</v>
      </c>
      <c r="J1388" s="8"/>
      <c r="K1388" s="7" t="str">
        <f>IFERROR(__xludf.DUMMYFUNCTION("CONCAT(REGEXREPLACE(C1388,""[ ,]+"",""_""),"".mp3"")"),"try.mp3")</f>
        <v>try.mp3</v>
      </c>
      <c r="M1388" s="4" t="s">
        <v>10</v>
      </c>
    </row>
    <row r="1389" ht="15.75" customHeight="1">
      <c r="A1389" s="1">
        <v>2757.0</v>
      </c>
      <c r="B1389" s="3">
        <v>110.0</v>
      </c>
      <c r="C1389" s="7" t="s">
        <v>1400</v>
      </c>
      <c r="D1389" s="8" t="str">
        <f>IFERROR(__xludf.DUMMYFUNCTION("GOOGLETRANSLATE(C1389, ""en"", ""pt"")"),"vez")</f>
        <v>vez</v>
      </c>
      <c r="E1389" s="8" t="str">
        <f>IFERROR(__xludf.DUMMYFUNCTION("GOOGLETRANSLATE(C1389, ""en"", ""es"")"),"doblar")</f>
        <v>doblar</v>
      </c>
      <c r="F1389" s="8" t="str">
        <f>IFERROR(__xludf.DUMMYFUNCTION("GOOGLETRANSLATE(C1389, ""en"", ""fr"")"),"tourner")</f>
        <v>tourner</v>
      </c>
      <c r="G1389" s="8" t="str">
        <f>IFERROR(__xludf.DUMMYFUNCTION("GOOGLETRANSLATE(C1389, ""en"", ""de"")"),"drehen")</f>
        <v>drehen</v>
      </c>
      <c r="H1389" s="8" t="str">
        <f>IFERROR(__xludf.DUMMYFUNCTION("GOOGLETRANSLATE(C1389, ""en"", ""ru"")"),"повернуть")</f>
        <v>повернуть</v>
      </c>
      <c r="I1389" s="8" t="str">
        <f>IFERROR(__xludf.DUMMYFUNCTION("GOOGLETRANSLATE(C1389, ""en"", ""ar"")"),"دور")</f>
        <v>دور</v>
      </c>
      <c r="J1389" s="8"/>
      <c r="K1389" s="7" t="str">
        <f>IFERROR(__xludf.DUMMYFUNCTION("CONCAT(REGEXREPLACE(C1389,""[ ,]+"",""_""),"".mp3"")"),"turn.mp3")</f>
        <v>turn.mp3</v>
      </c>
      <c r="M1389" s="4" t="s">
        <v>10</v>
      </c>
    </row>
    <row r="1390" ht="15.75" customHeight="1">
      <c r="A1390" s="1">
        <v>2758.0</v>
      </c>
      <c r="B1390" s="3">
        <v>110.0</v>
      </c>
      <c r="C1390" s="7" t="s">
        <v>1401</v>
      </c>
      <c r="D1390" s="8" t="str">
        <f>IFERROR(__xludf.DUMMYFUNCTION("GOOGLETRANSLATE(C1390, ""en"", ""pt"")"),"usar")</f>
        <v>usar</v>
      </c>
      <c r="E1390" s="8" t="str">
        <f>IFERROR(__xludf.DUMMYFUNCTION("GOOGLETRANSLATE(C1390, ""en"", ""es"")"),"usar")</f>
        <v>usar</v>
      </c>
      <c r="F1390" s="8" t="str">
        <f>IFERROR(__xludf.DUMMYFUNCTION("GOOGLETRANSLATE(C1390, ""en"", ""fr"")"),"utiliser")</f>
        <v>utiliser</v>
      </c>
      <c r="G1390" s="8" t="str">
        <f>IFERROR(__xludf.DUMMYFUNCTION("GOOGLETRANSLATE(C1390, ""en"", ""de"")"),"verwenden")</f>
        <v>verwenden</v>
      </c>
      <c r="H1390" s="8" t="str">
        <f>IFERROR(__xludf.DUMMYFUNCTION("GOOGLETRANSLATE(C1390, ""en"", ""ru"")"),"использовать")</f>
        <v>использовать</v>
      </c>
      <c r="I1390" s="8" t="str">
        <f>IFERROR(__xludf.DUMMYFUNCTION("GOOGLETRANSLATE(C1390, ""en"", ""ar"")"),"يستخدم")</f>
        <v>يستخدم</v>
      </c>
      <c r="J1390" s="8"/>
      <c r="K1390" s="7" t="str">
        <f>IFERROR(__xludf.DUMMYFUNCTION("CONCAT(REGEXREPLACE(C1390,""[ ,]+"",""_""),"".mp3"")"),"use.mp3")</f>
        <v>use.mp3</v>
      </c>
      <c r="M1390" s="4" t="s">
        <v>10</v>
      </c>
    </row>
    <row r="1391" ht="15.75" customHeight="1">
      <c r="A1391" s="1">
        <v>2759.0</v>
      </c>
      <c r="B1391" s="3">
        <v>110.0</v>
      </c>
      <c r="C1391" s="7" t="s">
        <v>1402</v>
      </c>
      <c r="D1391" s="8" t="str">
        <f>IFERROR(__xludf.DUMMYFUNCTION("GOOGLETRANSLATE(C1391, ""en"", ""pt"")"),"visita")</f>
        <v>visita</v>
      </c>
      <c r="E1391" s="8" t="str">
        <f>IFERROR(__xludf.DUMMYFUNCTION("GOOGLETRANSLATE(C1391, ""en"", ""es"")"),"visita")</f>
        <v>visita</v>
      </c>
      <c r="F1391" s="8" t="str">
        <f>IFERROR(__xludf.DUMMYFUNCTION("GOOGLETRANSLATE(C1391, ""en"", ""fr"")"),"visite")</f>
        <v>visite</v>
      </c>
      <c r="G1391" s="8" t="str">
        <f>IFERROR(__xludf.DUMMYFUNCTION("GOOGLETRANSLATE(C1391, ""en"", ""de"")"),"besuchen")</f>
        <v>besuchen</v>
      </c>
      <c r="H1391" s="8" t="str">
        <f>IFERROR(__xludf.DUMMYFUNCTION("GOOGLETRANSLATE(C1391, ""en"", ""ru"")"),"посещать")</f>
        <v>посещать</v>
      </c>
      <c r="I1391" s="8" t="str">
        <f>IFERROR(__xludf.DUMMYFUNCTION("GOOGLETRANSLATE(C1391, ""en"", ""ar"")"),"يزور")</f>
        <v>يزور</v>
      </c>
      <c r="J1391" s="8"/>
      <c r="K1391" s="7" t="str">
        <f>IFERROR(__xludf.DUMMYFUNCTION("CONCAT(REGEXREPLACE(C1391,""[ ,]+"",""_""),"".mp3"")"),"visit.mp3")</f>
        <v>visit.mp3</v>
      </c>
      <c r="M1391" s="4" t="s">
        <v>10</v>
      </c>
    </row>
    <row r="1392" ht="15.75" customHeight="1">
      <c r="A1392" s="1">
        <v>2760.0</v>
      </c>
      <c r="B1392" s="3">
        <v>110.0</v>
      </c>
      <c r="C1392" s="7" t="s">
        <v>1403</v>
      </c>
      <c r="D1392" s="8" t="str">
        <f>IFERROR(__xludf.DUMMYFUNCTION("GOOGLETRANSLATE(C1392, ""en"", ""pt"")"),"espere")</f>
        <v>espere</v>
      </c>
      <c r="E1392" s="8" t="str">
        <f>IFERROR(__xludf.DUMMYFUNCTION("GOOGLETRANSLATE(C1392, ""en"", ""es"")"),"esperar")</f>
        <v>esperar</v>
      </c>
      <c r="F1392" s="8" t="str">
        <f>IFERROR(__xludf.DUMMYFUNCTION("GOOGLETRANSLATE(C1392, ""en"", ""fr"")"),"attendez")</f>
        <v>attendez</v>
      </c>
      <c r="G1392" s="8" t="str">
        <f>IFERROR(__xludf.DUMMYFUNCTION("GOOGLETRANSLATE(C1392, ""en"", ""de"")"),"Warten")</f>
        <v>Warten</v>
      </c>
      <c r="H1392" s="8" t="str">
        <f>IFERROR(__xludf.DUMMYFUNCTION("GOOGLETRANSLATE(C1392, ""en"", ""ru"")"),"ждать")</f>
        <v>ждать</v>
      </c>
      <c r="I1392" s="8" t="str">
        <f>IFERROR(__xludf.DUMMYFUNCTION("GOOGLETRANSLATE(C1392, ""en"", ""ar"")"),"انتظر")</f>
        <v>انتظر</v>
      </c>
      <c r="J1392" s="8"/>
      <c r="K1392" s="7" t="str">
        <f>IFERROR(__xludf.DUMMYFUNCTION("CONCAT(REGEXREPLACE(C1392,""[ ,]+"",""_""),"".mp3"")"),"wait.mp3")</f>
        <v>wait.mp3</v>
      </c>
      <c r="M1392" s="4" t="s">
        <v>10</v>
      </c>
    </row>
    <row r="1393" ht="15.75" customHeight="1">
      <c r="A1393" s="1">
        <v>2761.0</v>
      </c>
      <c r="B1393" s="3">
        <v>110.0</v>
      </c>
      <c r="C1393" s="7" t="s">
        <v>1404</v>
      </c>
      <c r="D1393" s="8" t="str">
        <f>IFERROR(__xludf.DUMMYFUNCTION("GOOGLETRANSLATE(C1393, ""en"", ""pt"")"),"andar")</f>
        <v>andar</v>
      </c>
      <c r="E1393" s="8" t="str">
        <f>IFERROR(__xludf.DUMMYFUNCTION("GOOGLETRANSLATE(C1393, ""en"", ""es"")"),"caminar")</f>
        <v>caminar</v>
      </c>
      <c r="F1393" s="8" t="str">
        <f>IFERROR(__xludf.DUMMYFUNCTION("GOOGLETRANSLATE(C1393, ""en"", ""fr"")"),"marcher")</f>
        <v>marcher</v>
      </c>
      <c r="G1393" s="8" t="str">
        <f>IFERROR(__xludf.DUMMYFUNCTION("GOOGLETRANSLATE(C1393, ""en"", ""de"")"),"gehen")</f>
        <v>gehen</v>
      </c>
      <c r="H1393" s="8" t="str">
        <f>IFERROR(__xludf.DUMMYFUNCTION("GOOGLETRANSLATE(C1393, ""en"", ""ru"")"),"ходить")</f>
        <v>ходить</v>
      </c>
      <c r="I1393" s="8" t="str">
        <f>IFERROR(__xludf.DUMMYFUNCTION("GOOGLETRANSLATE(C1393, ""en"", ""ar"")"),"يمشي")</f>
        <v>يمشي</v>
      </c>
      <c r="J1393" s="8"/>
      <c r="K1393" s="7" t="str">
        <f>IFERROR(__xludf.DUMMYFUNCTION("CONCAT(REGEXREPLACE(C1393,""[ ,]+"",""_""),"".mp3"")"),"walk.mp3")</f>
        <v>walk.mp3</v>
      </c>
      <c r="M1393" s="4" t="s">
        <v>10</v>
      </c>
    </row>
    <row r="1394" ht="15.75" customHeight="1">
      <c r="A1394" s="1">
        <v>2762.0</v>
      </c>
      <c r="B1394" s="3">
        <v>110.0</v>
      </c>
      <c r="C1394" s="7" t="s">
        <v>1405</v>
      </c>
      <c r="D1394" s="8" t="str">
        <f>IFERROR(__xludf.DUMMYFUNCTION("GOOGLETRANSLATE(C1394, ""en"", ""pt"")"),"querer")</f>
        <v>querer</v>
      </c>
      <c r="E1394" s="8" t="str">
        <f>IFERROR(__xludf.DUMMYFUNCTION("GOOGLETRANSLATE(C1394, ""en"", ""es"")"),"desear")</f>
        <v>desear</v>
      </c>
      <c r="F1394" s="8" t="str">
        <f>IFERROR(__xludf.DUMMYFUNCTION("GOOGLETRANSLATE(C1394, ""en"", ""fr"")"),"vouloir")</f>
        <v>vouloir</v>
      </c>
      <c r="G1394" s="8" t="str">
        <f>IFERROR(__xludf.DUMMYFUNCTION("GOOGLETRANSLATE(C1394, ""en"", ""de"")"),"wollen")</f>
        <v>wollen</v>
      </c>
      <c r="H1394" s="8" t="str">
        <f>IFERROR(__xludf.DUMMYFUNCTION("GOOGLETRANSLATE(C1394, ""en"", ""ru"")"),"хотеть")</f>
        <v>хотеть</v>
      </c>
      <c r="I1394" s="8" t="str">
        <f>IFERROR(__xludf.DUMMYFUNCTION("GOOGLETRANSLATE(C1394, ""en"", ""ar"")"),"يريد")</f>
        <v>يريد</v>
      </c>
      <c r="J1394" s="8"/>
      <c r="K1394" s="7" t="str">
        <f>IFERROR(__xludf.DUMMYFUNCTION("CONCAT(REGEXREPLACE(C1394,""[ ,]+"",""_""),"".mp3"")"),"want.mp3")</f>
        <v>want.mp3</v>
      </c>
      <c r="M1394" s="4" t="s">
        <v>10</v>
      </c>
    </row>
    <row r="1395" ht="15.75" customHeight="1">
      <c r="A1395" s="1">
        <v>2763.0</v>
      </c>
      <c r="B1395" s="3">
        <v>110.0</v>
      </c>
      <c r="C1395" s="7" t="s">
        <v>1406</v>
      </c>
      <c r="D1395" s="8" t="str">
        <f>IFERROR(__xludf.DUMMYFUNCTION("GOOGLETRANSLATE(C1395, ""en"", ""pt"")"),"assistir")</f>
        <v>assistir</v>
      </c>
      <c r="E1395" s="8" t="str">
        <f>IFERROR(__xludf.DUMMYFUNCTION("GOOGLETRANSLATE(C1395, ""en"", ""es"")"),"mirar")</f>
        <v>mirar</v>
      </c>
      <c r="F1395" s="8" t="str">
        <f>IFERROR(__xludf.DUMMYFUNCTION("GOOGLETRANSLATE(C1395, ""en"", ""fr"")"),"montre")</f>
        <v>montre</v>
      </c>
      <c r="G1395" s="8" t="str">
        <f>IFERROR(__xludf.DUMMYFUNCTION("GOOGLETRANSLATE(C1395, ""en"", ""de"")"),"betrachten")</f>
        <v>betrachten</v>
      </c>
      <c r="H1395" s="8" t="str">
        <f>IFERROR(__xludf.DUMMYFUNCTION("GOOGLETRANSLATE(C1395, ""en"", ""ru"")"),"смотреть")</f>
        <v>смотреть</v>
      </c>
      <c r="I1395" s="8" t="str">
        <f>IFERROR(__xludf.DUMMYFUNCTION("GOOGLETRANSLATE(C1395, ""en"", ""ar"")"),"يشاهد")</f>
        <v>يشاهد</v>
      </c>
      <c r="J1395" s="8"/>
      <c r="K1395" s="7" t="str">
        <f>IFERROR(__xludf.DUMMYFUNCTION("CONCAT(REGEXREPLACE(C1395,""[ ,]+"",""_""),"".mp3"")"),"watch.mp3")</f>
        <v>watch.mp3</v>
      </c>
      <c r="M1395" s="4" t="s">
        <v>10</v>
      </c>
    </row>
    <row r="1396" ht="15.75" customHeight="1">
      <c r="A1396" s="1">
        <v>2764.0</v>
      </c>
      <c r="B1396" s="3">
        <v>110.0</v>
      </c>
      <c r="C1396" s="7" t="s">
        <v>1407</v>
      </c>
      <c r="D1396" s="8" t="str">
        <f>IFERROR(__xludf.DUMMYFUNCTION("GOOGLETRANSLATE(C1396, ""en"", ""pt"")"),"trabalhar")</f>
        <v>trabalhar</v>
      </c>
      <c r="E1396" s="8" t="str">
        <f>IFERROR(__xludf.DUMMYFUNCTION("GOOGLETRANSLATE(C1396, ""en"", ""es"")"),"trabajar")</f>
        <v>trabajar</v>
      </c>
      <c r="F1396" s="8" t="str">
        <f>IFERROR(__xludf.DUMMYFUNCTION("GOOGLETRANSLATE(C1396, ""en"", ""fr"")"),"travail")</f>
        <v>travail</v>
      </c>
      <c r="G1396" s="8" t="str">
        <f>IFERROR(__xludf.DUMMYFUNCTION("GOOGLETRANSLATE(C1396, ""en"", ""de"")"),"arbeiten")</f>
        <v>arbeiten</v>
      </c>
      <c r="H1396" s="8" t="str">
        <f>IFERROR(__xludf.DUMMYFUNCTION("GOOGLETRANSLATE(C1396, ""en"", ""ru"")"),"работа")</f>
        <v>работа</v>
      </c>
      <c r="I1396" s="8" t="str">
        <f>IFERROR(__xludf.DUMMYFUNCTION("GOOGLETRANSLATE(C1396, ""en"", ""ar"")"),"عمل")</f>
        <v>عمل</v>
      </c>
      <c r="J1396" s="8"/>
      <c r="K1396" s="7" t="str">
        <f>IFERROR(__xludf.DUMMYFUNCTION("CONCAT(REGEXREPLACE(C1396,""[ ,]+"",""_""),"".mp3"")"),"work.mp3")</f>
        <v>work.mp3</v>
      </c>
      <c r="M1396" s="4" t="s">
        <v>10</v>
      </c>
    </row>
    <row r="1397" ht="15.75" customHeight="1">
      <c r="A1397" s="1">
        <v>2765.0</v>
      </c>
      <c r="B1397" s="3">
        <v>110.0</v>
      </c>
      <c r="C1397" s="7" t="s">
        <v>1408</v>
      </c>
      <c r="D1397" s="8" t="str">
        <f>IFERROR(__xludf.DUMMYFUNCTION("GOOGLETRANSLATE(C1397, ""en"", ""pt"")"),"gritar")</f>
        <v>gritar</v>
      </c>
      <c r="E1397" s="8" t="str">
        <f>IFERROR(__xludf.DUMMYFUNCTION("GOOGLETRANSLATE(C1397, ""en"", ""es"")"),"gritar")</f>
        <v>gritar</v>
      </c>
      <c r="F1397" s="8" t="str">
        <f>IFERROR(__xludf.DUMMYFUNCTION("GOOGLETRANSLATE(C1397, ""en"", ""fr"")"),"crier")</f>
        <v>crier</v>
      </c>
      <c r="G1397" s="8" t="str">
        <f>IFERROR(__xludf.DUMMYFUNCTION("GOOGLETRANSLATE(C1397, ""en"", ""de"")"),"Schrei")</f>
        <v>Schrei</v>
      </c>
      <c r="H1397" s="8" t="str">
        <f>IFERROR(__xludf.DUMMYFUNCTION("GOOGLETRANSLATE(C1397, ""en"", ""ru"")"),"кричать")</f>
        <v>кричать</v>
      </c>
      <c r="I1397" s="8" t="str">
        <f>IFERROR(__xludf.DUMMYFUNCTION("GOOGLETRANSLATE(C1397, ""en"", ""ar"")"),"يصرخ")</f>
        <v>يصرخ</v>
      </c>
      <c r="J1397" s="8"/>
      <c r="K1397" s="7" t="str">
        <f>IFERROR(__xludf.DUMMYFUNCTION("CONCAT(REGEXREPLACE(C1397,""[ ,]+"",""_""),"".mp3"")"),"yell.mp3")</f>
        <v>yell.mp3</v>
      </c>
      <c r="M1397" s="4" t="s">
        <v>10</v>
      </c>
    </row>
    <row r="1398" ht="15.75" customHeight="1">
      <c r="A1398" s="1">
        <v>2766.0</v>
      </c>
      <c r="B1398" s="3">
        <v>151.0</v>
      </c>
      <c r="C1398" s="9" t="s">
        <v>1409</v>
      </c>
      <c r="D1398" s="8" t="str">
        <f>IFERROR(__xludf.DUMMYFUNCTION("GOOGLETRANSLATE(C1398, ""en"", ""pt"")"),"o, ser, para, de, e, um, em, que, ter, eu, isto, para, não, em, com, ele, como, você, fazer, em, isto, mas, dele, por, de, eles, nós, dizer, ela, ela, ou, um, vontade, meu, um, todos, gostaria, lá, deles, o que, então, para cima, para fora, se, sobre, que"&amp;"m, pegar, qual, ir, mim, quando, fazer, pode, como, tempo, não, apenas, ele, saber, levar, pessoas, para dentro, ano, seu, bom, alguns, poderia, eles, ver, outro, do que, então, agora, olhar, apenas, vir, seu, sobre, pensar, também, de volta, depois, usar"&amp;", dois, como, nosso, trabalho, primeiro, bem, jeito, até, novo, querer, porque, qualquer, estes, dar, dia, mais, nós")</f>
        <v>o, ser, para, de, e, um, em, que, ter, eu, isto, para, não, em, com, ele, como, você, fazer, em, isto, mas, dele, por, de, eles, nós, dizer, ela, ela, ou, um, vontade, meu, um, todos, gostaria, lá, deles, o que, então, para cima, para fora, se, sobre, quem, pegar, qual, ir, mim, quando, fazer, pode, como, tempo, não, apenas, ele, saber, levar, pessoas, para dentro, ano, seu, bom, alguns, poderia, eles, ver, outro, do que, então, agora, olhar, apenas, vir, seu, sobre, pensar, também, de volta, depois, usar, dois, como, nosso, trabalho, primeiro, bem, jeito, até, novo, querer, porque, qualquer, estes, dar, dia, mais, nós</v>
      </c>
      <c r="E1398" s="8" t="str">
        <f>IFERROR(__xludf.DUMMYFUNCTION("GOOGLETRANSLATE(C1398, ""en"", ""es"")"),"el, ser, a, de, y, un, en, que, tener, yo, ello, para, no, en, con, él, como, tú, hacer, en, esto, pero, su, por, de, ellos, nosotros, decir, ella, ella, o, un, voluntad, mi, uno, todo, querría, allí, su, qué, así, arriba, fuera, si, sobre, quién, obtener"&amp;", cual, ir, yo, cuando, hacer, puede, como, tiempo, no, solo, él, saber, tomar, gente, dentro, año, tu, bueno, algunos, podría, ellos, ver, otro, que, entonces, ahora, mirar, solo, venir, su, sobre, pensar, también, atrás, después, usar, dos, cómo, nuestr"&amp;"o, trabajo, primero, bien, camino, incluso, nuevo, querer, porque, cualquiera, estos, dar, día, la mayoría, nosotros")</f>
        <v>el, ser, a, de, y, un, en, que, tener, yo, ello, para, no, en, con, él, como, tú, hacer, en, esto, pero, su, por, de, ellos, nosotros, decir, ella, ella, o, un, voluntad, mi, uno, todo, querría, allí, su, qué, así, arriba, fuera, si, sobre, quién, obtener, cual, ir, yo, cuando, hacer, puede, como, tiempo, no, solo, él, saber, tomar, gente, dentro, año, tu, bueno, algunos, podría, ellos, ver, otro, que, entonces, ahora, mirar, solo, venir, su, sobre, pensar, también, atrás, después, usar, dos, cómo, nuestro, trabajo, primero, bien, camino, incluso, nuevo, querer, porque, cualquiera, estos, dar, día, la mayoría, nosotros</v>
      </c>
      <c r="F1398" s="8" t="str">
        <f>IFERROR(__xludf.DUMMYFUNCTION("GOOGLETRANSLATE(C1398, ""en"", ""fr"")"),"le, être, à, de, et, un, dans, que, avoir, je, il, pour, pas, sur, avec, il, comme, vous, faites, à, ceci, mais, son, par, de, ils, nous, dire, elle, elle, ou, un, volonté, mon, un, tous, voudraient, là, leur, quoi, donc, en haut, dehors, si, à propos de,"&amp;" qui, obtenir, lequel, aller, moi, quand, faire, peut, comme, temps, non, juste, lui, savoir, prendre, gens, dans, année, votre, bon, certains, pourraient, eux, voir, autre, que, alors, maintenant, regarder, seulement, venir, son, fini, penser, aussi, ret"&amp;"our, après, utiliser, deux, comment, notre, travail, premier, bien, façon, même, nouveau, vouloir, parce que, n'importe quel, ceux-ci, donner, jour, la plupart, nous")</f>
        <v>le, être, à, de, et, un, dans, que, avoir, je, il, pour, pas, sur, avec, il, comme, vous, faites, à, ceci, mais, son, par, de, ils, nous, dire, elle, elle, ou, un, volonté, mon, un, tous, voudraient, là, leur, quoi, donc, en haut, dehors, si, à propos de, qui, obtenir, lequel, aller, moi, quand, faire, peut, comme, temps, non, juste, lui, savoir, prendre, gens, dans, année, votre, bon, certains, pourraient, eux, voir, autre, que, alors, maintenant, regarder, seulement, venir, son, fini, penser, aussi, retour, après, utiliser, deux, comment, notre, travail, premier, bien, façon, même, nouveau, vouloir, parce que, n'importe quel, ceux-ci, donner, jour, la plupart, nous</v>
      </c>
      <c r="G1398" s="8" t="str">
        <f>IFERROR(__xludf.DUMMYFUNCTION("GOOGLETRANSLATE(C1398, ""en"", ""de"")"),"der, sein, zu, von, und, ein, in, dass, haben, ich, es, für, nicht, auf, mit, er, als, du, tun, bei, dies, aber, sein, von, von, sie, wir, sagen, sie, sie, oder, ein, wird, mein, eins, alle, würden, dort, ihr, was, so, hoch, aus, wenn, über, wer, bekommen"&amp;", welches, gehen, mich, wann, machen, kann, wie, Zeit, nein, nur, ihn, wissen, nehmen, Menschen, in, Jahr, dein, gut, einige, könnten, sie, sehen, andere, als, dann, jetzt, schauen, nur, kommen, sein, vorbei, denken, auch, zurück, nach, benutzen, zwei, wi"&amp;"e, unsere, Arbeit, erste, gut, Weg, sogar, neu, wollen, weil, irgendwelche, diese, geben, Tag, die meisten, uns")</f>
        <v>der, sein, zu, von, und, ein, in, dass, haben, ich, es, für, nicht, auf, mit, er, als, du, tun, bei, dies, aber, sein, von, von, sie, wir, sagen, sie, sie, oder, ein, wird, mein, eins, alle, würden, dort, ihr, was, so, hoch, aus, wenn, über, wer, bekommen, welches, gehen, mich, wann, machen, kann, wie, Zeit, nein, nur, ihn, wissen, nehmen, Menschen, in, Jahr, dein, gut, einige, könnten, sie, sehen, andere, als, dann, jetzt, schauen, nur, kommen, sein, vorbei, denken, auch, zurück, nach, benutzen, zwei, wie, unsere, Arbeit, erste, gut, Weg, sogar, neu, wollen, weil, irgendwelche, diese, geben, Tag, die meisten, uns</v>
      </c>
      <c r="H1398" s="8" t="str">
        <f>IFERROR(__xludf.DUMMYFUNCTION("GOOGLETRANSLATE(C1398, ""en"", ""ru"")"),"то, быть, к, из, и, а, в, что, иметь, я, это, для, не, на, с, он, как, ты, делать, в, это, но, его, по, от, они, мы, сказать, ее, она, или, один, будет, мой, один, все, был бы, там, их, что, так, вверх, вне, если, о, кто, получить, который, идти, меня, ко"&amp;"гда, сделать, может, как, время, нет, просто, он, знать, взять, людей, в, год, ваш, хороший, некоторые, могли бы, их, видеть, другой, чем, тогда, сейчас, смотреть, только, прийти, его, над, думать, также, назад, после, использовать, два, как, наш, работа,"&amp;" первый, хорошо, путь, даже, новый, хотеть, потому что, любой, эти, дать, день, большинство, нас")</f>
        <v>то, быть, к, из, и, а, в, что, иметь, я, это, для, не, на, с, он, как, ты, делать, в, это, но, его, по, от, они, мы, сказать, ее, она, или, один, будет, мой, один, все, был бы, там, их, что, так, вверх, вне, если, о, кто, получить, который, идти, меня, когда, сделать, может, как, время, нет, просто, он, знать, взять, людей, в, год, ваш, хороший, некоторые, могли бы, их, видеть, другой, чем, тогда, сейчас, смотреть, только, прийти, его, над, думать, также, назад, после, использовать, два, как, наш, работа, первый, хорошо, путь, даже, новый, хотеть, потому что, любой, эти, дать, день, большинство, нас</v>
      </c>
      <c r="I1398" s="8" t="str">
        <f>IFERROR(__xludf.DUMMYFUNCTION("GOOGLETRANSLATE(C1398, ""en"", ""ar"")"),"الـ، يكون، إلى، من، و، أ، في، ذلك، يملك، أنا، هو، لـ، لا، على، مع، هو، كما، أنت، تفعل، في، هذا، لكن، له، بواسطة، من، هم، نحن، نقول، لها، هي، أو، أن، سوف، لي، واحد، كل، سوف، هناك، لهم، ماذا، لذلك، أعلى، خارج، إذا، عن، من، يحصل، الذي، يذهب، أنا، متى، يصنع، "&amp;"يستطيع، مثل، وقت، لا، فقط، له، يعرف، يأخذ، الناس، إلى، سنة، خاصتك، جيد، بعض، يمكن، لهم، يرى، آخر، من، ثم، الآن، انظر، فقط، يأتي، له، انتهى، فكر، أيضا، خلف، بعد، استخدم، اثنين، كيف، عملنا، أول، جيد، طريقة، حتى، جديد، يريد، لأن، أي، هؤلاء، يعطي، يوم، معظم، "&amp;"نحن")</f>
        <v>الـ، يكون، إلى، من، و، أ، في، ذلك، يملك، أنا، هو، لـ، لا، على، مع، هو، كما، أنت، تفعل، في، هذا، لكن، له، بواسطة، من، هم، نحن، نقول، لها، هي، أو، أن، سوف، لي، واحد، كل، سوف، هناك، لهم، ماذا، لذلك، أعلى، خارج، إذا، عن، من، يحصل، الذي، يذهب، أنا، متى، يصنع، يستطيع، مثل، وقت، لا، فقط، له، يعرف، يأخذ، الناس، إلى، سنة، خاصتك، جيد، بعض، يمكن، لهم، يرى، آخر، من، ثم، الآن، انظر، فقط، يأتي، له، انتهى، فكر، أيضا، خلف، بعد، استخدم، اثنين، كيف، عملنا، أول، جيد، طريقة، حتى، جديد، يريد، لأن، أي، هؤلاء، يعطي، يوم، معظم، نحن</v>
      </c>
      <c r="J1398" s="8"/>
      <c r="K1398" s="3" t="s">
        <v>1410</v>
      </c>
      <c r="M1398" s="4" t="s">
        <v>10</v>
      </c>
    </row>
    <row r="1399" ht="15.75" customHeight="1">
      <c r="A1399" s="1">
        <v>2767.0</v>
      </c>
      <c r="B1399" s="3">
        <v>152.0</v>
      </c>
      <c r="C1399" s="9" t="s">
        <v>1411</v>
      </c>
      <c r="D1399" s="8" t="str">
        <f>IFERROR(__xludf.DUMMYFUNCTION("GOOGLETRANSLATE(C1399, ""en"", ""pt"")"),"o, ser, para, de, e, um, em, que, ter, eu, isto, para, não, em, com, ele, como, você, fazer, em, isto, mas, dele, por, de, eles, nós, dizer, ela, ela, ou, um, vontade, meu, um, todos, gostaria, lá, deles, o que, então, para cima, para fora, se, sobre, que"&amp;"m, pegar, qual, ir, mim, quando, fazer, pode, como, tempo, não, apenas, ele, saber, pegar, pessoa, para dentro, ano, seu, bom, alguns, poderia, eles, ver, outro, do que, então, agora, olhar, apenas, vir, seu, sobre, pensar, também, de volta, depois, usar,"&amp;" dois, como, nosso, trabalho, primeiro, bem, jeito, até, novo, querer, porque, qualquer, cada, dar, dia, mais, nós, é, são, era, eram, sido, fez, faz, fazendo, tinha, tendo, pode, poderia, deve, deveria, deverá, aqui, onde, por que, novamente, ainda, semp"&amp;"re, nunca, frequentemente, às vezes, muito, realmente, bastante, muitos, mais, menos, poucos, muito, algo, qualquer coisa, tudo, nada, alguém, qualquer um, todos, coisa, lugar, homem, mulher, criança, amigo, família, trabalho, vida, mundo, hoje, amanhã, o"&amp;"ntem, manhã, noite, momento, ponto, fato, ideia, problema, pergunta, resposta, razão, parte, fim, lado, grupo, número, empresa, sistema, programa, serviço, informação, dinheiro, nível, pedido, mudança, resultado, problema, processo, história, nome, área, "&amp;"linha, poder, sala, casa, escola, estado, país, cidade, mão, olho, cabeça, rosto, voz, palavra, tipo, tipo, lei, governo, negócios, mercado, equipe, membro, líder, gerente, trabalhador, cliente, usuário, corpo, mente, coração, saúde, cuidado, ajuda, apoio"&amp;", controle, crescer, construir, criar, começar, parar, iniciar, terminar, abrir, fechar, mover, ficar, sair, retornar, trazer, enviar, ligar, falar, dizer, perguntar, ouvir, assistir, encontrar, perder, manter, segurar, colocar, definir deixar, tentar, pr"&amp;"ecisar, sentir, acreditar, entender, lembrar, esquecer, aprender, ensinar, estudar, brincar, correr, andar, sentar, ficar em pé, viver, morrer, comer, beber, dormir, acordar, comprar, vender, pagar, custar, dirigir, andar, viajar, encontrar, juntar-se, co"&amp;"mpartilhar, seguir, liderar, vencer, quebrar, consertar, melhorar, desenvolver, planejar, decidir, escolher, concordar, aceitar, recusar, oferecer, solicitar, permitir, prevenir, proteger, salvar, arriscar, ter sucesso, continuar")</f>
        <v>o, ser, para, de, e, um, em, que, ter, eu, isto, para, não, em, com, ele, como, você, fazer, em, isto, mas, dele, por, de, eles, nós, dizer, ela, ela, ou, um, vontade, meu, um, todos, gostaria, lá, deles, o que, então, para cima, para fora, se, sobre, quem, pegar, qual, ir, mim, quando, fazer, pode, como, tempo, não, apenas, ele, saber, pegar, pessoa, para dentro, ano, seu, bom, alguns, poderia, eles, ver, outro, do que, então, agora, olhar, apenas, vir, seu, sobre, pensar, também, de volta, depois, usar, dois, como, nosso, trabalho, primeiro, bem, jeito, até, novo, querer, porque, qualquer, cada, dar, dia, mais, nós, é, são, era, eram, sido, fez, faz, fazendo, tinha, tendo, pode, poderia, deve, deveria, deverá, aqui, onde, por que, novamente, ainda, sempre, nunca, frequentemente, às vezes, muito, realmente, bastante, muitos, mais, menos, poucos, muito, algo, qualquer coisa, tudo, nada, alguém, qualquer um, todos, coisa, lugar, homem, mulher, criança, amigo, família, trabalho, vida, mundo, hoje, amanhã, ontem, manhã, noite, momento, ponto, fato, ideia, problema, pergunta, resposta, razão, parte, fim, lado, grupo, número, empresa, sistema, programa, serviço, informação, dinheiro, nível, pedido, mudança, resultado, problema, processo, história, nome, área, linha, poder, sala, casa, escola, estado, país, cidade, mão, olho, cabeça, rosto, voz, palavra, tipo, tipo, lei, governo, negócios, mercado, equipe, membro, líder, gerente, trabalhador, cliente, usuário, corpo, mente, coração, saúde, cuidado, ajuda, apoio, controle, crescer, construir, criar, começar, parar, iniciar, terminar, abrir, fechar, mover, ficar, sair, retornar, trazer, enviar, ligar, falar, dizer, perguntar, ouvir, assistir, encontrar, perder, manter, segurar, colocar, definir deixar, tentar, precisar, sentir, acreditar, entender, lembrar, esquecer, aprender, ensinar, estudar, brincar, correr, andar, sentar, ficar em pé, viver, morrer, comer, beber, dormir, acordar, comprar, vender, pagar, custar, dirigir, andar, viajar, encontrar, juntar-se, compartilhar, seguir, liderar, vencer, quebrar, consertar, melhorar, desenvolver, planejar, decidir, escolher, concordar, aceitar, recusar, oferecer, solicitar, permitir, prevenir, proteger, salvar, arriscar, ter sucesso, continuar</v>
      </c>
      <c r="E1399" s="8" t="str">
        <f>IFERROR(__xludf.DUMMYFUNCTION("GOOGLETRANSLATE(C1399, ""en"", ""es"")"),"el, ser, a, de, y, un, en, que, tener, yo, ello, para, no, en, con, él, como, tú, hacer, en, este, pero, su, por, de, ellos, nosotros, decir, ella, ella, o, un, voluntad, mi, uno, todo, querría, allí, su, qué, así, arriba, fuera, si, sobre, quién, obtener"&amp;", cual, ir, yo, cuando, hacer, puede, como, tiempo, no, solo, él, saber, tomar, persona, en, año, tu, bueno, algunos, podría, ellos, ver, otro, que, entonces, ahora, mirar, solo, venir, su, sobre, pensar, también, atrás, después, usar, dos, cómo, nuestro,"&amp;" trabajo, primero, bien, camino, incluso, nuevo, querer, porque, cualquiera, cada, dar, día, la mayoría, nosotros, es, son, era, eran, sido, hizo, hace, haciendo, tenía, teniendo, puede, podría, debe, debería, deberá, aquí, donde, por qué, otra vez, todav"&amp;"ía, siempre, nunca, a menudo, a veces, muy, realmente, mucho, muchos, más, menos, pocos, mucho, algo, cualquier cosa, todo, nada, alguien, cualquiera, todos, cosa, lugar, hombre, mujer, niño, amigo, familia, trabajo, vida, mundo, hoy, mañana, ayer, mañana"&amp;", noche, momento, punto, hecho, idea, problema, pregunta, respuesta, razón, parte, fin, lado, grupo, número, empresa, sistema, programa, servicio, información, dinero, nivel, orden, cambio, resultado, problema, proceso, historia, nombre, área, línea, pode"&amp;"r, habitación, casa, escuela, estado, país, ciudad, mano, ojo, cabeza, cara, voz, palabra, tipo, tipo, ley, gobierno, negocio, mercado, equipo, miembro, líder, gerente, trabajador, cliente, usuario, cuerpo, mente, corazón, salud, cuidado, ayuda, apoyo, co"&amp;"ntrol, crecer, construir, crear, empezar, parar, comenzar, terminar, abrir, cerrar, mover, quedarse, irse, regresar, traer, enviar, llamar, hablar, hablar, decir, preguntar, escuchar, oír, mirar, encontrar, perder, mantener, sostener, poner, establecer, d"&amp;"ejar, intentar, necesitar, sentir, creer, entender, recordar, olvidar, aprender, enseñar, estudiar, jugar, correr, caminar, sentarse, estar de pie, vivir, morir, comer, beber, dormir, despertar, comprar, vender, pagar, costar, conducir, montar, viajar, re"&amp;"unirse, unirse, compartir, seguir, liderar, ganar, romper, arreglar, mejorar, desarrollar, planificar, decidir, elegir, estar de acuerdo, aceptar, rechazar, ofrecer, solicitar, permitir, prevenir, proteger, ahorrar, arriesgar, tener éxito, continuar")</f>
        <v>el, ser, a, de, y, un, en, que, tener, yo, ello, para, no, en, con, él, como, tú, hacer, en, este, pero, su, por, de, ellos, nosotros, decir, ella, ella, o, un, voluntad, mi, uno, todo, querría, allí, su, qué, así, arriba, fuera, si, sobre, quién, obtener, cual, ir, yo, cuando, hacer, puede, como, tiempo, no, solo, él, saber, tomar, persona, en, año, tu, bueno, algunos, podría, ellos, ver, otro, que, entonces, ahora, mirar, solo, venir, su, sobre, pensar, también, atrás, después, usar, dos, cómo, nuestro, trabajo, primero, bien, camino, incluso, nuevo, querer, porque, cualquiera, cada, dar, día, la mayoría, nosotros, es, son, era, eran, sido, hizo, hace, haciendo, tenía, teniendo, puede, podría, debe, debería, deberá, aquí, donde, por qué, otra vez, todavía, siempre, nunca, a menudo, a veces, muy, realmente, mucho, muchos, más, menos, pocos, mucho, algo, cualquier cosa, todo, nada, alguien, cualquiera, todos, cosa, lugar, hombre, mujer, niño, amigo, familia, trabajo, vida, mundo, hoy, mañana, ayer, mañana, noche, momento, punto, hecho, idea, problema, pregunta, respuesta, razón, parte, fin, lado, grupo, número, empresa, sistema, programa, servicio, información, dinero, nivel, orden, cambio, resultado, problema, proceso, historia, nombre, área, línea, poder, habitación, casa, escuela, estado, país, ciudad, mano, ojo, cabeza, cara, voz, palabra, tipo, tipo, ley, gobierno, negocio, mercado, equipo, miembro, líder, gerente, trabajador, cliente, usuario, cuerpo, mente, corazón, salud, cuidado, ayuda, apoyo, control, crecer, construir, crear, empezar, parar, comenzar, terminar, abrir, cerrar, mover, quedarse, irse, regresar, traer, enviar, llamar, hablar, hablar, decir, preguntar, escuchar, oír, mirar, encontrar, perder, mantener, sostener, poner, establecer, dejar, intentar, necesitar, sentir, creer, entender, recordar, olvidar, aprender, enseñar, estudiar, jugar, correr, caminar, sentarse, estar de pie, vivir, morir, comer, beber, dormir, despertar, comprar, vender, pagar, costar, conducir, montar, viajar, reunirse, unirse, compartir, seguir, liderar, ganar, romper, arreglar, mejorar, desarrollar, planificar, decidir, elegir, estar de acuerdo, aceptar, rechazar, ofrecer, solicitar, permitir, prevenir, proteger, ahorrar, arriesgar, tener éxito, continuar</v>
      </c>
      <c r="F1399" s="8" t="str">
        <f>IFERROR(__xludf.DUMMYFUNCTION("GOOGLETRANSLATE(C1399, ""en"", ""fr"")"),"le, être, à, de, et, un, dans, que, avoir, je, il, pour, pas, sur, avec, il, comme, vous, faites, à, ceci, mais, son, par, de, ils, nous, dire, elle, elle, ou, un, volonté, mon, un, tous, voudraient, là, leur, quoi, donc, en haut, dehors, si, à propos de,"&amp;" qui, obtenir, lequel, aller, moi, quand, faire, peut, comme, temps, non, juste, lui, savoir, prendre, personne, dans, année, votre, bon, certains, pourraient, eux, voir, autre, que, alors, maintenant, regarder, seulement, venir, son, fini, penser, aussi,"&amp;" retour, après, utiliser, deux, comment, notre, travail, premier, bien, chemin, même, nouveau, vouloir, parce que, n'importe quel, chaque, donner, jour, la plupart, nous, est, sont, était, étaient, été, a fait, fait, faisant, avait, ayant, peut, pourrait,"&amp;" doit, devrait, doit, ici, où, pourquoi, encore, encore, toujours, jamais, souvent, parfois, très, vraiment, beaucoup, nombreux, plus, moins, peu, beaucoup, quelque chose, n'importe quoi, tout, rien, quelqu'un, n'importe qui, tout le monde, chose, lieu, h"&amp;"omme, femme, enfant, ami, famille, travail, vie, monde, aujourd'hui, demain, hier, matin, soir, moment, point, fait, idée, problème, question, réponse, raison, partie, fin, côté, groupe, nombre, entreprise, système, programme, service, information, argent"&amp;", niveau, ordre, changement, résultat, problème, processus, histoire, nom, zone, ligne, pouvoir, pièce, maison, école, état, pays, ville, main, œil, tête, visage, voix, mot, genre, type, loi, gouvernement, entreprise, marché, équipe, membre, leader, gesti"&amp;"onnaire, travailleur, client, utilisateur, corps, esprit, cœur, santé, soins, aide, soutien, contrôle, grandir, construire, créer, commencer, arrêter, débuter, finir, ouvrir, fermer, bouger, rester, partir, retourner, apporter, envoyer, appeler, parler, d"&amp;"ire, demander, écouter, entendre, regarder, trouver, perdre, garder, tenir, mettre définir, laisser, essayer, avoir besoin, ressentir, croire, comprendre, se souvenir, oublier, apprendre, enseigner, étudier, jouer, courir, marcher, s'asseoir, se tenir deb"&amp;"out, vivre, mourir, manger, boire, dormir, se réveiller, acheter, vendre, payer, coûter, conduire, faire du vélo, voyager, rencontrer, rejoindre, partager, suivre, diriger, gagner, casser, réparer, améliorer, développer, planifier, décider, choisir, être "&amp;"d'accord, accepter, refuser, offrir, demander, permettre, prévenir, protéger, économiser, risquer, réussir, continuer")</f>
        <v>le, être, à, de, et, un, dans, que, avoir, je, il, pour, pas, sur, avec, il, comme, vous, faites, à, ceci, mais, son, par, de, ils, nous, dire, elle, elle, ou, un, volonté, mon, un, tous, voudraient, là, leur, quoi, donc, en haut, dehors, si, à propos de, qui, obtenir, lequel, aller, moi, quand, faire, peut, comme, temps, non, juste, lui, savoir, prendre, personne, dans, année, votre, bon, certains, pourraient, eux, voir, autre, que, alors, maintenant, regarder, seulement, venir, son, fini, penser, aussi, retour, après, utiliser, deux, comment, notre, travail, premier, bien, chemin, même, nouveau, vouloir, parce que, n'importe quel, chaque, donner, jour, la plupart, nous, est, sont, était, étaient, été, a fait, fait, faisant, avait, ayant, peut, pourrait, doit, devrait, doit, ici, où, pourquoi, encore, encore, toujours, jamais, souvent, parfois, très, vraiment, beaucoup, nombreux, plus, moins, peu, beaucoup, quelque chose, n'importe quoi, tout, rien, quelqu'un, n'importe qui, tout le monde, chose, lieu, homme, femme, enfant, ami, famille, travail, vie, monde, aujourd'hui, demain, hier, matin, soir, moment, point, fait, idée, problème, question, réponse, raison, partie, fin, côté, groupe, nombre, entreprise, système, programme, service, information, argent, niveau, ordre, changement, résultat, problème, processus, histoire, nom, zone, ligne, pouvoir, pièce, maison, école, état, pays, ville, main, œil, tête, visage, voix, mot, genre, type, loi, gouvernement, entreprise, marché, équipe, membre, leader, gestionnaire, travailleur, client, utilisateur, corps, esprit, cœur, santé, soins, aide, soutien, contrôle, grandir, construire, créer, commencer, arrêter, débuter, finir, ouvrir, fermer, bouger, rester, partir, retourner, apporter, envoyer, appeler, parler, dire, demander, écouter, entendre, regarder, trouver, perdre, garder, tenir, mettre définir, laisser, essayer, avoir besoin, ressentir, croire, comprendre, se souvenir, oublier, apprendre, enseigner, étudier, jouer, courir, marcher, s'asseoir, se tenir debout, vivre, mourir, manger, boire, dormir, se réveiller, acheter, vendre, payer, coûter, conduire, faire du vélo, voyager, rencontrer, rejoindre, partager, suivre, diriger, gagner, casser, réparer, améliorer, développer, planifier, décider, choisir, être d'accord, accepter, refuser, offrir, demander, permettre, prévenir, protéger, économiser, risquer, réussir, continuer</v>
      </c>
      <c r="G1399" s="8" t="str">
        <f>IFERROR(__xludf.DUMMYFUNCTION("GOOGLETRANSLATE(C1399, ""en"", ""de"")"),"der, sein, zu, von, und, ein, in, dass, haben, ich, es, für, nicht, auf, mit, er, als, du, tun, bei, dies, aber, sein, von, von, sie, wir, sagen, sie, sie, oder, ein, wird, mein, eins, alle, würden, dort, ihr, was, so, hoch, aus, wenn, über, wer, bekommen"&amp;", welches, gehen, mich, wann, machen, kann, wie, Zeit, nein, nur, ihn, wissen, nehmen, Person, in, Jahr, dein, gut, einige, könnte, sie, sehen, andere, als, dann, jetzt, schauen, nur, kommen, sein, vorbei, denken, auch, zurück, nach, benutzen, zwei, wie, "&amp;"unser, Arbeit, zuerst, gut, Weg, sogar, neu, wollen, weil, jeder, jeder, geben, Tag, die meisten, uns, ist, sind, war, waren, getan, tut, tun, hatte, haben, können, könnten, müssen, sollten, sollen, hier, wo, warum, wieder, immer noch, immer, nie, oft man"&amp;"chmal, sehr, wirklich, viel, viele, mehr, weniger, wenige, viel, etwas, irgendetwas, alles, nichts, jemand, irgendjemand, jeder, Ding, Ort, Mann, Frau, Kind, Freund, Familie, Job, Leben, Welt, heute, morgen, gestern, Morgen, Nacht, Moment, Punkt, Tatsache"&amp;", Idee, Problem, Frage, Antwort, Grund, Teil, Ende, Seite, Gruppe, Nummer, Firma, System, Programm, Dienstleistung, Information, Geld, Niveau, Ordnung, Änderung, Ergebnis, Problem, Prozess, Geschichte, Name, Bereich, Linie, Macht, Raum, Zuhause, Schule, B"&amp;"undesland, Land, Stadt, Hand, Auge, Kopf, Gesicht, Stimme, Wort, Art, Typ, Gesetz, Regierung, Geschäft, Markt, Team, Mitglied, Leiter, Manager, Arbeiter, Kunde, Benutzer, Körper, Geist, Herz, Gesundheit, Pflege, Hilfe, Unterstützung, Kontrolle, wachsen, b"&amp;"auen, erschaffen, beginnen, stoppen, anfangen, beenden, öffnen, schließen, bewegen, bleiben, verlassen, zurückkehren, bringen, senden, anrufen, sprechen, erzählen, fragen, zuhören, hören, beobachten, finden, verlieren, behalten, halten, legen setzen, lass"&amp;"en, versuchen, brauchen, fühlen, glauben, verstehen, sich erinnern, vergessen, lernen, lehren, studieren, spielen, rennen, gehen, sitzen, stehen, leben, sterben, essen, trinken, schlafen, aufwachen, kaufen, verkaufen, bezahlen, kosten, fahren, reiten, rei"&amp;"sen, treffen, beitreten, teilen, folgen, führen, gewinnen, kaputt machen, reparieren, verbessern, entwickeln, planen, entscheiden, wählen, zustimmen, akzeptieren, ablehnen, anbieten, anfragen, erlauben, verhindern, schützen, sparen, riskieren, Erfolg habe"&amp;"n, fortsetzen")</f>
        <v>der, sein, zu, von, und, ein, in, dass, haben, ich, es, für, nicht, auf, mit, er, als, du, tun, bei, dies, aber, sein, von, von, sie, wir, sagen, sie, sie, oder, ein, wird, mein, eins, alle, würden, dort, ihr, was, so, hoch, aus, wenn, über, wer, bekommen, welches, gehen, mich, wann, machen, kann, wie, Zeit, nein, nur, ihn, wissen, nehmen, Person, in, Jahr, dein, gut, einige, könnte, sie, sehen, andere, als, dann, jetzt, schauen, nur, kommen, sein, vorbei, denken, auch, zurück, nach, benutzen, zwei, wie, unser, Arbeit, zuerst, gut, Weg, sogar, neu, wollen, weil, jeder, jeder, geben, Tag, die meisten, uns, ist, sind, war, waren, getan, tut, tun, hatte, haben, können, könnten, müssen, sollten, sollen, hier, wo, warum, wieder, immer noch, immer, nie, oft manchmal, sehr, wirklich, viel, viele, mehr, weniger, wenige, viel, etwas, irgendetwas, alles, nichts, jemand, irgendjemand, jeder, Ding, Ort, Mann, Frau, Kind, Freund, Familie, Job, Leben, Welt, heute, morgen, gestern, Morgen, Nacht, Moment, Punkt, Tatsache, Idee, Problem, Frage, Antwort, Grund, Teil, Ende, Seite, Gruppe, Nummer, Firma, System, Programm, Dienstleistung, Information, Geld, Niveau, Ordnung, Änderung, Ergebnis, Problem, Prozess, Geschichte, Name, Bereich, Linie, Macht, Raum, Zuhause, Schule, Bundesland, Land, Stadt, Hand, Auge, Kopf, Gesicht, Stimme, Wort, Art, Typ, Gesetz, Regierung, Geschäft, Markt, Team, Mitglied, Leiter, Manager, Arbeiter, Kunde, Benutzer, Körper, Geist, Herz, Gesundheit, Pflege, Hilfe, Unterstützung, Kontrolle, wachsen, bauen, erschaffen, beginnen, stoppen, anfangen, beenden, öffnen, schließen, bewegen, bleiben, verlassen, zurückkehren, bringen, senden, anrufen, sprechen, erzählen, fragen, zuhören, hören, beobachten, finden, verlieren, behalten, halten, legen setzen, lassen, versuchen, brauchen, fühlen, glauben, verstehen, sich erinnern, vergessen, lernen, lehren, studieren, spielen, rennen, gehen, sitzen, stehen, leben, sterben, essen, trinken, schlafen, aufwachen, kaufen, verkaufen, bezahlen, kosten, fahren, reiten, reisen, treffen, beitreten, teilen, folgen, führen, gewinnen, kaputt machen, reparieren, verbessern, entwickeln, planen, entscheiden, wählen, zustimmen, akzeptieren, ablehnen, anbieten, anfragen, erlauben, verhindern, schützen, sparen, riskieren, Erfolg haben, fortsetzen</v>
      </c>
      <c r="H1399" s="8" t="str">
        <f>IFERROR(__xludf.DUMMYFUNCTION("GOOGLETRANSLATE(C1399, ""en"", ""ru"")"),"то, быть, к, из, и, а, в, что, иметь, я, это, для, не, на, с, он, как, ты, делать, в, это, но, его, по, от, они, мы, сказать, ее, она, или, один, будет, мой, один, все, был бы, там, их, что, так, вверх, вне, если, о, кто, получить, который, идти, меня, ко"&amp;"гда, сделать, может, как, время, нет, просто, он, знать, взять, человек, в, год, твой, хороший, некоторые, мог бы, их, видеть, другой, чем, тогда, сейчас, смотреть, только, прийти, его, над, думать, также, назад, после, использовать, два, как, наш, работа"&amp;", первый, хорошо, путь, даже, новый, хотеть, потому что, любой, каждый, дать, день, большинство, нас, есть, есть, был, были, был, сделал, делает, делая, имел, имея, может, мог бы, должен, следует, должен, здесь, где, почему, снова, все еще, всегда, никогд"&amp;"а, часто, иногда, очень, действительно, много, много, больше, меньше, мало, много, что-то, что угодно, всё, ничего, кто-то, кто угодно, каждый, вещь, место, мужчина, женщина, ребёнок, друг, семья, работа, жизнь, мир, сегодня, завтра, вчера, утро, ночь, мо"&amp;"мент, точка, факт, идея, проблема, вопрос, ответ, причина, часть, конец, сторона, группа, число, компания, система, программа, услуга, информация, деньги, уровень, порядок, изменение, результат, проблема, процесс, история, имя, область, линия, мощность, к"&amp;"омната, дом, школа, штат, страна, город, рука, глаз, голова, лицо, голос, слово, вид, тип, закон, правительство, бизнес, рынок, команда, член, лидер, менеджер, работник, клиент, пользователь, тело, разум, сердце, здоровье, забота, помощь, поддержка, контр"&amp;"оль, расти, строить, создавать, начинать, останавливать, начинать, заканчивать, открывать, закрывать, двигаться, оставаться, уходить, возвращаться, приносить, отправлять, звонить, говорить, говорить, рассказывать, спрашивать, слушать, слышать, смотреть, н"&amp;"аходить, терять, хранить, держать, ставить, устанавливать позволить, попробовать, нуждаться, чувствовать, верить, понимать, помнить, забыть, учиться, учить, изучать, играть, бегать, ходить, сидеть, стоять, жить, умирать, есть, пить, спать, просыпаться, по"&amp;"купать, продавать, платить, стоимость, водить, ездить, путешествовать, встречаться, присоединяться, делиться, следовать, руководить, побеждать, ломать, чинить, улучшать, развивать, планировать, решать, выбирать, соглашаться, принимать, отказываться, предл"&amp;"агать, запрашивать, разрешать, предотвращать, защищать, спасать, рисковать, преуспевать, продолжать")</f>
        <v>то, быть, к, из, и, а, в, что, иметь, я, это, для, не, на, с, он, как, ты, делать, в, это, но, его, по, от, они, мы, сказать, ее, она, или, один, будет, мой, один, все, был бы, там, их, что, так, вверх, вне, если, о, кто, получить, который, идти, меня, когда, сделать, может, как, время, нет, просто, он, знать, взять, человек, в, год, твой, хороший, некоторые, мог бы, их, видеть, другой, чем, тогда, сейчас, смотреть, только, прийти, его, над, думать, также, назад, после, использовать, два, как, наш, работа, первый, хорошо, путь, даже, новый, хотеть, потому что, любой, каждый, дать, день, большинство, нас, есть, есть, был, были, был, сделал, делает, делая, имел, имея, может, мог бы, должен, следует, должен, здесь, где, почему, снова, все еще, всегда, никогда, часто, иногда, очень, действительно, много, много, больше, меньше, мало, много, что-то, что угодно, всё, ничего, кто-то, кто угодно, каждый, вещь, место, мужчина, женщина, ребёнок, друг, семья, работа, жизнь, мир, сегодня, завтра, вчера, утро, ночь, момент, точка, факт, идея, проблема, вопрос, ответ, причина, часть, конец, сторона, группа, число, компания, система, программа, услуга, информация, деньги, уровень, порядок, изменение, результат, проблема, процесс, история, имя, область, линия, мощность, комната, дом, школа, штат, страна, город, рука, глаз, голова, лицо, голос, слово, вид, тип, закон, правительство, бизнес, рынок, команда, член, лидер, менеджер, работник, клиент, пользователь, тело, разум, сердце, здоровье, забота, помощь, поддержка, контроль, расти, строить, создавать, начинать, останавливать, начинать, заканчивать, открывать, закрывать, двигаться, оставаться, уходить, возвращаться, приносить, отправлять, звонить, говорить, говорить, рассказывать, спрашивать, слушать, слышать, смотреть, находить, терять, хранить, держать, ставить, устанавливать позволить, попробовать, нуждаться, чувствовать, верить, понимать, помнить, забыть, учиться, учить, изучать, играть, бегать, ходить, сидеть, стоять, жить, умирать, есть, пить, спать, просыпаться, покупать, продавать, платить, стоимость, водить, ездить, путешествовать, встречаться, присоединяться, делиться, следовать, руководить, побеждать, ломать, чинить, улучшать, развивать, планировать, решать, выбирать, соглашаться, принимать, отказываться, предлагать, запрашивать, разрешать, предотвращать, защищать, спасать, рисковать, преуспевать, продолжать</v>
      </c>
      <c r="I1399" s="8" t="str">
        <f>IFERROR(__xludf.DUMMYFUNCTION("GOOGLETRANSLATE(C1399, ""en"", ""ar"")"),"الـ، يكون، إلى، من، و، أ، في، ذلك، يملك، أنا، هو، لـ، لا، على، مع، هو، كما، أنت، تفعل، في، هذا، لكن، له، بواسطة، من، هم، نحن، نقول، لها، هي، أو، أن، سوف، لي، واحد، كل، سوف، هناك، لهم، ماذا، لذا، أعلى، خارج، إذا، عن، من، يحصل، الذي، يذهب، لي، متى، يصنع، يس"&amp;"تطيع، مثل، وقت، لا، فقط، له، يعرف، يأخذ، شخص، إلى، سنة، خاصتك، جيد، بعض، يمكن، لهم، يرى، آخر، من، ثم، الآن، انظر، فقط، يأتي، له، انتهى، فكر، أيضًا، خلف، بعد، استخدم، اثنان، كيف، عملنا، أولًا، حسنًا، طريقة، حتى، جديد، يريد، لأن، أي، كل، يعطي، يوم، معظم، نح"&amp;"ن، هو، هم، كان، كانوا، كان، فعل، يفعل، فعل، كان، يملك، قد، ربما، يجب، ينبغي، سوف، هنا، أين، لماذا، مرة أخرى، لا يزال، دائمًا، أبدًا، غالبًا أحيانًا، جدًا، حقًا، كثيرًا، العديد، أكثر، أقل، قليل، الكثير، شيء، أي شيء، كل شيء، لا شيء، شخص ما، أي شخص، الجميع، "&amp;"شيء، مكان، رجل، امرأة، طفل، صديق، عائلة، وظيفة، حياة، عالم، اليوم، غدًا، أمس، صباح، ليل، لحظة، نقطة، حقيقة، فكرة، مشكلة، سؤال، إجابة، سبب، جزء، نهاية، جانب، مجموعة، رقم، شركة، نظام، برنامج، خدمة، معلومات، مال، مستوى، طلب، تغيير، نتيجة، قضية، عملية، قصة، ا"&amp;"سم، منطقة، خط، طاقة، غرفة، منزل، مدرسة، ولاية، بلد، مدينة، يد، عين، رأس، وجه، صوت، كلمة، نوع، صنف، قانون، حكومة، عمل، سوق، فريق، عضو، قائد، مدير، عامل، عميل، مستخدم، جسم، عقل، قلب، صحة، رعاية، مساعدة، دعم، تحكم، نمو، بناء، إنشاء، بدء، توقف، بداية، إنهاء، "&amp;"فتح، إغلاق، تحريك، بقاء، مغادرة، عودة، إحضار، إرسال، اتصال، حديث، نطق، إخبار، سؤال، استماع، سماع، مشاهدة، إيجاد، فقدان، حفظ، إمساك، وضع، تعيين دع، جرب، تحتاج، اشعر، آمن، افهم، تذكر، انسَ، تعلم، علّم، ادرس، العب، اركض، امش، اجلس، قف، عش، مت، كل، اشرب، نم، "&amp;"استيقظ، اشترِ، بِع، ادفع، كلف، قد، اركب، سافر، قابل، انضم، شارك، اتبع، قد، اربح، اكسر، أصلح، حسّن، طوّر، خطط، قرر، اختر، وافق، اقبل، ارفض، اعرض، اطلب، اسمح، امنع، احمِ، ادخر، خاطر، نجح، استمر")</f>
        <v>الـ، يكون، إلى، من، و، أ، في، ذلك، يملك، أنا، هو، لـ، لا، على، مع، هو، كما، أنت، تفعل، في، هذا، لكن، له، بواسطة، من، هم، نحن، نقول، لها، هي، أو، أن، سوف، لي، واحد، كل، سوف، هناك، لهم، ماذا، لذا، أعلى، خارج، إذا، عن، من، يحصل، الذي، يذهب، لي، متى، يصنع، يستطيع، مثل، وقت، لا، فقط، له، يعرف، يأخذ، شخص، إلى، سنة، خاصتك، جيد، بعض، يمكن، لهم، يرى، آخر، من، ثم، الآن، انظر، فقط، يأتي، له، انتهى، فكر، أيضًا، خلف، بعد، استخدم، اثنان، كيف، عملنا، أولًا، حسنًا، طريقة، حتى، جديد، يريد، لأن، أي، كل، يعطي، يوم، معظم، نحن، هو، هم، كان، كانوا، كان، فعل، يفعل، فعل، كان، يملك، قد، ربما، يجب، ينبغي، سوف، هنا، أين، لماذا، مرة أخرى، لا يزال، دائمًا، أبدًا، غالبًا أحيانًا، جدًا، حقًا، كثيرًا، العديد، أكثر، أقل، قليل، الكثير، شيء، أي شيء، كل شيء، لا شيء، شخص ما، أي شخص، الجميع، شيء، مكان، رجل، امرأة، طفل، صديق، عائلة، وظيفة، حياة، عالم، اليوم، غدًا، أمس، صباح، ليل، لحظة، نقطة، حقيقة، فكرة، مشكلة، سؤال، إجابة، سبب، جزء، نهاية، جانب، مجموعة، رقم، شركة، نظام، برنامج، خدمة، معلومات، مال، مستوى، طلب، تغيير، نتيجة، قضية، عملية، قصة، اسم، منطقة، خط، طاقة، غرفة، منزل، مدرسة، ولاية، بلد، مدينة، يد، عين، رأس، وجه، صوت، كلمة، نوع، صنف، قانون، حكومة، عمل، سوق، فريق، عضو، قائد، مدير، عامل، عميل، مستخدم، جسم، عقل، قلب، صحة، رعاية، مساعدة، دعم، تحكم، نمو، بناء، إنشاء، بدء، توقف، بداية، إنهاء، فتح، إغلاق، تحريك، بقاء، مغادرة، عودة، إحضار، إرسال، اتصال، حديث، نطق، إخبار، سؤال، استماع، سماع، مشاهدة، إيجاد، فقدان، حفظ، إمساك، وضع، تعيين دع، جرب، تحتاج، اشعر، آمن، افهم، تذكر، انسَ، تعلم، علّم، ادرس، العب، اركض، امش، اجلس، قف، عش، مت، كل، اشرب، نم، استيقظ، اشترِ، بِع، ادفع، كلف، قد، اركب، سافر، قابل، انضم، شارك، اتبع، قد، اربح، اكسر، أصلح، حسّن، طوّر، خطط، قرر، اختر، وافق، اقبل، ارفض، اعرض، اطلب، اسمح، امنع، احمِ، ادخر، خاطر، نجح، استمر</v>
      </c>
      <c r="J1399" s="8"/>
      <c r="K1399" s="3" t="s">
        <v>1412</v>
      </c>
      <c r="M1399" s="4" t="s">
        <v>10</v>
      </c>
    </row>
    <row r="1400" ht="15.75" customHeight="1">
      <c r="A1400" s="1">
        <v>2768.0</v>
      </c>
      <c r="B1400" s="3">
        <v>153.0</v>
      </c>
      <c r="C1400" s="9" t="s">
        <v>1413</v>
      </c>
      <c r="D1400" s="8" t="str">
        <f>IFERROR(__xludf.DUMMYFUNCTION("GOOGLETRANSLATE(C1400, ""en"", ""pt"")"),"o, de, para, e, um, em, é, isto, você, que, ele, era, para, em, são, com, como, eu, seu, eles, ser, em, um, ter, isto, de, ou, tinha, por, quente, mas, alguns, o que, lá, nós, podemos, fora, outro, eram, todos, seu, quando, para cima, usar, palavra, como,"&amp;" disse, um, cada, ela, que, fazer, deles, tempo, se, vai, caminho, sobre, muitos, então, eles, iria, escrever, como, então, estes, dela, longo, fazer, coisa, ver, ele, dois, tem, olhar, mais, dia, poderia, ir, vir, fez, meu, som, não, a maioria, número, q"&amp;"uem, sobre, saber, água, do que, chamar, primeiro, pessoas, pode, para baixo, lado, sido, agora, encontrar, menino, fez, seu, deixar, colocar, fim, faz, outro, bem, grande, deve, grande, até, tal, porque, virar, aqui, por que, perguntar, foi, homens, ler,"&amp;" precisar, terra, diferente, casa, nós, mover, tentar, tipo, mão, imagem, de novo, mudar, desligado, brincar, soletrar, ar, longe, animal, casa, apontar, página, carta, mãe, resposta, encontrado, estudar, ainda, aprender, deveria, América, mundo, alto, ca"&amp;"da, perto, adicionar, comida, entre, próprio, abaixo, país, planta, último, escola, pai, manter, árvore, nunca, começar, cidade, terra, olho, luz, pensamento, cabeça, embaixo, história, viu, esquerda, não, poucos, enquanto, ao longo, poderia, fechar, algo"&amp;", parecer, próximo, difícil, abrir, exemplo, começar, vida, sempre, aqueles, ambos, papel, juntos, pegou, grupo, frequentemente, correr, importante, até, crianças, lado, pés, carro, milha, noite, caminhar, branco, mar, começou, crescer, pegou, rio, quatro"&amp;", carregar, estado, uma vez, livro, ouvir, parar, sem, segundo, mais tarde, perder, ideia, suficiente, comer, rosto, assistir, longe, índio, real, quase, deixar, acima, menina, às vezes, montanhas, cortar, jovem, falar, em breve, lista, música, ser, parti"&amp;"r, família, é, corpo, música, cor, ficar de pé, sol, perguntas, peixe, área, marca, cachorro, cavalo, pássaros, problema, completo, quarto, sabia, desde, sempre, pedaço, disse, geralmente, não, amigos, fácil, ouviu, ordem, vermelho, porta, claro, tornar-s"&amp;"e, topo, navio, através, hoje, durante, curto, melhor, melhor, no entanto, baixo, horas, preto, produtos, aconteceu, inteiro, medida, lembrar, cedo, ondas, alcançou, ouvir, vento, rocha, espaço, coberto, rápido, vários, segurar, ele mesmo, em direção a, c"&amp;"inco, passo, manhã, passou, vogal, verdadeiro, cem, contra, padrão, numeral, mesa, norte, lentamente, dinheiro, mapa, fazenda, puxou, desenhar, voz, visto, frio, chorou, plano, aviso, sul, cantar, guerra, chão, cair, rei, cidade, eu vou, unidade, figura, "&amp;"certo, campo, viagem, madeira, fogo, sobre, feito, inglês, estrada, parar, dez, voar, deu, caixa, finalmente, esperar, correto, oh, rapidamente, pessoa, tornou-se, mostrou, minutos, forte, verbo, estrelas, frente, sentir, fato, polegadas, rua, decidiu, co"&amp;"nter, curso, superfície, produzir, prédio, oceano, classe, nota, nada, descanso, cuidadosamente, cientistas, dentro, rodas, ficar, verde, conhecido, ilha, semana, menos, máquina, base, atrás, ficou, avião, sistema, atrás, correu, redondo, barco, jogo, for"&amp;"ça, trouxe, entender, quente, comum, trazer, explicar, seco, embora, linguagem, forma, profundo, milhares, sim, claro, equação, ainda, governo, cheio, calor, cheio, quente, verificar, objeto, sou, regra, entre, substantivo, poder, não pode, capaz, seis, t"&amp;"amanho, escuro, bola, material, especial, pesado, fino, par, círculo, incluir, construído, não pode, importa, quadrado, sílabas, talvez, conta, sentiu, de repente, teste, direção, centro, fazendeiros, pronto, qualquer coisa, dividido, geral, energia, assu"&amp;"nto, Europa, lua, região, retorno, acreditar, dança, membros, escolhido, simples, células, pintar, mente, amor, causa, chuva, exercício, ovos, trem, azul, desejo, gota, desenvolvido, janela, diferença, distância, coração, sentar, soma, verão")</f>
        <v>o, de, para, e, um, em, é, isto, você, que, ele, era, para, em, são, com, como, eu, seu, eles, ser, em, um, ter, isto, de, ou, tinha, por, quente, mas, alguns, o que, lá, nós, podemos, fora, outro, eram, todos, seu, quando, para cima, usar, palavra, como, disse, um, cada, ela, que, fazer, deles, tempo, se, vai, caminho, sobre, muitos, então, eles, iria, escrever, como, então, estes, dela, longo, fazer, coisa, ver, ele, dois, tem, olhar, mais, dia, poderia, ir, vir, fez, meu, som, não, a maioria, número, quem, sobre, saber, água, do que, chamar, primeiro, pessoas, pode, para baixo, lado, sido, agora, encontrar, menino, fez, seu, deixar, colocar, fim, faz, outro, bem, grande, deve, grande, até, tal, porque, virar, aqui, por que, perguntar, foi, homens, ler, precisar, terra, diferente, casa, nós, mover, tentar, tipo, mão, imagem, de novo, mudar, desligado, brincar, soletrar, ar, longe, animal, casa, apontar, página, carta, mãe, resposta, encontrado, estudar, ainda, aprender, deveria, América, mundo, alto, cada, perto, adicionar, comida, entre, próprio, abaixo, país, planta, último, escola, pai, manter, árvore, nunca, começar, cidade, terra, olho, luz, pensamento, cabeça, embaixo, história, viu, esquerda, não, poucos, enquanto, ao longo, poderia, fechar, algo, parecer, próximo, difícil, abrir, exemplo, começar, vida, sempre, aqueles, ambos, papel, juntos, pegou, grupo, frequentemente, correr, importante, até, crianças, lado, pés, carro, milha, noite, caminhar, branco, mar, começou, crescer, pegou, rio, quatro, carregar, estado, uma vez, livro, ouvir, parar, sem, segundo, mais tarde, perder, ideia, suficiente, comer, rosto, assistir, longe, índio, real, quase, deixar, acima, menina, às vezes, montanhas, cortar, jovem, falar, em breve, lista, música, ser, partir, família, é, corpo, música, cor, ficar de pé, sol, perguntas, peixe, área, marca, cachorro, cavalo, pássaros, problema, completo, quarto, sabia, desde, sempre, pedaço, disse, geralmente, não, amigos, fácil, ouviu, ordem, vermelho, porta, claro, tornar-se, topo, navio, através, hoje, durante, curto, melhor, melhor, no entanto, baixo, horas, preto, produtos, aconteceu, inteiro, medida, lembrar, cedo, ondas, alcançou, ouvir, vento, rocha, espaço, coberto, rápido, vários, segurar, ele mesmo, em direção a, cinco, passo, manhã, passou, vogal, verdadeiro, cem, contra, padrão, numeral, mesa, norte, lentamente, dinheiro, mapa, fazenda, puxou, desenhar, voz, visto, frio, chorou, plano, aviso, sul, cantar, guerra, chão, cair, rei, cidade, eu vou, unidade, figura, certo, campo, viagem, madeira, fogo, sobre, feito, inglês, estrada, parar, dez, voar, deu, caixa, finalmente, esperar, correto, oh, rapidamente, pessoa, tornou-se, mostrou, minutos, forte, verbo, estrelas, frente, sentir, fato, polegadas, rua, decidiu, conter, curso, superfície, produzir, prédio, oceano, classe, nota, nada, descanso, cuidadosamente, cientistas, dentro, rodas, ficar, verde, conhecido, ilha, semana, menos, máquina, base, atrás, ficou, avião, sistema, atrás, correu, redondo, barco, jogo, força, trouxe, entender, quente, comum, trazer, explicar, seco, embora, linguagem, forma, profundo, milhares, sim, claro, equação, ainda, governo, cheio, calor, cheio, quente, verificar, objeto, sou, regra, entre, substantivo, poder, não pode, capaz, seis, tamanho, escuro, bola, material, especial, pesado, fino, par, círculo, incluir, construído, não pode, importa, quadrado, sílabas, talvez, conta, sentiu, de repente, teste, direção, centro, fazendeiros, pronto, qualquer coisa, dividido, geral, energia, assunto, Europa, lua, região, retorno, acreditar, dança, membros, escolhido, simples, células, pintar, mente, amor, causa, chuva, exercício, ovos, trem, azul, desejo, gota, desenvolvido, janela, diferença, distância, coração, sentar, soma, verão</v>
      </c>
      <c r="E1400" s="8" t="str">
        <f>IFERROR(__xludf.DUMMYFUNCTION("GOOGLETRANSLATE(C1400, ""en"", ""es"")"),"el, de, a, y, un, en, es, eso, tú, que, él, era, para, en, son, con, como, yo, su, ellos, ser, en, uno, tener, este, de, o, había, por, caliente, pero, algunos, qué, allí, nosotros, podemos, fuera, otro, eran, todos, tu, cuando, arriba, usar, palabra, cóm"&amp;"o, dijo, un, cada, ella, cual, hacer, su, tiempo, si, voluntad, camino, sobre, muchos, entonces, ellos, querría, escribir, como, así, estos, ella, largo, hacer, cosa, ver, él, dos, tiene, mirar, más, día, podría, ir, venir, hizo, mi, sonido, no, la mayorí"&amp;"a, número, quién, sobre, saber, agua, que, llamar, primero, gente, puede, abajo, lado, sido, ahora, encontrar, chico, hizo, su, dejar, poner, fin, hace, otro, bien, grande, debe, grande, incluso, tal, porque, girar, aquí, por qué, preguntar, fue, hombres,"&amp;" leer, necesidad, tierra, diferente, hogar, nosotros, mover, intentar, tipo, mano, imagen, otra vez, cambiar, fuera, jugar, deletrear, aire, lejos, animal, casa, punto, página, carta, madre, respuesta, encontrado, estudiar, todavía, aprender, debería, Amé"&amp;"rica, mundo, alto, cada, cerca, agregar, comida, entre, propio, debajo, país, planta, último, escuela, padre, mantener, árbol, nunca, empezar, ciudad, tierra, ojo, luz, pensamiento, cabeza, debajo, historia, vio, izquierda, no, pocos, mientras, a lo largo"&amp;", podría, cerrar, algo, parecer, siguiente, duro, abrir, ejemplo, empezar, vida, siempre, esos, ambos, papel, juntos, consiguió, grupo, a menudo, correr, importante, hasta, niños, lado, pies, coche, milla, noche, caminar, blanco, mar, comenzó, crecer, tom"&amp;"ó, río, cuatro, llevar, estado, una vez, libro, oír, parar, sin, segundo, más tarde, perder, idea, suficiente, comer, cara, mirar, lejos, indio, real, casi, dejar, arriba, niña, a veces, montañas, cortar, joven, hablar, pronto, lista, canción, ser, dejar,"&amp;" familia, es, cuerpo, música, color, estar de pie, sol, preguntas, pez, área, marcar, perro, caballo, pájaros, problema, completo, habitación, sabía, desde, siempre, pieza, dijo, usualmente, no, amigos, fácil, escuchó, orden, rojo, puerta, seguro, convert"&amp;"irse, cima, barco, a través, hoy, durante, corto, mejor, mejor, sin embargo, bajo, horas, negro, productos, sucedió, entero, medida, recordar, temprano, olas, alcanzado, escuchar, viento, roca, espacio, cubierto, rápido, varios, sostener, él mismo, hacia,"&amp;" cinco, paso, mañana, pasado, vocal, verdadero, cien, contra, patrón, numeral, mesa, norte, lentamente, dinero, mapa, granja, tiró, dibujar, voz, visto, frío, lloró, plan, aviso, sur, cantar, guerra, suelo, caer, rey, pueblo, yo, unidad, figura, cierto, c"&amp;"ampo, viajar, madera, fuego, sobre, hecho, inglés, camino, detener, diez, volar, dio, caja, finalmente, espera, correcto, oh, rápidamente, persona, se convirtió, mostrado, minutos, fuerte, verbo, estrellas, frente, sentir, hecho, pulgadas, calle, decidió,"&amp;" contener, curso, superficie, producir, edificio, océano, clase, nota, nada, resto, cuidadosamente, científicos, dentro, ruedas, quedarse, verde, conocido, isla, semana, menos, máquina, base, hace, se paró, avión, sistema, detrás, corrió, redondo, barco, "&amp;"juego, fuerza, trajo, entender, cálido, común, traer, explicar, seco, aunque, idioma, forma, profundo, miles, sí, claro, ecuación, todavía, gobierno, lleno, calor, lleno, caliente, comprobar, objeto, soy, regla, entre, sustantivo, poder, no puedo, capaz, "&amp;"seis, tamaño, oscuro, pelota, material, especial, pesado, fino, par, círculo, incluir, construido, no puedo, materia, cuadrado, sílabas, tal vez, factura, sintió, de repente, prueba, dirección, centro, agricultores, listo, cualquier cosa, dividido, genera"&amp;"l, energía, sujeto, Europa, luna, región, regresar, creer, bailar, miembros, recogido, simple, células, pintura, mente, amor, causa, lluvia, ejercicio, huevos, tren, azul, deseo, gota, desarrollado, ventana, diferencia, distancia, corazón, sentarse, suma,"&amp;" verano")</f>
        <v>el, de, a, y, un, en, es, eso, tú, que, él, era, para, en, son, con, como, yo, su, ellos, ser, en, uno, tener, este, de, o, había, por, caliente, pero, algunos, qué, allí, nosotros, podemos, fuera, otro, eran, todos, tu, cuando, arriba, usar, palabra, cómo, dijo, un, cada, ella, cual, hacer, su, tiempo, si, voluntad, camino, sobre, muchos, entonces, ellos, querría, escribir, como, así, estos, ella, largo, hacer, cosa, ver, él, dos, tiene, mirar, más, día, podría, ir, venir, hizo, mi, sonido, no, la mayoría, número, quién, sobre, saber, agua, que, llamar, primero, gente, puede, abajo, lado, sido, ahora, encontrar, chico, hizo, su, dejar, poner, fin, hace, otro, bien, grande, debe, grande, incluso, tal, porque, girar, aquí, por qué, preguntar, fue, hombres, leer, necesidad, tierra, diferente, hogar, nosotros, mover, intentar, tipo, mano, imagen, otra vez, cambiar, fuera, jugar, deletrear, aire, lejos, animal, casa, punto, página, carta, madre, respuesta, encontrado, estudiar, todavía, aprender, debería, América, mundo, alto, cada, cerca, agregar, comida, entre, propio, debajo, país, planta, último, escuela, padre, mantener, árbol, nunca, empezar, ciudad, tierra, ojo, luz, pensamiento, cabeza, debajo, historia, vio, izquierda, no, pocos, mientras, a lo largo, podría, cerrar, algo, parecer, siguiente, duro, abrir, ejemplo, empezar, vida, siempre, esos, ambos, papel, juntos, consiguió, grupo, a menudo, correr, importante, hasta, niños, lado, pies, coche, milla, noche, caminar, blanco, mar, comenzó, crecer, tomó, río, cuatro, llevar, estado, una vez, libro, oír, parar, sin, segundo, más tarde, perder, idea, suficiente, comer, cara, mirar, lejos, indio, real, casi, dejar, arriba, niña, a veces, montañas, cortar, joven, hablar, pronto, lista, canción, ser, dejar, familia, es, cuerpo, música, color, estar de pie, sol, preguntas, pez, área, marcar, perro, caballo, pájaros, problema, completo, habitación, sabía, desde, siempre, pieza, dijo, usualmente, no, amigos, fácil, escuchó, orden, rojo, puerta, seguro, convertirse, cima, barco, a través, hoy, durante, corto, mejor, mejor, sin embargo, bajo, horas, negro, productos, sucedió, entero, medida, recordar, temprano, olas, alcanzado, escuchar, viento, roca, espacio, cubierto, rápido, varios, sostener, él mismo, hacia, cinco, paso, mañana, pasado, vocal, verdadero, cien, contra, patrón, numeral, mesa, norte, lentamente, dinero, mapa, granja, tiró, dibujar, voz, visto, frío, lloró, plan, aviso, sur, cantar, guerra, suelo, caer, rey, pueblo, yo, unidad, figura, cierto, campo, viajar, madera, fuego, sobre, hecho, inglés, camino, detener, diez, volar, dio, caja, finalmente, espera, correcto, oh, rápidamente, persona, se convirtió, mostrado, minutos, fuerte, verbo, estrellas, frente, sentir, hecho, pulgadas, calle, decidió, contener, curso, superficie, producir, edificio, océano, clase, nota, nada, resto, cuidadosamente, científicos, dentro, ruedas, quedarse, verde, conocido, isla, semana, menos, máquina, base, hace, se paró, avión, sistema, detrás, corrió, redondo, barco, juego, fuerza, trajo, entender, cálido, común, traer, explicar, seco, aunque, idioma, forma, profundo, miles, sí, claro, ecuación, todavía, gobierno, lleno, calor, lleno, caliente, comprobar, objeto, soy, regla, entre, sustantivo, poder, no puedo, capaz, seis, tamaño, oscuro, pelota, material, especial, pesado, fino, par, círculo, incluir, construido, no puedo, materia, cuadrado, sílabas, tal vez, factura, sintió, de repente, prueba, dirección, centro, agricultores, listo, cualquier cosa, dividido, general, energía, sujeto, Europa, luna, región, regresar, creer, bailar, miembros, recogido, simple, células, pintura, mente, amor, causa, lluvia, ejercicio, huevos, tren, azul, deseo, gota, desarrollado, ventana, diferencia, distancia, corazón, sentarse, suma, verano</v>
      </c>
      <c r="F1400" s="8" t="str">
        <f>IFERROR(__xludf.DUMMYFUNCTION("GOOGLETRANSLATE(C1400, ""en"", ""fr"")"),"le, de, à, et, un, dans, est, il, vous, que, il, était, pour, sur, sont, avec, comme, je, son, ils, être, à, un, avoir, ceci, de, ou, avait, par, chaud, mais, certains, quoi, là, nous, pouvons, dehors, autre, étaient, tous, votre, quand, en haut, utiliser"&amp;", mot, comment, dit, un, chacun, elle, lequel, faire, leur, temps, si, volonté, chemin, à propos de, beaucoup, alors, eux, voudrait, écrire, comme, donc, ceux-ci, son, long, faire, chose, voir, lui, deux, a, regarder, plus, jour, pourrait, aller, venir, a"&amp;" fait, mon, son, non, la plupart, nombre, qui, sur, savoir, eau, que, appeler, premier, gens, peut, en bas, côté, été, maintenant, trouver, garçon, a fait, son, laisser, mettre, fin, fait, un autre, bien, grand, doit, grand, même, tel, parce que, tourner,"&amp;" ici, pourquoi, demander, est allé, hommes, lire, besoin, terre, différent, maison, nous, bouger, essayer, gentil, main, image, encore, changer, éteint, jouer, épeler, air, loin, animal, maison, pointer, page, lettre, mère, réponse, trouvé, étudier, encor"&amp;"e, apprendre, devrait, Amérique, monde, haut, chaque, près, ajouter, nourriture, entre, propre, en dessous, pays, plante, dernier, école, père, garder, arbre, jamais, commencer, ville, terre, œil, lumière, pensée, tête, sous, histoire, vu, gauche, ne pas,"&amp;" peu, tandis que, le long, pourrait, fermer, quelque chose, sembler, suivant, dur, ouvrir, exemple, commencer, vie, toujours, ceux, les deux, papier, ensemble, obtenu, groupe, souvent, courir, important, jusqu'à, enfants, côté, pieds, voiture, mile, nuit,"&amp;" marcher, blanc, mer, commencé, grandir, pris, rivière, quatre, porter, état, une fois, livre, entendre, arrêter, sans, seconde, plus tard, manquer, idée, assez, manger, visage, regarder, loin, indien, réel, presque, laisser, au-dessus, fille, parfois, mo"&amp;"ntagnes, couper, jeune, parler, bientôt, liste, chanson, être, partir, famille, c'est, corps, musique, couleur, se tenir debout, soleil, questions, poisson, zone, marque, chien, cheval, oiseaux, problème, complet, pièce, savait, depuis, toujours, morceau,"&amp;" dit, habituellement, n'a pas, amis, facile, entendu, ordre, rouge, porte, sûr, devenir, haut, navire, à travers, aujourd'hui, pendant, court, mieux, meilleur, cependant, bas, heures, noir, produits, arrivé, entier, mesure, se souvenir, tôt, vagues, attei"&amp;"nt, écouter, vent, rocher, espace, couvert, rapide, plusieurs, tenir, lui-même, vers, cinq, étape, matin, passé, voyelle, vrai, cent, contre, motif, chiffre, table, nord, lentement, argent, carte, ferme, tiré, dessiner, voix, vu, froid, crié, plan, remarq"&amp;"uer, sud, chanter, guerre, sol, tomber, roi, ville, je vais, unité, chiffre, certain, champ, voyage, bois, feu, sur, fait, anglais, route, halte, dix, voler, donné, boîte, enfin, attendre, corriger, oh, rapidement, personne, est devenu, montré, minutes, f"&amp;"ort, verbe, étoiles, devant, sentir, fait, pouces, rue, décidé, contenir, cours, surface, produire, bâtiment, océan, classe, note, rien, repos, soigneusement, scientifiques, à l'intérieur, roues, rester, vert, connu, île, semaine, moins, machine, base, il"&amp;" y a, se tenait, avion, système, derrière, a couru, rond, bateau, jeu, force, a apporté, comprendre, chaud, commun, apporter, expliquer, sec, bien que, langue, forme, profond, milliers, oui, clair, équation, pourtant, gouvernement, rempli, chaleur, plein,"&amp;" chaud, vérifier, objet, suis, règle, parmi, nom, pouvoir, ne peut pas, capable, six, taille, sombre, balle, matériau, spécial, lourd, fin, paire, cercle, inclure, construit, ne peut pas, question, carré, syllabes, peut-être, facture, senti, soudainement,"&amp;" test, direction, centre, agriculteurs, prêt, n'importe quoi, divisé, général, énergie, sujet, Europe, lune, région, retour, croire, danser, membres, choisi, simple, cellules, peinture, esprit, amour, cause, pluie, exercice, œufs, train, bleu, souhait, go"&amp;"utte, développé, fenêtre, différence, distance, cœur, s'asseoir, somme, été")</f>
        <v>le, de, à, et, un, dans, est, il, vous, que, il, était, pour, sur, sont, avec, comme, je, son, ils, être, à, un, avoir, ceci, de, ou, avait, par, chaud, mais, certains, quoi, là, nous, pouvons, dehors, autre, étaient, tous, votre, quand, en haut, utiliser, mot, comment, dit, un, chacun, elle, lequel, faire, leur, temps, si, volonté, chemin, à propos de, beaucoup, alors, eux, voudrait, écrire, comme, donc, ceux-ci, son, long, faire, chose, voir, lui, deux, a, regarder, plus, jour, pourrait, aller, venir, a fait, mon, son, non, la plupart, nombre, qui, sur, savoir, eau, que, appeler, premier, gens, peut, en bas, côté, été, maintenant, trouver, garçon, a fait, son, laisser, mettre, fin, fait, un autre, bien, grand, doit, grand, même, tel, parce que, tourner, ici, pourquoi, demander, est allé, hommes, lire, besoin, terre, différent, maison, nous, bouger, essayer, gentil, main, image, encore, changer, éteint, jouer, épeler, air, loin, animal, maison, pointer, page, lettre, mère, réponse, trouvé, étudier, encore, apprendre, devrait, Amérique, monde, haut, chaque, près, ajouter, nourriture, entre, propre, en dessous, pays, plante, dernier, école, père, garder, arbre, jamais, commencer, ville, terre, œil, lumière, pensée, tête, sous, histoire, vu, gauche, ne pas, peu, tandis que, le long, pourrait, fermer, quelque chose, sembler, suivant, dur, ouvrir, exemple, commencer, vie, toujours, ceux, les deux, papier, ensemble, obtenu, groupe, souvent, courir, important, jusqu'à, enfants, côté, pieds, voiture, mile, nuit, marcher, blanc, mer, commencé, grandir, pris, rivière, quatre, porter, état, une fois, livre, entendre, arrêter, sans, seconde, plus tard, manquer, idée, assez, manger, visage, regarder, loin, indien, réel, presque, laisser, au-dessus, fille, parfois, montagnes, couper, jeune, parler, bientôt, liste, chanson, être, partir, famille, c'est, corps, musique, couleur, se tenir debout, soleil, questions, poisson, zone, marque, chien, cheval, oiseaux, problème, complet, pièce, savait, depuis, toujours, morceau, dit, habituellement, n'a pas, amis, facile, entendu, ordre, rouge, porte, sûr, devenir, haut, navire, à travers, aujourd'hui, pendant, court, mieux, meilleur, cependant, bas, heures, noir, produits, arrivé, entier, mesure, se souvenir, tôt, vagues, atteint, écouter, vent, rocher, espace, couvert, rapide, plusieurs, tenir, lui-même, vers, cinq, étape, matin, passé, voyelle, vrai, cent, contre, motif, chiffre, table, nord, lentement, argent, carte, ferme, tiré, dessiner, voix, vu, froid, crié, plan, remarquer, sud, chanter, guerre, sol, tomber, roi, ville, je vais, unité, chiffre, certain, champ, voyage, bois, feu, sur, fait, anglais, route, halte, dix, voler, donné, boîte, enfin, attendre, corriger, oh, rapidement, personne, est devenu, montré, minutes, fort, verbe, étoiles, devant, sentir, fait, pouces, rue, décidé, contenir, cours, surface, produire, bâtiment, océan, classe, note, rien, repos, soigneusement, scientifiques, à l'intérieur, roues, rester, vert, connu, île, semaine, moins, machine, base, il y a, se tenait, avion, système, derrière, a couru, rond, bateau, jeu, force, a apporté, comprendre, chaud, commun, apporter, expliquer, sec, bien que, langue, forme, profond, milliers, oui, clair, équation, pourtant, gouvernement, rempli, chaleur, plein, chaud, vérifier, objet, suis, règle, parmi, nom, pouvoir, ne peut pas, capable, six, taille, sombre, balle, matériau, spécial, lourd, fin, paire, cercle, inclure, construit, ne peut pas, question, carré, syllabes, peut-être, facture, senti, soudainement, test, direction, centre, agriculteurs, prêt, n'importe quoi, divisé, général, énergie, sujet, Europe, lune, région, retour, croire, danser, membres, choisi, simple, cellules, peinture, esprit, amour, cause, pluie, exercice, œufs, train, bleu, souhait, goutte, développé, fenêtre, différence, distance, cœur, s'asseoir, somme, été</v>
      </c>
      <c r="G1400" s="8" t="str">
        <f>IFERROR(__xludf.DUMMYFUNCTION("GOOGLETRANSLATE(C1400, ""en"", ""de"")"),"der, von, zu, und, ein, in, ist, es, du, dass, er, war, für, auf, sind, mit, als, ich, sein, sie, sein, bei, eins, haben, dies, von, oder, hatte, von, heiß, aber, einige, was, dort, wir, können, aus, andere, waren, alle, dein, wann, hoch, benutzen, Wort, "&amp;"wie, sagte, ein, jeder, sie, welche, tun, ihre, Zeit, wenn, wird, Weg, über, viele, dann, sie, würde, schreiben, wie, so, diese, ihr, lang, machen, Ding, sehen, ihn, zwei, hat, schauen, mehr, Tag, könnte, gehen, kommen, tat, mein, Klang, nein, die meisten"&amp;", Nummer, die, über, wissen, Wasser, als, rufen, zuerst, Leute, können, unten, Seite, gewesen, jetzt, finden, Junge, tat, sein, lassen, setzen, Ende, tut, ein anderer, gut, groß, muss, groß, sogar, solche, weil, drehen, hier, warum, fragen, ging, Männer, "&amp;"lesen, brauchen Land, anders, Zuhause, uns, bewegen, versuchen, Art, Hand, Bild, wieder, ändern, aus, spielen, buchstabieren, Luft, weg, Tier, Haus, zeigen, Seite, Brief, Mutter, antworten, gefunden, studieren, immer noch, lernen, sollte, Amerika, Welt, h"&amp;"och, jeder, nah, hinzufügen, Essen, zwischen, eigen, unten, Land, Pflanze, letzte, Schule, Vater, behalten, Baum, nie, beginnen, Stadt, Erde, Auge, Licht, Gedanke, Kopf, unter, Geschichte, sah, links, nicht, wenige, während, entlang, könnte, schließen, et"&amp;"was, scheinen, als nächstes, hart, öffnen, Beispiel, beginnen, Leben, immer, jene, beide, Papier, zusammen, bekam, Gruppe, oft, laufen, wichtig, bis, Kinder, Seite, Füße, Auto, Meile, Nacht, gehen, weiß, Meer, begann, wachsen, nahm, Fluss, vier, tragen, S"&amp;"taat, einmal, Buch, hören, anhalten, ohne, Sekunde, später, verpassen, Idee, genug, essen, Gesicht, beobachten, weit, Indianer, echt, fast, lassen, oben, Mädchen, manchmal, Berge, schneiden, jung sprechen, bald, Liste, Lied, Sein, verlassen, Familie, es i"&amp;"st, Körper, Musik, Farbe, stehen, Sonne, Fragen, Fisch, Bereich, Markierung, Hund, Pferd, Vögel, Problem, vollständig, Zimmer, wusste, seit, jemals, Stück, erzählt, normalerweise, nicht, Freunde, einfach, gehört, Ordnung, rot, Tür, sicher, werden, Spitze,"&amp;" Schiff, über, heute, während, kurz, besser, am besten, jedoch, niedrig, Stunden, schwarz, Produkte, passiert, ganz, Maß, erinnern, früh, Wellen, erreicht, zuhören, Wind, Felsen, Raum, bedeckt, schnell, mehrere, halten, sich selbst, in Richtung, fünf, Sch"&amp;"ritt, Morgen, vergangen, Vokal, wahr, hundert, gegen, Muster, Zahl, Tabelle, Norden, langsam, Geld, Karte, Bauernhof, gezogen, zeichnen, Stimme, gesehen, kalt, geweint, Plan, bemerken, Süden, singen, Krieg, Boden, fallen, König, Stadt, ich werde, Einheit,"&amp;" Figur, sicher, Feld, reisen, Holz, Feuer, auf, getan, Englisch, Straße, anhalten, zehn, fliegen, gab, Kiste, schließlich warten, richtig, oh, schnell, Person, wurde, gezeigt, Minuten, stark, Verb, Sterne, Vorderseite, fühlen, Tatsache, Zoll, Straße, ents"&amp;"chieden, enthalten, Kurs, Oberfläche, produzieren, Gebäude, Ozean, Klasse, Notiz, nichts, Rest, sorgfältig, Wissenschaftler, drinnen, Räder, bleiben, grün, bekannt, Insel, Woche, weniger, Maschine, Basis, vor, stand, Flugzeug, System, dahinter, rannte, ru"&amp;"nd, Boot, Spiel, Kraft, brachte, verstehen, warm, üblich, bringen, erklären, trocken, obwohl, Sprache, Form, tief, Tausende, ja, klar, Gleichung, noch, Regierung, gefüllt, Hitze, voll, heiß, prüfen, Objekt, bin, Regel, unter, Substantiv, Macht, kann nicht"&amp;", fähig, sechs, Größe, dunkel, Ball, Material, speziell, schwer, fein, Paar, Kreis, einschließen, gebaut, kann nicht, Angelegenheit, Quadrat, Silben, vielleicht, Rechnung, fühlte, plötzlich, Test, Richtung, Zentrum, Bauern, bereit, irgendetwas, geteilt, a"&amp;"llgemein, Energie, Thema, Europa, Mond, Region, zurückkehren, glauben, tanzen, Mitglieder, ausgewählt, einfach, Zellen, Farbe, Verstand, Liebe, Ursache, Regen, Bewegung, Eier, Zug, blau, Wunsch, Tropfen, entwickelt, Fenster, Unterschied, Entfernung, Herz,"&amp;" sitzen, Summe, Sommer")</f>
        <v>der, von, zu, und, ein, in, ist, es, du, dass, er, war, für, auf, sind, mit, als, ich, sein, sie, sein, bei, eins, haben, dies, von, oder, hatte, von, heiß, aber, einige, was, dort, wir, können, aus, andere, waren, alle, dein, wann, hoch, benutzen, Wort, wie, sagte, ein, jeder, sie, welche, tun, ihre, Zeit, wenn, wird, Weg, über, viele, dann, sie, würde, schreiben, wie, so, diese, ihr, lang, machen, Ding, sehen, ihn, zwei, hat, schauen, mehr, Tag, könnte, gehen, kommen, tat, mein, Klang, nein, die meisten, Nummer, die, über, wissen, Wasser, als, rufen, zuerst, Leute, können, unten, Seite, gewesen, jetzt, finden, Junge, tat, sein, lassen, setzen, Ende, tut, ein anderer, gut, groß, muss, groß, sogar, solche, weil, drehen, hier, warum, fragen, ging, Männer, lesen, brauchen Land, anders, Zuhause, uns, bewegen, versuchen, Art, Hand, Bild, wieder, ändern, aus, spielen, buchstabieren, Luft, weg, Tier, Haus, zeigen, Seite, Brief, Mutter, antworten, gefunden, studieren, immer noch, lernen, sollte, Amerika, Welt, hoch, jeder, nah, hinzufügen, Essen, zwischen, eigen, unten, Land, Pflanze, letzte, Schule, Vater, behalten, Baum, nie, beginnen, Stadt, Erde, Auge, Licht, Gedanke, Kopf, unter, Geschichte, sah, links, nicht, wenige, während, entlang, könnte, schließen, etwas, scheinen, als nächstes, hart, öffnen, Beispiel, beginnen, Leben, immer, jene, beide, Papier, zusammen, bekam, Gruppe, oft, laufen, wichtig, bis, Kinder, Seite, Füße, Auto, Meile, Nacht, gehen, weiß, Meer, begann, wachsen, nahm, Fluss, vier, tragen, Staat, einmal, Buch, hören, anhalten, ohne, Sekunde, später, verpassen, Idee, genug, essen, Gesicht, beobachten, weit, Indianer, echt, fast, lassen, oben, Mädchen, manchmal, Berge, schneiden, jung sprechen, bald, Liste, Lied, Sein, verlassen, Familie, es ist, Körper, Musik, Farbe, stehen, Sonne, Fragen, Fisch, Bereich, Markierung, Hund, Pferd, Vögel, Problem, vollständig, Zimmer, wusste, seit, jemals, Stück, erzählt, normalerweise, nicht, Freunde, einfach, gehört, Ordnung, rot, Tür, sicher, werden, Spitze, Schiff, über, heute, während, kurz, besser, am besten, jedoch, niedrig, Stunden, schwarz, Produkte, passiert, ganz, Maß, erinnern, früh, Wellen, erreicht, zuhören, Wind, Felsen, Raum, bedeckt, schnell, mehrere, halten, sich selbst, in Richtung, fünf, Schritt, Morgen, vergangen, Vokal, wahr, hundert, gegen, Muster, Zahl, Tabelle, Norden, langsam, Geld, Karte, Bauernhof, gezogen, zeichnen, Stimme, gesehen, kalt, geweint, Plan, bemerken, Süden, singen, Krieg, Boden, fallen, König, Stadt, ich werde, Einheit, Figur, sicher, Feld, reisen, Holz, Feuer, auf, getan, Englisch, Straße, anhalten, zehn, fliegen, gab, Kiste, schließlich warten, richtig, oh, schnell, Person, wurde, gezeigt, Minuten, stark, Verb, Sterne, Vorderseite, fühlen, Tatsache, Zoll, Straße, entschieden, enthalten, Kurs, Oberfläche, produzieren, Gebäude, Ozean, Klasse, Notiz, nichts, Rest, sorgfältig, Wissenschaftler, drinnen, Räder, bleiben, grün, bekannt, Insel, Woche, weniger, Maschine, Basis, vor, stand, Flugzeug, System, dahinter, rannte, rund, Boot, Spiel, Kraft, brachte, verstehen, warm, üblich, bringen, erklären, trocken, obwohl, Sprache, Form, tief, Tausende, ja, klar, Gleichung, noch, Regierung, gefüllt, Hitze, voll, heiß, prüfen, Objekt, bin, Regel, unter, Substantiv, Macht, kann nicht, fähig, sechs, Größe, dunkel, Ball, Material, speziell, schwer, fein, Paar, Kreis, einschließen, gebaut, kann nicht, Angelegenheit, Quadrat, Silben, vielleicht, Rechnung, fühlte, plötzlich, Test, Richtung, Zentrum, Bauern, bereit, irgendetwas, geteilt, allgemein, Energie, Thema, Europa, Mond, Region, zurückkehren, glauben, tanzen, Mitglieder, ausgewählt, einfach, Zellen, Farbe, Verstand, Liebe, Ursache, Regen, Bewegung, Eier, Zug, blau, Wunsch, Tropfen, entwickelt, Fenster, Unterschied, Entfernung, Herz, sitzen, Summe, Sommer</v>
      </c>
      <c r="H1400" s="8" t="str">
        <f>IFERROR(__xludf.DUMMYFUNCTION("GOOGLETRANSLATE(C1400, ""en"", ""ru"")"),"то, из, к, и, а, в, есть, это, ты, что, он, был, для, на, есть, с, как, я, его, они, быть, в, один, иметь, это, от, или, имел, по, горячий, но, некоторые, что, там, мы, можем, вне, другие, были, все, ваш, когда, вверх, использовать, слово, как, сказал, ан"&amp;", каждый, она, который, делать, их, время, если, будет, путь, о, многие, тогда, их, будет, писать, как, так, эти, ее, длинный, делать, вещь, видеть, его, два, имеет, смотреть, больше, день, мог, идти, приходить, сделал, мой, звук, нет, большинство, число,"&amp;" кто, над, знать, вода, чем, звонить, первый, люди, может, вниз, сторона, был, сейчас, найти, мальчик, сделал, его, пусть, положить, конец, делает, другой, хорошо, большой, должен, большой, даже, такой, потому что, поворот, здесь, почему, спросить, пошел,"&amp;" мужчины, читать, нужно, земля, разный, дом, нас, двигаться, пытаться, вид, рука, картинка, снова, изменить, выключить, играть, заклинать, воздух, прочь, животное, дом, точка, страница, письмо, мать, ответ, найден, учиться, все еще, учиться, должен, Амери"&amp;"ка, мир, высокий, каждый, рядом, добавить, еда, между, собственный, ниже, страна, растение, последний, школа, отец, держать, дерево, никогда, начать, город, земля, глаз, свет, мысль, голова, под, история, увидел, слева, не, несколько, в то время как, вдол"&amp;"ь, может, закрыть, что-то, кажется, следующий, трудный, открытый, например, начать, жизнь, всегда, те, оба, бумага, вместе, получил, группа, часто, бежать, важный, пока, дети, сторона, ноги, машина, миля, ночь, идти, белый, море, начал, расти, взял, река,"&amp;" четыре, нести, штат, однажды, книга, слышать, остановиться, без, второй, позже, пропустить, идея, достаточно, есть, лицо, смотреть, далеко, индийский, настоящий, почти, позволить, выше, девочка, иногда, горы, вырезать, молодой, говорить, скоро, список, п"&amp;"есня, существо, уйти, семья, это, тело, музыка, цвет, стоять, солнце, вопросы, рыба, область, метка, собака, лошадь, птицы, проблема, полный, комната, знал, с тех пор, как, когда-либо, кусок, сказал, обычно, не, друзья, легко, слышал, порядок, красный, дв"&amp;"ерь, конечно, стать, верх, корабль, через, сегодня, во время, короткий, лучше, лучший, однако, низкий, часы, черный, продукты, случилось, целый, мера, помнить, ранний, волны, достиг, слушать, ветер, скала, пространство, покрытый, быстрый, несколько, держа"&amp;"ть, себя, к, пять, шаг, утро, прошел, гласная, истинный, сто, против, узор, цифра, таблица, север, медленно, деньги, карта, ферма, потянул, рисовать, голос, видел, холодный, кричал, план, заметить, юг, петь, война, земля, падение, король, город, я, единиц"&amp;"а, фигура, определенный, поле, путешествие, дерево, огонь, на, сделано, английский, дорога, остановка, десять, летать, дал, коробка, наконец, подождать, правильно, о, быстро, человек, стал, показан, минуты, сильный, глагол, звезды, перед, чувствовать, фак"&amp;"т, дюймы, улица, решил, содержать, курс, поверхность, производить, здание, океан, класс, заметка, ничего, остальное, осторожно, ученые, внутри, колеса, оставаться, зеленый, известный, остров, неделя, меньше, машина, база, назад, стоял, самолет, система, п"&amp;"озади, бежал, круглый, лодка, игра, сила, принес, понимать, теплый, общий, принести, объяснить, сухой, хотя, язык, форма, глубокий, тысячи, да, ясный, уравнение, тем не менее, правительство, наполненный, тепло, полный, горячий, проверить, объект, я, прави"&amp;"ло, среди, существительное, сила, не может, способный, шесть, размер, темный, мяч, материал, специальный, тяжелый, хороший, пара, круг, включать, построенный, не могу, дело, квадрат, слоги, возможно, счет, чувствовал, внезапно, тест, направление, центр, ф"&amp;"ермеры, готовый, что угодно, разделенный, общий, энергия, предмет, Европа, луна, регион, вернуться, верить, танец, члены, выбранный, простой, клетки, краска, разум, любовь, причина, дождь, упражнение, яйца, поезд, синий, желание, капля, разработанный, окн"&amp;"о, разница, расстояние, сердце, сидеть, сумма, лето")</f>
        <v>то, из, к, и, а, в, есть, это, ты, что, он, был, для, на, есть, с, как, я, его, они, быть, в, один, иметь, это, от, или, имел, по, горячий, но, некоторые, что, там, мы, можем, вне, другие, были, все, ваш, когда, вверх, использовать, слово, как, сказал, ан, каждый, она, который, делать, их, время, если, будет, путь, о, многие, тогда, их, будет, писать, как, так, эти, ее, длинный, делать, вещь, видеть, его, два, имеет, смотреть, больше, день, мог, идти, приходить, сделал, мой, звук, нет, большинство, число, кто, над, знать, вода, чем, звонить, первый, люди, может, вниз, сторона, был, сейчас, найти, мальчик, сделал, его, пусть, положить, конец, делает, другой, хорошо, большой, должен, большой, даже, такой, потому что, поворот, здесь, почему, спросить, пошел, мужчины, читать, нужно, земля, разный, дом, нас, двигаться, пытаться, вид, рука, картинка, снова, изменить, выключить, играть, заклинать, воздух, прочь, животное, дом, точка, страница, письмо, мать, ответ, найден, учиться, все еще, учиться, должен, Америка, мир, высокий, каждый, рядом, добавить, еда, между, собственный, ниже, страна, растение, последний, школа, отец, держать, дерево, никогда, начать, город, земля, глаз, свет, мысль, голова, под, история, увидел, слева, не, несколько, в то время как, вдоль, может, закрыть, что-то, кажется, следующий, трудный, открытый, например, начать, жизнь, всегда, те, оба, бумага, вместе, получил, группа, часто, бежать, важный, пока, дети, сторона, ноги, машина, миля, ночь, идти, белый, море, начал, расти, взял, река, четыре, нести, штат, однажды, книга, слышать, остановиться, без, второй, позже, пропустить, идея, достаточно, есть, лицо, смотреть, далеко, индийский, настоящий, почти, позволить, выше, девочка, иногда, горы, вырезать, молодой, говорить, скоро, список, песня, существо, уйти, семья, это, тело, музыка, цвет, стоять, солнце, вопросы, рыба, область, метка, собака, лошадь, птицы, проблема, полный, комната, знал, с тех пор, как, когда-либо, кусок, сказал, обычно, не, друзья, легко, слышал, порядок, красный, дверь, конечно, стать, верх, корабль, через, сегодня, во время, короткий, лучше, лучший, однако, низкий, часы, черный, продукты, случилось, целый, мера, помнить, ранний, волны, достиг, слушать, ветер, скала, пространство, покрытый, быстрый, несколько, держать, себя, к, пять, шаг, утро, прошел, гласная, истинный, сто, против, узор, цифра, таблица, север, медленно, деньги, карта, ферма, потянул, рисовать, голос, видел, холодный, кричал, план, заметить, юг, петь, война, земля, падение, король, город, я, единица, фигура, определенный, поле, путешествие, дерево, огонь, на, сделано, английский, дорога, остановка, десять, летать, дал, коробка, наконец, подождать, правильно, о, быстро, человек, стал, показан, минуты, сильный, глагол, звезды, перед, чувствовать, факт, дюймы, улица, решил, содержать, курс, поверхность, производить, здание, океан, класс, заметка, ничего, остальное, осторожно, ученые, внутри, колеса, оставаться, зеленый, известный, остров, неделя, меньше, машина, база, назад, стоял, самолет, система, позади, бежал, круглый, лодка, игра, сила, принес, понимать, теплый, общий, принести, объяснить, сухой, хотя, язык, форма, глубокий, тысячи, да, ясный, уравнение, тем не менее, правительство, наполненный, тепло, полный, горячий, проверить, объект, я, правило, среди, существительное, сила, не может, способный, шесть, размер, темный, мяч, материал, специальный, тяжелый, хороший, пара, круг, включать, построенный, не могу, дело, квадрат, слоги, возможно, счет, чувствовал, внезапно, тест, направление, центр, фермеры, готовый, что угодно, разделенный, общий, энергия, предмет, Европа, луна, регион, вернуться, верить, танец, члены, выбранный, простой, клетки, краска, разум, любовь, причина, дождь, упражнение, яйца, поезд, синий, желание, капля, разработанный, окно, разница, расстояние, сердце, сидеть, сумма, лето</v>
      </c>
      <c r="I1400" s="8" t="str">
        <f>IFERROR(__xludf.DUMMYFUNCTION("GOOGLETRANSLATE(C1400, ""en"", ""ar"")"),"الـ، من، إلى، و، أ، في، هو، هو، أنت، ذلك، هو، كان، لـ، على، هم، مع، كما، أنا، له، هم، يكون، في، واحد، يملك، هذا، من، أو، كان، بواسطة، ساخن، لكن، بعض، ماذا، هناك، نحن، يستطيع، خارج، آخر، كانوا، كل، خاصتك، متى، أعلى، استخدم، كلمة، كيف، قال، أن، كل، هي، الذي"&amp;"، يفعل، لهم، وقت، إذا، سوف، طريقة، حول، كثير، ثم، هم، سوف، يكتب، مثل، لذلك، هؤلاء، لها، طويل، يصنع، شيء، يرى، له، اثنان، لديه، انظر، أكثر، يوم، يستطيع، يذهب، يأتي، فعل، لي، صوت، لا، معظم، عدد، من، فوق، يعرف، ماء، من، يدعو، أول، ناس، قد، أسفل، جانب، كان، ا"&amp;"لآن، يجد، صبي، فعل، خاصته، دع، يضع، نهاية، يفعل، آخر، جيد، كبير، يجب، كبير، حتى، مثل، لأن، استدر، هنا، لماذا، اسأل، ذهب، رجال، يقرأ، يحتاج، أرض، مختلف، منزل، نحن، تحرك، حاول، نوع، يد، صورة، مرة أخرى، تغيير، إيقاف، لعب، تهجئة، هواء، بعيدًا، حيوان، منزل، نق"&amp;"طة، صفحة، رسالة، أم، إجابة، وجد، دراسة، لا يزال، تعلم، ينبغي، أمريكا، عالم، مرتفع، كل، قريب، أضف، طعام، بين، يملك، أسفل، بلد، نبات، أخير، مدرسة، أب، احتفظ، شجرة، أبدًا، ابدأ، مدينة، أرض، عين، ضوء، فكرة، رأس، تحت، قصة، رأى، يسار، لا، قليل، بينما، على طول، "&amp;"قد، قريب، شيء، يبدو، التالي، صعب، افتح، مثال، ابدأ، حياة، دائمًا، هؤلاء، كلاهما، ورقة، معًا، حصل، مجموعة، غالبًا، ركض، مهم، حتى، أطفال، جانب، أقدام، سيارة، ميل، ليل، مشي، أبيض، بحر، بدأ، ينمو، أخذ، نهر، أربعة، يحمل، دولة، مرة، كتاب، اسمع، توقف، بدون، ثاني"&amp;"ة، لاحقًا، يفتقد، فكرة، كافٍ، يأكل، وجه، يشاهد، بعيدًا، هندي، حقيقي، تقريبًا، دع، فوق، فتاة، أحيانًا، جبال، قطع، شاب، حديث، قريبًا، قائمة، أغنية، كائن، يغادر، عائلة، إنه، جسد، موسيقى، لون، يقف، شمس، أسئلة، سمك، منطقة، علامة، كلب، حصان، طيور، مشكلة، كامل، "&amp;"غرفة، عرف، منذ، من أي وقت مضى، قطعة، أخبر، عادةً، لم، أصدقاء، سهل، سمع، طلب، أحمر، باب، متأكد، يصبح، أعلى، سفينة، عبر، اليوم، خلال، قصير، أفضل، الأفضل، مع ذلك، منخفض، ساعات، أسود، منتجات، حدث، كامل، قياس، تذكر، مبكر، أمواج، وصل، يستمع، ريح، صخرة، فضاء، مغ"&amp;"طى، سريع، عدة، يمسك، نفسه، نحو، خمسة، خطوة، صباح، مر، حرف علة، صحيح، مائة، ضد، نمط، رقم، جدول، شمال، ببطء، مال، خريطة، مزرعة، سحب، رسم، صوت، رأى، بارد، بكى، خطة، ملاحظة، جنوب، يغني، حرب، أرض، سقوط، ملك، مدينة، سأفعل، وحدة، شكل، مؤكد، حقل، سفر، خشب، نار، ع"&amp;"لى، فعل، إنجليزي، طريق، توقف، عشرة، يطير، أعطى، صندوق، أخيرًا، انتظر، صحيح، أوه، بسرعة، شخص، أصبح، أظهر، دقائق، قوي، فعل، نجوم، أمام، يشعر، حقيقة، بوصات، شارع، قرر، يحتوي، مسار، سطح، ينتج، مبنى، محيط، فصل، ملاحظة، لا شيء، راحة، بعناية، علماء، داخل، عجلات،"&amp;" يبقى، أخضر، معروف، جزيرة، أسبوع، أقل، آلة، قاعدة، منذ، وقف، طائرة، نظام، خلف، ركض، جولة، قارب، لعبة، قوة، أحضر، يفهم، دافئ، شائع، يجلب، يشرح، جاف، على الرغم من، لغة، شكل، عميق، آلاف، نعم، واضح، معادلة، بعد، حكومة، ممتلئ، حرارة، ممتلئ، ساخن، تحقق، كائن، أ"&amp;"نا، قاعدة، بين، اسم، قوة، لا يستطيع، قادر، ستة، حجم، مظلم، كرة، مادة، خاص، ثقيل، جيد، زوج، دائرة، يشمل، مبني، لا يستطيع، مسألة، مربع، مقاطع لفظية، ربما، فاتورة، شعر، فجأة، اختبار، اتجاه، مركز، مزارعون، جاهز، أي شيء، مقسم، عام، طاقة، موضوع، أوروبا، قمر، من"&amp;"طقة، عودة، يعتقد، رقص، أعضاء، اختار، بسيط، خلايا، طلاء، عقل، حب، سبب، مطر، تمرين، بيض، قطار، أزرق، أمنية، قطرة، متطور، نافذة، فرق، مسافة، قلب، يجلس، مجموع، صيف")</f>
        <v>الـ، من، إلى، و، أ، في، هو، هو، أنت، ذلك، هو، كان، لـ، على، هم، مع، كما، أنا، له، هم، يكون، في، واحد، يملك، هذا، من، أو، كان، بواسطة، ساخن، لكن، بعض، ماذا، هناك، نحن، يستطيع، خارج، آخر، كانوا، كل، خاصتك، متى، أعلى، استخدم، كلمة، كيف، قال، أن، كل، هي، الذي، يفعل، لهم، وقت، إذا، سوف، طريقة، حول، كثير، ثم، هم، سوف، يكتب، مثل، لذلك، هؤلاء، لها، طويل، يصنع، شيء، يرى، له، اثنان، لديه، انظر، أكثر، يوم، يستطيع، يذهب، يأتي، فعل، لي، صوت، لا، معظم، عدد، من، فوق، يعرف، ماء، من، يدعو، أول، ناس، قد، أسفل، جانب، كان، الآن، يجد، صبي، فعل، خاصته، دع، يضع، نهاية، يفعل، آخر، جيد، كبير، يجب، كبير، حتى، مثل، لأن، استدر، هنا، لماذا، اسأل، ذهب، رجال، يقرأ، يحتاج، أرض، مختلف، منزل، نحن، تحرك، حاول، نوع، يد، صورة، مرة أخرى، تغيير، إيقاف، لعب، تهجئة، هواء، بعيدًا، حيوان، منزل، نقطة، صفحة، رسالة، أم، إجابة، وجد، دراسة، لا يزال، تعلم، ينبغي، أمريكا، عالم، مرتفع، كل، قريب، أضف، طعام، بين، يملك، أسفل، بلد، نبات، أخير، مدرسة، أب، احتفظ، شجرة، أبدًا، ابدأ، مدينة، أرض، عين، ضوء، فكرة، رأس، تحت، قصة، رأى، يسار، لا، قليل، بينما، على طول، قد، قريب، شيء، يبدو، التالي، صعب، افتح، مثال، ابدأ، حياة، دائمًا، هؤلاء، كلاهما، ورقة، معًا، حصل، مجموعة، غالبًا، ركض، مهم، حتى، أطفال، جانب، أقدام، سيارة، ميل، ليل، مشي، أبيض، بحر، بدأ، ينمو، أخذ، نهر، أربعة، يحمل، دولة، مرة، كتاب، اسمع، توقف، بدون، ثانية، لاحقًا، يفتقد، فكرة، كافٍ، يأكل، وجه، يشاهد، بعيدًا، هندي، حقيقي، تقريبًا، دع، فوق، فتاة، أحيانًا، جبال، قطع، شاب، حديث، قريبًا، قائمة، أغنية، كائن، يغادر، عائلة، إنه، جسد، موسيقى، لون، يقف، شمس، أسئلة، سمك، منطقة، علامة، كلب، حصان، طيور، مشكلة، كامل، غرفة، عرف، منذ، من أي وقت مضى، قطعة، أخبر، عادةً، لم، أصدقاء، سهل، سمع، طلب، أحمر، باب، متأكد، يصبح، أعلى، سفينة، عبر، اليوم، خلال، قصير، أفضل، الأفضل، مع ذلك، منخفض، ساعات، أسود، منتجات، حدث، كامل، قياس، تذكر، مبكر، أمواج، وصل، يستمع، ريح، صخرة، فضاء، مغطى، سريع، عدة، يمسك، نفسه، نحو، خمسة، خطوة، صباح، مر، حرف علة، صحيح، مائة، ضد، نمط، رقم، جدول، شمال، ببطء، مال، خريطة، مزرعة، سحب، رسم، صوت، رأى، بارد، بكى، خطة، ملاحظة، جنوب، يغني، حرب، أرض، سقوط، ملك، مدينة، سأفعل، وحدة، شكل، مؤكد، حقل، سفر، خشب، نار، على، فعل، إنجليزي، طريق، توقف، عشرة، يطير، أعطى، صندوق، أخيرًا، انتظر، صحيح، أوه، بسرعة، شخص، أصبح، أظهر، دقائق، قوي، فعل، نجوم، أمام، يشعر، حقيقة، بوصات، شارع، قرر، يحتوي، مسار، سطح، ينتج، مبنى، محيط، فصل، ملاحظة، لا شيء، راحة، بعناية، علماء، داخل، عجلات، يبقى، أخضر، معروف، جزيرة، أسبوع، أقل، آلة، قاعدة، منذ، وقف، طائرة، نظام، خلف، ركض، جولة، قارب، لعبة، قوة، أحضر، يفهم، دافئ، شائع، يجلب، يشرح، جاف، على الرغم من، لغة، شكل، عميق، آلاف، نعم، واضح، معادلة، بعد، حكومة، ممتلئ، حرارة، ممتلئ، ساخن، تحقق، كائن، أنا، قاعدة، بين، اسم، قوة، لا يستطيع، قادر، ستة، حجم، مظلم، كرة، مادة، خاص، ثقيل، جيد، زوج، دائرة، يشمل، مبني، لا يستطيع، مسألة، مربع، مقاطع لفظية، ربما، فاتورة، شعر، فجأة، اختبار، اتجاه، مركز، مزارعون، جاهز، أي شيء، مقسم، عام، طاقة، موضوع، أوروبا، قمر، منطقة، عودة، يعتقد، رقص، أعضاء، اختار، بسيط، خلايا، طلاء، عقل، حب، سبب، مطر، تمرين، بيض، قطار، أزرق، أمنية، قطرة، متطور، نافذة، فرق، مسافة، قلب، يجلس، مجموع، صيف</v>
      </c>
      <c r="J1400" s="8"/>
      <c r="K1400" s="3" t="s">
        <v>1414</v>
      </c>
      <c r="M1400" s="4" t="s">
        <v>10</v>
      </c>
    </row>
    <row r="1401" ht="15.75" customHeight="1">
      <c r="A1401" s="1">
        <v>2769.0</v>
      </c>
      <c r="B1401" s="3">
        <v>154.0</v>
      </c>
      <c r="C1401" s="9" t="s">
        <v>1415</v>
      </c>
      <c r="D1401" s="8" t="str">
        <f>IFERROR(__xludf.DUMMYFUNCTION("GOOGLETRANSLATE(C1401, ""en"", ""pt"")"),"a, habilidade, capaz, sobre, acima, aceitar, de acordo com, conta, através, ato, ação, atividade, na verdade, adicionar, endereço, administração, admitir, adulto, afetar, depois, novamente, contra, idade, agência, agente, atrás, concordar, acordo, à frent"&amp;"e, ar, tudo, permitir, quase, sozinho, junto, já, também, embora, sempre, americano, entre, quantidade, análise, e, animal, outro, resposta, qualquer, alguém, qualquer coisa, aparecer, aplicar, abordagem, área, discutir, braço, ao redor, chegar, arte, art"&amp;"igo, artista, como, perguntar, assumir, em, ataque, atenção, advogado, público, autor, autoridade, disponível, evitar, longe, bebê, costas, ruim, bolsa, bola, banco, bar, base, ser, bater, bonito, porque, tornar-se, cama, antes, começar, comportamento, at"&amp;"rás, acreditar, benefício, melhor, melhor, entre, além, grande, conta, bilhão, pouco, preto, sangue, azul, quadro, corpo, livro, nascido, ambos, caixa, menino, quebrar, trazer, irmão, orçamento, construir, prédio, negócio, mas, comprar, por, ligar, câmera"&amp;", campanha, lata, câncer, candidato, capital, carro, cartão, cuidado, carreira, carregar, caso, pegar, causa, célula, centro, central, século, certo, certamente, cadeira, desafio, chance, mudança, caráter, cobrança, cheque, criança, escolha, escolher, igr"&amp;"eja, cidadão, cidade, civil, reivindicação, classe, claro, claramente, perto, treinador, frio, coleção, faculdade, cor, vir, comercial, comum, comunidade, empresa, comparar, computador, preocupação, condição, conferência, Congresso, considerar, consumidor"&amp;", conter, continuar, controle, custo, poderia, país, casal, curso, tribunal, cobrir, criar, crime, cultural, cultura, xícara, atual, cliente, cortar, escuro, dados, filha, dia, morto, negócio, morte, debate, década, decidir, decisão, profundo, defesa, gra"&amp;"u, democrata, democrático, descrever, design, apesar de, detalhe, determinar, desenvolver, desenvolvimento, morrer, diferença, diferente, difícil, jantar, direção, diretor, descobrir, discutir, discussão, doença, fazer, médico, cachorro, porta, para baixo"&amp;", desenhar, sonho, dirigir, cair, droga, durante, cada, cedo, leste, fácil, comer, econômico, economia, vantagem, educação, efeito, esforço, oito, qualquer um, eleição, outro, funcionário, fim, energia, aproveitar, suficiente, entrar, inteiro, ambiente, a"&amp;"mbiental, especialmente, estabelecer, até mesmo, noite, evento, sempre, cada, todo mundo, todos, tudo, evidência, exatamente, exemplo, executivo, existir, esperar, experiência, especialista, explicar, olho, rosto, fato, fator, falhar, cair, família, longe"&amp;", rápido, pai, medo, federal, sentir, sentimento, poucos, campo, lutar, figura, preencher, filme, final, finalmente, financeiro, encontrar, multa, dedo, terminar, fogo, firme, primeiro, peixe, cinco, chão, voar, foco, seguir, comida, pé, para, força, estr"&amp;"angeiro, esquecer, forma, ex, para frente, quatro, livre, amigo, de, frente, cheio, fundo, futuro, jogo, jardim, gás, geral, geração, pegar, garota, dar, copo, ir, objetivo, bom, governo, ótimo, verde, chão, grupo, crescer, crescimento, palpite, arma, car"&amp;"a, cabelo, metade, mão, pendurar, acontecer, feliz, difícil, ter, ele, cabeça, saúde, ouvir, coração, calor, pesado, ajuda, ela, aqui, ela mesma, alto, ele, ele mesmo, seu, história, bater, segurar, casa, esperança, hospital, quente, hotel, hora, casa, co"&amp;"mo, no entanto, enorme, humano, cem, marido, eu, ideia, identificar, se, imagem, imaginar, impacto, importante, melhorar, em, incluir, incluindo, aumentar, de fato, indicar, indivíduo, indústria, informação, dentro, em vez disso, instituição, interesse, i"&amp;"nteressante, internacional, entrevista, em, investimento, envolver, questão, isso, item, seu, si mesmo, trabalho, juntar-se, apenas, manter, chave, criança, matar, tipo, cozinha, saber, conhecimento, terra, idioma, grande, último, tarde, mais tarde, rir, "&amp;"lei, advogado, deitar, liderar, líder, aprender, pelo menos, sair, esquerda, perna, legal, menos, deixar, carta, nível, mentir, vida, luz, como, provável, linha, lista, ouvir, pouco, viver, local, longo, olhar, perder, perda, muito, amor, baixo, máquina, "&amp;"revista, principal, manter, major, maioria, fazer, homem, gerenciar, gestão, gerente, muitos, mercado, casamento, material, assunto, pode, talvez, eu, significa, medida, mídia, médico, encontrar, reunião, membro, memória, mencionar, mensagem, método, meio"&amp;", poderia, militar, milhão, mente, minuto, perder, missão, modelo, moderno, momento, dinheiro, mês, mais, manhã, a maioria, mãe, boca, mover, movimento, filme, Sr., Sra., muito, música, deve, meu, eu mesmo, nome, nação, nacional, natural, natureza, perto,"&amp;" quase, necessário, necessidade, rede, nunca, novo, notícias, jornal, próximo, legal, noite, não, nenhum, nem, norte, não, nota, nada, aviso, agora, não, número, ocorrer, de, fora, oferta, escritório, oficial, funcionário, frequentemente, oh, petróleo, ok"&amp;", velho, ligado, uma vez, um, apenas, sobre, aberto, operação, oportunidade, opção, ou, ordem, organização, outro, outros, nosso, fora, exterior, sobre, próprio, proprietário, página, dor, pintura, papel, pai, parte, participante, particular, particularme"&amp;"nte, parceiro, partido, passar, passado, paciente, padrão, pagar, paz, pessoas, por, executar, desempenho, talvez, período, pessoa, pessoal, telefone, físico, escolher, foto, peça, lugar, plano, planta, jogar, jogador, primeiro-ministro, ponto, polícia, p"&amp;"olítica, político, política, pobre, popular, população, posição, positivo, possível, poder, prática, preparar, presente, presidente, pressão, bonito, prevenir, preço, privado, provavelmente, problema, processo, produzir, produto, produção, profissional, p"&amp;"rofessor, programa, projeto, propriedade, proteger, provar, fornecer, público, puxar, propósito, empurrar, colocar, qualidade, pergunta, rapidamente, bastante, corrida, rádio, aumentar, alcance, taxa, em vez disso, alcançar, ler, pronto, real, realidade, "&amp;"perceber, realmente, razão, receber, recente, recentemente, reconhecer, registrar, vermelho, reduzir, refletir, região, relacionar, relacionamento, religioso, permanecer, lembrar, remover, relatar, representar, republicano, exigir, pesquisa, recurso, resp"&amp;"onder, resposta, responsabilidade, descanso, resultado, retorno, revelar, rico, certo, ascensão, risco, estrada, rocha, papel, sala, regra, correr, seguro, igual, salvar, dizer, cena, escola, ciência, cientista, pontuação, mar, estação, assento, segundo, "&amp;"seção, segurança, ver, procurar, parecer, vender, enviar, sênior, sentido, série, sério, servir, serviço, conjunto, sete, vários, sexo, sexual, apertar, compartilhar, ela, atirar, curto, tiro, deveria, ombro, mostrar, lado, sinal, significativo, similar, "&amp;"simples, simplesmente, desde, cantar, solteiro, irmã, sentar, local, situação, seis, tamanho, habilidade, pele, pequeno, sorriso, então, social, sociedade, soldado, algum, alguém, alguém, algo, às vezes, filho, música, em breve, tipo, som, fonte, sul, mer"&amp;"idional, espaço, falar, especial, específico, discurso, gastar, esporte, primavera, equipe, palco, ficar de pé, padrão, estrela, começar, estado, declaração, estação, ficar, passo, ainda, estoque, parar, loja, história, estratégia, rua, forte, estrutura, "&amp;"estudante, estudar, coisas, estilo, assunto, sucesso, bem-sucedido, tal, de repente, sofrer, sugerir, verão, apoio, certeza, superfície, sistema, mesa, pegar, conversar, tarefa, imposto, ensinar, professor, equipe, tecnologia, televisão, dizer, dez, tende"&amp;"r, termo, teste, do que, obrigado, que, o, deles, eles, eles mesmos, então, teoria, lá, estes, eles, coisa, pensar, terceiro, isto, aqueles, embora, pensamento, mil, ameaça, três, através, por toda parte, jogar, assim, tempo, para, hoje, juntos, esta noit"&amp;"e, também, topo, total, difícil, em direção a, cidade, comércio, tradicional, treinamento, viagem, tratar, tratamento, árvore, julgamento, viagem, problema, verdadeiro, verdade, tentar, virar, TV, dois, tipo, sob, entender, unidade, até, para cima, sobre,"&amp;" nós, usar, geralmente, valor, vários, muito, vítima, vista, violência, visitar, voz, voto, esperar, andar, parede, querer, guerra, assistir, água, caminho, nós, arma, usar, semana, peso, bem, oeste, ocidental, o que, qualquer que seja, quando, onde, se, "&amp;"qual, enquanto, branco, quem, inteiro, a quem, de quem, por que, amplo, esposa, vontade, ganhar, vento, janela, desejo, com, dentro, sem, mulher, maravilha, palavra, trabalho, trabalhador, mundo, preocupação, gostaria, escrever, escritor, errado, quintal,"&amp;" sim, ano, sim, ainda, você, jovem, seu, você mesmo")</f>
        <v>a, habilidade, capaz, sobre, acima, aceitar, de acordo com, conta, através, ato, ação, atividade, na verdade, adicionar, endereço, administração, admitir, adulto, afetar, depois, novamente, contra, idade, agência, agente, atrás, concordar, acordo, à frente, ar, tudo, permitir, quase, sozinho, junto, já, também, embora, sempre, americano, entre, quantidade, análise, e, animal, outro, resposta, qualquer, alguém, qualquer coisa, aparecer, aplicar, abordagem, área, discutir, braço, ao redor, chegar, arte, artigo, artista, como, perguntar, assumir, em, ataque, atenção, advogado, público, autor, autoridade, disponível, evitar, longe, bebê, costas, ruim, bolsa, bola, banco, bar, base, ser, bater, bonito, porque, tornar-se, cama, antes, começar, comportamento, atrás, acreditar, benefício, melhor, melhor, entre, além, grande, conta, bilhão, pouco, preto, sangue, azul, quadro, corpo, livro, nascido, ambos, caixa, menino, quebrar, trazer, irmão, orçamento, construir, prédio, negócio, mas, comprar, por, ligar, câmera, campanha, lata, câncer, candidato, capital, carro, cartão, cuidado, carreira, carregar, caso, pegar, causa, célula, centro, central, século, certo, certamente, cadeira, desafio, chance, mudança, caráter, cobrança, cheque, criança, escolha, escolher, igreja, cidadão, cidade, civil, reivindicação, classe, claro, claramente, perto, treinador, frio, coleção, faculdade, cor, vir, comercial, comum, comunidade, empresa, comparar, computador, preocupação, condição, conferência, Congresso, considerar, consumidor, conter, continuar, controle, custo, poderia, país, casal, curso, tribunal, cobrir, criar, crime, cultural, cultura, xícara, atual, cliente, cortar, escuro, dados, filha, dia, morto, negócio, morte, debate, década, decidir, decisão, profundo, defesa, grau, democrata, democrático, descrever, design, apesar de, detalhe, determinar, desenvolver, desenvolvimento, morrer, diferença, diferente, difícil, jantar, direção, diretor, descobrir, discutir, discussão, doença, fazer, médico, cachorro, porta, para baixo, desenhar, sonho, dirigir, cair, droga, durante, cada, cedo, leste, fácil, comer, econômico, economia, vantagem, educação, efeito, esforço, oito, qualquer um, eleição, outro, funcionário, fim, energia, aproveitar, suficiente, entrar, inteiro, ambiente, ambiental, especialmente, estabelecer, até mesmo, noite, evento, sempre, cada, todo mundo, todos, tudo, evidência, exatamente, exemplo, executivo, existir, esperar, experiência, especialista, explicar, olho, rosto, fato, fator, falhar, cair, família, longe, rápido, pai, medo, federal, sentir, sentimento, poucos, campo, lutar, figura, preencher, filme, final, finalmente, financeiro, encontrar, multa, dedo, terminar, fogo, firme, primeiro, peixe, cinco, chão, voar, foco, seguir, comida, pé, para, força, estrangeiro, esquecer, forma, ex, para frente, quatro, livre, amigo, de, frente, cheio, fundo, futuro, jogo, jardim, gás, geral, geração, pegar, garota, dar, copo, ir, objetivo, bom, governo, ótimo, verde, chão, grupo, crescer, crescimento, palpite, arma, cara, cabelo, metade, mão, pendurar, acontecer, feliz, difícil, ter, ele, cabeça, saúde, ouvir, coração, calor, pesado, ajuda, ela, aqui, ela mesma, alto, ele, ele mesmo, seu, história, bater, segurar, casa, esperança, hospital, quente, hotel, hora, casa, como, no entanto, enorme, humano, cem, marido, eu, ideia, identificar, se, imagem, imaginar, impacto, importante, melhorar, em, incluir, incluindo, aumentar, de fato, indicar, indivíduo, indústria, informação, dentro, em vez disso, instituição, interesse, interessante, internacional, entrevista, em, investimento, envolver, questão, isso, item, seu, si mesmo, trabalho, juntar-se, apenas, manter, chave, criança, matar, tipo, cozinha, saber, conhecimento, terra, idioma, grande, último, tarde, mais tarde, rir, lei, advogado, deitar, liderar, líder, aprender, pelo menos, sair, esquerda, perna, legal, menos, deixar, carta, nível, mentir, vida, luz, como, provável, linha, lista, ouvir, pouco, viver, local, longo, olhar, perder, perda, muito, amor, baixo, máquina, revista, principal, manter, major, maioria, fazer, homem, gerenciar, gestão, gerente, muitos, mercado, casamento, material, assunto, pode, talvez, eu, significa, medida, mídia, médico, encontrar, reunião, membro, memória, mencionar, mensagem, método, meio, poderia, militar, milhão, mente, minuto, perder, missão, modelo, moderno, momento, dinheiro, mês, mais, manhã, a maioria, mãe, boca, mover, movimento, filme, Sr., Sra., muito, música, deve, meu, eu mesmo, nome, nação, nacional, natural, natureza, perto, quase, necessário, necessidade, rede, nunca, novo, notícias, jornal, próximo, legal, noite, não, nenhum, nem, norte, não, nota, nada, aviso, agora, não, número, ocorrer, de, fora, oferta, escritório, oficial, funcionário, frequentemente, oh, petróleo, ok, velho, ligado, uma vez, um, apenas, sobre, aberto, operação, oportunidade, opção, ou, ordem, organização, outro, outros, nosso, fora, exterior, sobre, próprio, proprietário, página, dor, pintura, papel, pai, parte, participante, particular, particularmente, parceiro, partido, passar, passado, paciente, padrão, pagar, paz, pessoas, por, executar, desempenho, talvez, período, pessoa, pessoal, telefone, físico, escolher, foto, peça, lugar, plano, planta, jogar, jogador, primeiro-ministro, ponto, polícia, política, político, política, pobre, popular, população, posição, positivo, possível, poder, prática, preparar, presente, presidente, pressão, bonito, prevenir, preço, privado, provavelmente, problema, processo, produzir, produto, produção, profissional, professor, programa, projeto, propriedade, proteger, provar, fornecer, público, puxar, propósito, empurrar, colocar, qualidade, pergunta, rapidamente, bastante, corrida, rádio, aumentar, alcance, taxa, em vez disso, alcançar, ler, pronto, real, realidade, perceber, realmente, razão, receber, recente, recentemente, reconhecer, registrar, vermelho, reduzir, refletir, região, relacionar, relacionamento, religioso, permanecer, lembrar, remover, relatar, representar, republicano, exigir, pesquisa, recurso, responder, resposta, responsabilidade, descanso, resultado, retorno, revelar, rico, certo, ascensão, risco, estrada, rocha, papel, sala, regra, correr, seguro, igual, salvar, dizer, cena, escola, ciência, cientista, pontuação, mar, estação, assento, segundo, seção, segurança, ver, procurar, parecer, vender, enviar, sênior, sentido, série, sério, servir, serviço, conjunto, sete, vários, sexo, sexual, apertar, compartilhar, ela, atirar, curto, tiro, deveria, ombro, mostrar, lado, sinal, significativo, similar, simples, simplesmente, desde, cantar, solteiro, irmã, sentar, local, situação, seis, tamanho, habilidade, pele, pequeno, sorriso, então, social, sociedade, soldado, algum, alguém, alguém, algo, às vezes, filho, música, em breve, tipo, som, fonte, sul, meridional, espaço, falar, especial, específico, discurso, gastar, esporte, primavera, equipe, palco, ficar de pé, padrão, estrela, começar, estado, declaração, estação, ficar, passo, ainda, estoque, parar, loja, história, estratégia, rua, forte, estrutura, estudante, estudar, coisas, estilo, assunto, sucesso, bem-sucedido, tal, de repente, sofrer, sugerir, verão, apoio, certeza, superfície, sistema, mesa, pegar, conversar, tarefa, imposto, ensinar, professor, equipe, tecnologia, televisão, dizer, dez, tender, termo, teste, do que, obrigado, que, o, deles, eles, eles mesmos, então, teoria, lá, estes, eles, coisa, pensar, terceiro, isto, aqueles, embora, pensamento, mil, ameaça, três, através, por toda parte, jogar, assim, tempo, para, hoje, juntos, esta noite, também, topo, total, difícil, em direção a, cidade, comércio, tradicional, treinamento, viagem, tratar, tratamento, árvore, julgamento, viagem, problema, verdadeiro, verdade, tentar, virar, TV, dois, tipo, sob, entender, unidade, até, para cima, sobre, nós, usar, geralmente, valor, vários, muito, vítima, vista, violência, visitar, voz, voto, esperar, andar, parede, querer, guerra, assistir, água, caminho, nós, arma, usar, semana, peso, bem, oeste, ocidental, o que, qualquer que seja, quando, onde, se, qual, enquanto, branco, quem, inteiro, a quem, de quem, por que, amplo, esposa, vontade, ganhar, vento, janela, desejo, com, dentro, sem, mulher, maravilha, palavra, trabalho, trabalhador, mundo, preocupação, gostaria, escrever, escritor, errado, quintal, sim, ano, sim, ainda, você, jovem, seu, você mesmo</v>
      </c>
      <c r="E1401" s="8" t="str">
        <f>IFERROR(__xludf.DUMMYFUNCTION("GOOGLETRANSLATE(C1401, ""en"", ""es"")"),"a, habilidad, capaz, sobre, arriba, aceptar, según, cuenta, a través, acto, acción, actividad, en realidad, agregar, dirección, administración, admitir, adulto, afectar, después, de nuevo, contra, edad, agencia, agente, hace, estar de acuerdo, acuerdo, ad"&amp;"elante, aire, todo, permitir, casi, solo, a lo largo, ya, también, aunque, siempre, americano, entre, cantidad, análisis, y, animal, otro, respuesta, cualquiera, cualquiera, cualquier cosa, aparecer, aplicar, enfoque, área, argumentar, brazo, alrededor, l"&amp;"legar, arte, artículo, artista, como, preguntar, asumir, en, ataque, atención, abogado, audiencia, autor, autoridad, disponible, evitar, lejos, bebé, espalda, malo, bolsa, pelota, banco, barra, base, ser, vencer, hermoso, porque, convertirse, cama, antes,"&amp;" comenzar, comportamiento, detrás, creer, beneficio, mejor, mejor, entre, más allá, grande, factura, mil millones, un poco, negro, sangre, azul, tablero, cuerpo, libro, nacido, ambos, caja, niño, romper, traer, hermano, presupuesto, construir, edificio, n"&amp;"egocio, pero, comprar, por, llamar, cámara, campaña, lata, cáncer, candidato, capital, coche, tarjeta, cuidado, carrera, llevar, caso, atrapar, causa, célula, centro, central, siglo, cierto, ciertamente, silla, desafío, oportunidad, cambio, carácter, carg"&amp;"o, cheque, niño, elección, elegir, iglesia, ciudadano, ciudad, civil, reclamo, clase, claro, claramente, cerrar, entrenador, frío, colección, universidad, color, venir, comercial, común, comunidad, empresa, comparar, computadora, preocupación, condición, "&amp;"conferencia, Congreso, considerar, consumidor, contener, continuar, control, costo, podría, país, pareja, curso, tribunal, cubrir, crear, crimen, cultural, cultura, taza, actual, cliente, cortar, oscuro, datos, hija, día, muerto, trato, muerte, debate, dé"&amp;"cada, decidir, decisión, profundo, defensa, grado, demócrata, democrático, describir, diseño, a pesar de, detalle, determinar, desarrollar, desarrollo, morir, diferencia, diferente, difícil, cena, dirección, director, descubrir, discutir, discusión, enfer"&amp;"medad, hacer, médico, perro, puerta, abajo, dibujar, sueño, conducir, dejar caer, droga, durante, cada, temprano, este, fácil, comer, económico, economía, borde, educación, efecto, esfuerzo, ocho, cualquiera, elección, otro, empleado, fin, energía, disfru"&amp;"tar, suficiente, entrar, entero, entorno, ambiental, especialmente, establecer, incluso, tarde, evento, alguna vez, cada, todos, todos, todo, evidencia, exactamente, ejemplo, ejecutivo, existir, esperar, experiencia, experto, explicar, ojo, cara, hecho, f"&amp;"actor, fallar, caer, familia, lejos, rápido, padre, miedo, federal, sentir, sentimiento, pocos, campo, luchar, figura, llenar, película, final, finalmente, financiero, encontrar, bien, dedo, terminar, fuego, empresa, primero, pez, cinco, piso, volar, enfo"&amp;"car, seguir, comida, pie, para, fuerza, extranjero, olvidar, forma, antiguo, adelante, cuatro, libre, amigo, de, frente, completo, fondo, futuro, juego, jardín, gas, general, generación, conseguir, niña, dar, vaso, ir, meta, bueno, gobierno, genial, verde"&amp;", suelo, grupo, crecer, crecimiento, adivinar, arma, tipo, pelo, mitad, mano, colgar, suceder, feliz, duro, tener, él, cabeza, salud, oír, corazón, calor, pesado, ayudar, ella, aquí, ella misma, alto, él, él mismo, su, historia, golpear, sostener, casa, e"&amp;"speranza, hospital, caliente, hotel, hora, casa, cómo, sin embargo, enorme, humano, cien, marido, yo, idea, identificar, si, imagen, imaginar, impacto, importante, mejorar, en, incluir, incluyendo, aumentar, de hecho, indicar, individual, industria, infor"&amp;"mación, dentro, en cambio, institución, interés, interesante, internacional, entrevista, en, inversión, involucrar, problema, eso, artículo, su, mismo, trabajo, unirse, solo, mantener, llave, niño, matar, tipo, cocina, saber, conocimiento, tierra, idioma,"&amp;" grande, último, tarde, más tarde, reír, ley, abogado, poner, liderar, líder, aprender, menos, dejar, izquierda, pierna, legal, menos, dejar, carta, nivel, mentira, vida, luz, como, probable, línea, lista, escuchar, poco, vivir, local, largo, mirar, perde"&amp;"r, pérdida, mucho, amor, bajo, máquina, revista, principal, mantener, mayor, mayoría, hacer, hombre, gestionar, gestión, gerente, muchos, mercado, matrimonio, material, asunto, puede, tal vez, yo, significar, medida, medios, médico, reunirse, reunión, mie"&amp;"mbro, memoria, mencionar, mensaje, método, medio, podría, militar, millón, mente, minuto, perder, misión, modelo, moderno, momento, dinero, mes, más, mañana, la mayoría, madre, boca, mover, movimiento, película, Sr., Sra., mucho, música, debo, mi, yo mism"&amp;"o, nombre, nación, nacional, natural, naturaleza, cerca, casi, necesario, necesidad, red, nunca, nuevo, noticias, periódico, siguiente, agradable, noche, no, ninguno, ni, norte, no, nota, nada, aviso, ahora, no, número, ocurrir, de, fuera, ofrecer, oficin"&amp;"a, oficial, funcionario, a menudo, oh, petróleo, bien, viejo, en, una vez, uno, solo, sobre, abrir, operación, oportunidad, opción, o, orden, organización, otro, otros, nuestro, fuera, fuera, sobre, propio, propietario, página, dolor, pintura, papel, padr"&amp;"e, parte, participante, particular, particularmente, socio, partido, pasar, pasado, paciente, patrón, pagar, paz, gente, por, realizar, rendimiento, tal vez, período, persona, personal, teléfono, físico, elegir, imagen, pieza, lugar, plan, planta, jugar, "&amp;"jugador, PM, punto, policía, política, político, política, pobre, popular, población, posición, positivo, posible, poder, práctica, preparar, presente, presidente, presión, bonito, prevenir, precio, privado, probablemente, problema, proceso, producir, pro"&amp;"ducto, producción, profesional, profesor, programa, proyecto, propiedad, proteger, probar, proporcionar, público, tirar, propósito, empujar, poner, calidad, pregunta, rápidamente, bastante, raza, radio, elevar, rango, tasa, más bien, alcanzar, leer, listo"&amp;", real, realidad, darse cuenta, realmente, razón, recibir, reciente, recientemente, reconocer, registrar, rojo, reducir, reflejar, región, relacionar, relación, religioso, permanecer, recordar, quitar, informar, representar, republicano, requerir, investi"&amp;"gación, recurso, responder, respuesta, responsabilidad, descanso, resultado, devolver, revelar, rico, derecho, elevar, riesgo, camino, roca, rol, habitación, regla, correr, seguro, mismo, salvar, decir, escena, escuela, ciencia, científico, puntuación, ma"&amp;"r, temporada, asiento, segundo, sección, seguridad, ver, buscar, parecer, vender, enviar, senior, sentido, serie, serio, servir, servicio, conjunto, siete, varios, sexo, sexual, sacudir, compartir, ella, disparar, corto, disparo, debería, hombro, mostrar,"&amp;" lado, señal, significativo, similar, simple, simplemente, desde, cantar, soltero, hermana, sentarse, sitio, situación, seis, tamaño, habilidad, piel, pequeño, sonrisa, así que, social, sociedad, soldado, algunos, alguien, alguien, algo, a veces, hijo, ca"&amp;"nción, pronto, tipo, sonido, fuente, sur, sureño, espacio, hablar, especial, específico, discurso, gastar, deporte, primavera, personal, escenario, estar de pie, estándar, estrella, empezar, estado, declaración, estación, quedarse, paso, todavía, existenc"&amp;"ias, parar, tienda, historia, estrategia, calle, fuerte, estructura, estudiante, estudio, cosas, estilo, tema, éxito, exitoso, tal, de repente, sufrir, sugerir, verano, apoyo, seguro, superficie, sistema, mesa, tomar, hablar, tarea, impuesto, enseñar, mae"&amp;"stro, equipo, tecnología, televisión, decir, diez, tender, término, prueba, que, agradecer, que, el, su, ellos, ellos mismos, entonces, teoría, allí, estos, ellos, cosa, pensar, tercero, esto, esos, aunque, pensamiento, mil, amenaza, tres, a través, por t"&amp;"odas partes, lanzar, así, tiempo, a, hoy, juntos, esta noche, también, cima, total, duro, hacia, pueblo, comercio, tradicional, entrenamiento, viaje, tratar, tratamiento, árbol, prueba, viaje, problema, verdadero, verdad, intentar, girar, TV, dos, tipo, d"&amp;"ebajo, entender, unidad, hasta, arriba, sobre, nosotros, usar, usualmente, valor, varios, muy, víctima, vista, violencia, visitar, voz, votar, esperar, caminar, pared, querer, guerra, mirar, agua, camino, nosotros, arma, usar, semana, peso, bien, oeste, o"&amp;"ccidental, qué, lo que sea, cuándo, dónde, si, cuál, mientras, blanco, quién, entero, a quién, cuyo, por qué, ancho, esposa, voluntad, ganar, viento, ventana, deseo, con, dentro, fuera, mujer, maravilla, palabra, trabajo, trabajador, mundo, preocupación, "&amp;"querría, escribir, escritor, equivocado, patio, sí, año, sí, aún, tú, joven, tu, tú mismo")</f>
        <v>a, habilidad, capaz, sobre, arriba, aceptar, según, cuenta, a través, acto, acción, actividad, en realidad, agregar, dirección, administración, admitir, adulto, afectar, después, de nuevo, contra, edad, agencia, agente, hace, estar de acuerdo, acuerdo, adelante, aire, todo, permitir, casi, solo, a lo largo, ya, también, aunque, siempre, americano, entre, cantidad, análisis, y, animal, otro, respuesta, cualquiera, cualquiera, cualquier cosa, aparecer, aplicar, enfoque, área, argumentar, brazo, alrededor, llegar, arte, artículo, artista, como, preguntar, asumir, en, ataque, atención, abogado, audiencia, autor, autoridad, disponible, evitar, lejos, bebé, espalda, malo, bolsa, pelota, banco, barra, base, ser, vencer, hermoso, porque, convertirse, cama, antes, comenzar, comportamiento, detrás, creer, beneficio, mejor, mejor, entre, más allá, grande, factura, mil millones, un poco, negro, sangre, azul, tablero, cuerpo, libro, nacido, ambos, caja, niño, romper, traer, hermano, presupuesto, construir, edificio, negocio, pero, comprar, por, llamar, cámara, campaña, lata, cáncer, candidato, capital, coche, tarjeta, cuidado, carrera, llevar, caso, atrapar, causa, célula, centro, central, siglo, cierto, ciertamente, silla, desafío, oportunidad, cambio, carácter, cargo, cheque, niño, elección, elegir, iglesia, ciudadano, ciudad, civil, reclamo, clase, claro, claramente, cerrar, entrenador, frío, colección, universidad, color, venir, comercial, común, comunidad, empresa, comparar, computadora, preocupación, condición, conferencia, Congreso, considerar, consumidor, contener, continuar, control, costo, podría, país, pareja, curso, tribunal, cubrir, crear, crimen, cultural, cultura, taza, actual, cliente, cortar, oscuro, datos, hija, día, muerto, trato, muerte, debate, década, decidir, decisión, profundo, defensa, grado, demócrata, democrático, describir, diseño, a pesar de, detalle, determinar, desarrollar, desarrollo, morir, diferencia, diferente, difícil, cena, dirección, director, descubrir, discutir, discusión, enfermedad, hacer, médico, perro, puerta, abajo, dibujar, sueño, conducir, dejar caer, droga, durante, cada, temprano, este, fácil, comer, económico, economía, borde, educación, efecto, esfuerzo, ocho, cualquiera, elección, otro, empleado, fin, energía, disfrutar, suficiente, entrar, entero, entorno, ambiental, especialmente, establecer, incluso, tarde, evento, alguna vez, cada, todos, todos, todo, evidencia, exactamente, ejemplo, ejecutivo, existir, esperar, experiencia, experto, explicar, ojo, cara, hecho, factor, fallar, caer, familia, lejos, rápido, padre, miedo, federal, sentir, sentimiento, pocos, campo, luchar, figura, llenar, película, final, finalmente, financiero, encontrar, bien, dedo, terminar, fuego, empresa, primero, pez, cinco, piso, volar, enfocar, seguir, comida, pie, para, fuerza, extranjero, olvidar, forma, antiguo, adelante, cuatro, libre, amigo, de, frente, completo, fondo, futuro, juego, jardín, gas, general, generación, conseguir, niña, dar, vaso, ir, meta, bueno, gobierno, genial, verde, suelo, grupo, crecer, crecimiento, adivinar, arma, tipo, pelo, mitad, mano, colgar, suceder, feliz, duro, tener, él, cabeza, salud, oír, corazón, calor, pesado, ayudar, ella, aquí, ella misma, alto, él, él mismo, su, historia, golpear, sostener, casa, esperanza, hospital, caliente, hotel, hora, casa, cómo, sin embargo, enorme, humano, cien, marido, yo, idea, identificar, si, imagen, imaginar, impacto, importante, mejorar, en, incluir, incluyendo, aumentar, de hecho, indicar, individual, industria, información, dentro, en cambio, institución, interés, interesante, internacional, entrevista, en, inversión, involucrar, problema, eso, artículo, su, mismo, trabajo, unirse, solo, mantener, llave, niño, matar, tipo, cocina, saber, conocimiento, tierra, idioma, grande, último, tarde, más tarde, reír, ley, abogado, poner, liderar, líder, aprender, menos, dejar, izquierda, pierna, legal, menos, dejar, carta, nivel, mentira, vida, luz, como, probable, línea, lista, escuchar, poco, vivir, local, largo, mirar, perder, pérdida, mucho, amor, bajo, máquina, revista, principal, mantener, mayor, mayoría, hacer, hombre, gestionar, gestión, gerente, muchos, mercado, matrimonio, material, asunto, puede, tal vez, yo, significar, medida, medios, médico, reunirse, reunión, miembro, memoria, mencionar, mensaje, método, medio, podría, militar, millón, mente, minuto, perder, misión, modelo, moderno, momento, dinero, mes, más, mañana, la mayoría, madre, boca, mover, movimiento, película, Sr., Sra., mucho, música, debo, mi, yo mismo, nombre, nación, nacional, natural, naturaleza, cerca, casi, necesario, necesidad, red, nunca, nuevo, noticias, periódico, siguiente, agradable, noche, no, ninguno, ni, norte, no, nota, nada, aviso, ahora, no, número, ocurrir, de, fuera, ofrecer, oficina, oficial, funcionario, a menudo, oh, petróleo, bien, viejo, en, una vez, uno, solo, sobre, abrir, operación, oportunidad, opción, o, orden, organización, otro, otros, nuestro, fuera, fuera, sobre, propio, propietario, página, dolor, pintura, papel, padre, parte, participante, particular, particularmente, socio, partido, pasar, pasado, paciente, patrón, pagar, paz, gente, por, realizar, rendimiento, tal vez, período, persona, personal, teléfono, físico, elegir, imagen, pieza, lugar, plan, planta, jugar, jugador, PM, punto, policía, política, político, política, pobre, popular, población, posición, positivo, posible, poder, práctica, preparar, presente, presidente, presión, bonito, prevenir, precio, privado, probablemente, problema, proceso, producir, producto, producción, profesional, profesor, programa, proyecto, propiedad, proteger, probar, proporcionar, público, tirar, propósito, empujar, poner, calidad, pregunta, rápidamente, bastante, raza, radio, elevar, rango, tasa, más bien, alcanzar, leer, listo, real, realidad, darse cuenta, realmente, razón, recibir, reciente, recientemente, reconocer, registrar, rojo, reducir, reflejar, región, relacionar, relación, religioso, permanecer, recordar, quitar, informar, representar, republicano, requerir, investigación, recurso, responder, respuesta, responsabilidad, descanso, resultado, devolver, revelar, rico, derecho, elevar, riesgo, camino, roca, rol, habitación, regla, correr, seguro, mismo, salvar, decir, escena, escuela, ciencia, científico, puntuación, mar, temporada, asiento, segundo, sección, seguridad, ver, buscar, parecer, vender, enviar, senior, sentido, serie, serio, servir, servicio, conjunto, siete, varios, sexo, sexual, sacudir, compartir, ella, disparar, corto, disparo, debería, hombro, mostrar, lado, señal, significativo, similar, simple, simplemente, desde, cantar, soltero, hermana, sentarse, sitio, situación, seis, tamaño, habilidad, piel, pequeño, sonrisa, así que, social, sociedad, soldado, algunos, alguien, alguien, algo, a veces, hijo, canción, pronto, tipo, sonido, fuente, sur, sureño, espacio, hablar, especial, específico, discurso, gastar, deporte, primavera, personal, escenario, estar de pie, estándar, estrella, empezar, estado, declaración, estación, quedarse, paso, todavía, existencias, parar, tienda, historia, estrategia, calle, fuerte, estructura, estudiante, estudio, cosas, estilo, tema, éxito, exitoso, tal, de repente, sufrir, sugerir, verano, apoyo, seguro, superficie, sistema, mesa, tomar, hablar, tarea, impuesto, enseñar, maestro, equipo, tecnología, televisión, decir, diez, tender, término, prueba, que, agradecer, que, el, su, ellos, ellos mismos, entonces, teoría, allí, estos, ellos, cosa, pensar, tercero, esto, esos, aunque, pensamiento, mil, amenaza, tres, a través, por todas partes, lanzar, así, tiempo, a, hoy, juntos, esta noche, también, cima, total, duro, hacia, pueblo, comercio, tradicional, entrenamiento, viaje, tratar, tratamiento, árbol, prueba, viaje, problema, verdadero, verdad, intentar, girar, TV, dos, tipo, debajo, entender, unidad, hasta, arriba, sobre, nosotros, usar, usualmente, valor, varios, muy, víctima, vista, violencia, visitar, voz, votar, esperar, caminar, pared, querer, guerra, mirar, agua, camino, nosotros, arma, usar, semana, peso, bien, oeste, occidental, qué, lo que sea, cuándo, dónde, si, cuál, mientras, blanco, quién, entero, a quién, cuyo, por qué, ancho, esposa, voluntad, ganar, viento, ventana, deseo, con, dentro, fuera, mujer, maravilla, palabra, trabajo, trabajador, mundo, preocupación, querría, escribir, escritor, equivocado, patio, sí, año, sí, aún, tú, joven, tu, tú mismo</v>
      </c>
      <c r="F1401" s="8" t="str">
        <f>IFERROR(__xludf.DUMMYFUNCTION("GOOGLETRANSLATE(C1401, ""en"", ""fr"")"),"une, capacité, capable, à propos de, au-dessus de, accepter, selon, compte, à travers, agir, action, activité, réellement, ajouter, adresse, administration, admettre, adulte, affecter, après, encore, contre, âge, agence, agent, il y a, être d'accord, acco"&amp;"rd, en avant, air, tous, permettre, presque, seul, le long de, déjà, aussi, bien que, toujours, américain, parmi, montant, analyse, et, animal, un autre, réponse, n'importe quel, n'importe qui, n'importe quoi, apparaître, appliquer, approche, zone, argume"&amp;"nter, bras, autour, arriver, art, article, artiste, comme, demander, supposer, à, attaque, attention, avocat, public, auteur, autorité, disponible, éviter, loin, bébé, dos, mauvais, sac, balle, banque, bar, base, être, battre, beau, parce que, devenir, li"&amp;"t, avant, commencer, comportement, derrière, croire, avantage, meilleur, mieux, entre, au-delà de, gros, facture, milliard, peu, noir, sang, bleu, conseil, corps, livre, né, les deux, boîte, garçon, pause, apporter, frère, budget, construire, bâtiment, en"&amp;"treprise, mais, acheter, par, appeler, caméra, campagne, boîte, cancer, candidat, capitale, voiture, carte, soin, carrière, porter, cas, attraper, cause, cellule, centre, central, siècle, certain, certainement, chaise, défi, chance, changement, caractère,"&amp;" charge, chèque, enfant, choix, choisir, église, citoyen, ville, civil, réclamation, classe, clair, clairement, fermer, entraîneur, froid, collection, collège, couleur, venir, commercial, commun, communauté, entreprise, comparer, ordinateur, préoccupation"&amp;", condition, conférence, Congrès, considérer, consommateur, contenir, continuer, contrôle, coût, pourrait, pays, couple, cours, tribunal, couvrir, créer, crime, culturel, culture, tasse, actuel, client, couper, sombre, données, fille, jour, mort, accord, "&amp;"décès, débat, décennie, décider, décision, profond, défense, degré, démocrate, démocratique, décrire, concevoir, malgré, détail, déterminer, développer, développement, mourir, différence, différent, difficile, dîner, direction, directeur, découvrir, discu"&amp;"ter, discussion, maladie, faire, médecin, chien, porte, en bas, dessiner, rêve, conduire, laisser tomber, médicament, pendant, chacun, tôt, est, facile, manger, économique, économie, avantage, éducation, effet, effort, huit, soit, élection, sinon, employé"&amp;", fin, énergie, profiter, assez, entrer, entier, environnement, environnemental, surtout, établir, même, soir, événement, jamais, chaque, tout le monde, tout le monde, tout, preuve, exactement, exemple, cadre, exister, s'attendre à, expérience, expert, ex"&amp;"pliquer, œil, visage, fait, facteur, échouer, tomber, famille, loin, rapide, père, peur, fédéral, sentir, sentiment, peu, champ, combattre, chiffre, remplir, film, final, enfin, financier, trouver, bien, doigt, finir, feu, ferme, premier, poisson, cinq, s"&amp;"ol, voler, se concentrer, suivre, nourriture, pied, pour, force, étranger, oublier, forme, ancien, en avant, quatre, libre, ami, de, devant, plein, fonds, futur, jeu, jardin, gaz, général, génération, obtenir, fille, donner, verre, aller, objectif, bon, g"&amp;"ouvernement, excellent, vert, sol, groupe, grandir, croissance, deviner, pistolet, gars, cheveux, moitié, main, accrocher, arriver, heureux, difficile, avoir, il, tête, santé, entendre, cœur, chaleur, lourd, aider, elle, ici, elle-même, haut, lui, lui-mêm"&amp;"e, son, histoire, frapper, tenir, maison, espoir, hôpital, chaud, hôtel, heure, maison, comment, cependant, énorme, humain, cent, mari, je, idée, identifier, si, image, imaginer, impact, important, améliorer, dans, inclure, y compris, augmenter, en effet,"&amp;" indiquer, individu, industrie, information, à l'intérieur, au lieu de cela, institution, intérêt, intéressant, international, entretien, dans, investissement, impliquer, problème, il, article, son, lui-même, travail, rejoindre, juste, garder, clé, enfant"&amp;", tuer, genre, cuisine, savoir, connaissance, terre, langue, grand, dernier, tard, plus tard, rire, loi, avocat, poser, mener, leader, apprendre, au moins, partir, gauche, jambe, légal, moins, laisser, lettre, niveau, mensonge, vie, lumière, aimer, probab"&amp;"le, ligne, liste, écouter, peu, vivre, local, long, regarder, perdre, perte, beaucoup, amour, bas, machine, magazine, principal, maintenir, majeur, majorité, faire, homme, gérer, gestion, gestionnaire, beaucoup, marché, mariage, matériel, matière, peut-êt"&amp;"re, moi, signifier, mesurer, médias, médical, rencontrer, réunion, membre, mémoire, mentionner, message, méthode, milieu, pourrait, militaire, million, esprit, minute, manquer, mission, modèle, moderne, moment, argent, mois, plus, matin, la plupart, mère,"&amp;" bouche, bouger, mouvement, film, M., Mme, beaucoup, musique, dois, mon, moi-même, nom, nation, national, naturel, nature, près, presque, nécessaire, besoin, réseau, jamais, nouveau, nouvelles, journal, prochain, agréable, nuit, non, aucun, ni, nord, pas,"&amp;" note, rien, avis, maintenant, n't, nombre, se produire, de, éteint, offrir, bureau, officier, officiel, souvent, oh, pétrole, ok, vieux, sur, une fois, un, seulement, sur, ouvrir, opération, opportunité, option, ou, ordre, organisation, autre, autres, no"&amp;"tre, dehors, à l'extérieur, sur, propre, propriétaire, page, douleur, peinture, papier, parent, partie, participant, particulier, particulièrement, partenaire, fête, laisser passer, passé, patient, modèle, payer, paix, gens, par, effectuer, performance, p"&amp;"eut-être, période, personne, personnel, téléphone, physique, choisir, image, morceau, lieu, plan, plante, jouer, joueur, PM, point, police, politique, politique, pauvre, populaire, population, position, positif, possible, pouvoir, pratique, préparer, prés"&amp;"enter, président, pression, joli, empêcher, prix, privé, probablement, problème, processus, produire, produit, production, professionnel, professeur, programme, projet, propriété, protéger, prouver, fournir, public, tirer, but, pousser, mettre, qualité, q"&amp;"uestion, rapidement, assez, course, radio, augmenter, gamme, taux, plutôt, atteindre, lire, prêt, réel, réalité, réaliser, vraiment, raison, recevoir, récent, récemment, reconnaître, enregistrer, rouge, réduire, refléter, région, relier, relation, religie"&amp;"ux, rester, se souvenir, supprimer, rapport, représenter, républicain, exiger, recherche, ressource, répondre, réponse, responsabilité, repos, résultat, retour, révéler, riche, droit, monter, risque, route, rocher, rôle, pièce, règle, courir, sûr, même, s"&amp;"auver, dire, scène, école, science, scientifique, score, mer, saison, siège, deuxième, section, sécurité, voir, chercher, sembler, vendre, envoyer, senior, sens, série, sérieux, servir, service, ensemble, sept, plusieurs, sexe, sexuel, secouer, partager, "&amp;"elle, tirer, court, tir, devrait, épaule, montrer, côté, signe, significatif, similaire, simple, simplement, depuis, chanter, célibataire, sœur, s'asseoir, site, situation, six, taille, compétence, peau, petit, sourire, donc, social, société, soldat, cert"&amp;"ains, quelqu'un, quelqu'un, quelque chose, parfois, fils, chanson, bientôt, sorte, son, source, sud, sud, espace, parler, spécial, spécifique, discours, dépenser, sport, printemps, personnel, scène, se tenir debout, standard, étoile, commencer, état, décl"&amp;"aration, station, rester, étape, encore, stock, arrêter, magasin, histoire, stratégie, rue, fort, structure, étudiant, étude, choses, style, sujet, succès, réussi, tel, soudainement, souffrir, suggérer, été, soutien, sûr, surface, système, table, prendre,"&amp;" parler, tâche, impôt, enseigner, enseignant, équipe, technologie, télévision, dire, dix, avoir tendance, terme, test, que, remercier, que, le, leur, eux, eux-mêmes, alors, théorie, là, ceux-ci, ils, chose, penser, troisième, ceci, ceux, bien que, pensée,"&amp;" mille, menace, trois, à travers, tout au long, jeter, ainsi, temps, à, aujourd'hui, ensemble, ce soir, aussi, haut, total, difficile, vers, ville, commerce, traditionnel, formation, voyage, traiter, traitement, arbre, procès, voyage, problème, vrai, véri"&amp;"té, essayer, tourner, télévision, deux, type, sous, comprendre, unité, jusqu'à, en haut, sur, nous, utiliser, habituellement, valeur, divers, très, victime, vue, violence, visiter, voix, voter, attendre, marcher, mur, vouloir, guerre, regarder, eau, chemi"&amp;"n, nous, arme, porter, semaine, poids, bien, ouest, occidental, quoi, quoi que ce soit, quand, où, si, lequel, tandis que, blanc, qui, entier, qui, dont, pourquoi, large, femme, volonté, gagner, vent, fenêtre, souhaiter, avec, à l'intérieur, sans, femme, "&amp;"merveille, mot, travail, travailleur, monde, souci, voudrais, écrire, écrivain, faux, cour, ouais, année, oui, pourtant, toi, jeune, ton, toi-même")</f>
        <v>une, capacité, capable, à propos de, au-dessus de, accepter, selon, compte, à travers, agir, action, activité, réellement, ajouter, adresse, administration, admettre, adulte, affecter, après, encore, contre, âge, agence, agent, il y a, être d'accord, accord, en avant, air, tous, permettre, presque, seul, le long de, déjà, aussi, bien que, toujours, américain, parmi, montant, analyse, et, animal, un autre, réponse, n'importe quel, n'importe qui, n'importe quoi, apparaître, appliquer, approche, zone, argumenter, bras, autour, arriver, art, article, artiste, comme, demander, supposer, à, attaque, attention, avocat, public, auteur, autorité, disponible, éviter, loin, bébé, dos, mauvais, sac, balle, banque, bar, base, être, battre, beau, parce que, devenir, lit, avant, commencer, comportement, derrière, croire, avantage, meilleur, mieux, entre, au-delà de, gros, facture, milliard, peu, noir, sang, bleu, conseil, corps, livre, né, les deux, boîte, garçon, pause, apporter, frère, budget, construire, bâtiment, entreprise, mais, acheter, par, appeler, caméra, campagne, boîte, cancer, candidat, capitale, voiture, carte, soin, carrière, porter, cas, attraper, cause, cellule, centre, central, siècle, certain, certainement, chaise, défi, chance, changement, caractère, charge, chèque, enfant, choix, choisir, église, citoyen, ville, civil, réclamation, classe, clair, clairement, fermer, entraîneur, froid, collection, collège, couleur, venir, commercial, commun, communauté, entreprise, comparer, ordinateur, préoccupation, condition, conférence, Congrès, considérer, consommateur, contenir, continuer, contrôle, coût, pourrait, pays, couple, cours, tribunal, couvrir, créer, crime, culturel, culture, tasse, actuel, client, couper, sombre, données, fille, jour, mort, accord, décès, débat, décennie, décider, décision, profond, défense, degré, démocrate, démocratique, décrire, concevoir, malgré, détail, déterminer, développer, développement, mourir, différence, différent, difficile, dîner, direction, directeur, découvrir, discuter, discussion, maladie, faire, médecin, chien, porte, en bas, dessiner, rêve, conduire, laisser tomber, médicament, pendant, chacun, tôt, est, facile, manger, économique, économie, avantage, éducation, effet, effort, huit, soit, élection, sinon, employé, fin, énergie, profiter, assez, entrer, entier, environnement, environnemental, surtout, établir, même, soir, événement, jamais, chaque, tout le monde, tout le monde, tout, preuve, exactement, exemple, cadre, exister, s'attendre à, expérience, expert, expliquer, œil, visage, fait, facteur, échouer, tomber, famille, loin, rapide, père, peur, fédéral, sentir, sentiment, peu, champ, combattre, chiffre, remplir, film, final, enfin, financier, trouver, bien, doigt, finir, feu, ferme, premier, poisson, cinq, sol, voler, se concentrer, suivre, nourriture, pied, pour, force, étranger, oublier, forme, ancien, en avant, quatre, libre, ami, de, devant, plein, fonds, futur, jeu, jardin, gaz, général, génération, obtenir, fille, donner, verre, aller, objectif, bon, gouvernement, excellent, vert, sol, groupe, grandir, croissance, deviner, pistolet, gars, cheveux, moitié, main, accrocher, arriver, heureux, difficile, avoir, il, tête, santé, entendre, cœur, chaleur, lourd, aider, elle, ici, elle-même, haut, lui, lui-même, son, histoire, frapper, tenir, maison, espoir, hôpital, chaud, hôtel, heure, maison, comment, cependant, énorme, humain, cent, mari, je, idée, identifier, si, image, imaginer, impact, important, améliorer, dans, inclure, y compris, augmenter, en effet, indiquer, individu, industrie, information, à l'intérieur, au lieu de cela, institution, intérêt, intéressant, international, entretien, dans, investissement, impliquer, problème, il, article, son, lui-même, travail, rejoindre, juste, garder, clé, enfant, tuer, genre, cuisine, savoir, connaissance, terre, langue, grand, dernier, tard, plus tard, rire, loi, avocat, poser, mener, leader, apprendre, au moins, partir, gauche, jambe, légal, moins, laisser, lettre, niveau, mensonge, vie, lumière, aimer, probable, ligne, liste, écouter, peu, vivre, local, long, regarder, perdre, perte, beaucoup, amour, bas, machine, magazine, principal, maintenir, majeur, majorité, faire, homme, gérer, gestion, gestionnaire, beaucoup, marché, mariage, matériel, matière, peut-être, moi, signifier, mesurer, médias, médical, rencontrer, réunion, membre, mémoire, mentionner, message, méthode, milieu, pourrait, militaire, million, esprit, minute, manquer, mission, modèle, moderne, moment, argent, mois, plus, matin, la plupart, mère, bouche, bouger, mouvement, film, M., Mme, beaucoup, musique, dois, mon, moi-même, nom, nation, national, naturel, nature, près, presque, nécessaire, besoin, réseau, jamais, nouveau, nouvelles, journal, prochain, agréable, nuit, non, aucun, ni, nord, pas, note, rien, avis, maintenant, n't, nombre, se produire, de, éteint, offrir, bureau, officier, officiel, souvent, oh, pétrole, ok, vieux, sur, une fois, un, seulement, sur, ouvrir, opération, opportunité, option, ou, ordre, organisation, autre, autres, notre, dehors, à l'extérieur, sur, propre, propriétaire, page, douleur, peinture, papier, parent, partie, participant, particulier, particulièrement, partenaire, fête, laisser passer, passé, patient, modèle, payer, paix, gens, par, effectuer, performance, peut-être, période, personne, personnel, téléphone, physique, choisir, image, morceau, lieu, plan, plante, jouer, joueur, PM, point, police, politique, politique, pauvre, populaire, population, position, positif, possible, pouvoir, pratique, préparer, présenter, président, pression, joli, empêcher, prix, privé, probablement, problème, processus, produire, produit, production, professionnel, professeur, programme, projet, propriété, protéger, prouver, fournir, public, tirer, but, pousser, mettre, qualité, question, rapidement, assez, course, radio, augmenter, gamme, taux, plutôt, atteindre, lire, prêt, réel, réalité, réaliser, vraiment, raison, recevoir, récent, récemment, reconnaître, enregistrer, rouge, réduire, refléter, région, relier, relation, religieux, rester, se souvenir, supprimer, rapport, représenter, républicain, exiger, recherche, ressource, répondre, réponse, responsabilité, repos, résultat, retour, révéler, riche, droit, monter, risque, route, rocher, rôle, pièce, règle, courir, sûr, même, sauver, dire, scène, école, science, scientifique, score, mer, saison, siège, deuxième, section, sécurité, voir, chercher, sembler, vendre, envoyer, senior, sens, série, sérieux, servir, service, ensemble, sept, plusieurs, sexe, sexuel, secouer, partager, elle, tirer, court, tir, devrait, épaule, montrer, côté, signe, significatif, similaire, simple, simplement, depuis, chanter, célibataire, sœur, s'asseoir, site, situation, six, taille, compétence, peau, petit, sourire, donc, social, société, soldat, certains, quelqu'un, quelqu'un, quelque chose, parfois, fils, chanson, bientôt, sorte, son, source, sud, sud, espace, parler, spécial, spécifique, discours, dépenser, sport, printemps, personnel, scène, se tenir debout, standard, étoile, commencer, état, déclaration, station, rester, étape, encore, stock, arrêter, magasin, histoire, stratégie, rue, fort, structure, étudiant, étude, choses, style, sujet, succès, réussi, tel, soudainement, souffrir, suggérer, été, soutien, sûr, surface, système, table, prendre, parler, tâche, impôt, enseigner, enseignant, équipe, technologie, télévision, dire, dix, avoir tendance, terme, test, que, remercier, que, le, leur, eux, eux-mêmes, alors, théorie, là, ceux-ci, ils, chose, penser, troisième, ceci, ceux, bien que, pensée, mille, menace, trois, à travers, tout au long, jeter, ainsi, temps, à, aujourd'hui, ensemble, ce soir, aussi, haut, total, difficile, vers, ville, commerce, traditionnel, formation, voyage, traiter, traitement, arbre, procès, voyage, problème, vrai, vérité, essayer, tourner, télévision, deux, type, sous, comprendre, unité, jusqu'à, en haut, sur, nous, utiliser, habituellement, valeur, divers, très, victime, vue, violence, visiter, voix, voter, attendre, marcher, mur, vouloir, guerre, regarder, eau, chemin, nous, arme, porter, semaine, poids, bien, ouest, occidental, quoi, quoi que ce soit, quand, où, si, lequel, tandis que, blanc, qui, entier, qui, dont, pourquoi, large, femme, volonté, gagner, vent, fenêtre, souhaiter, avec, à l'intérieur, sans, femme, merveille, mot, travail, travailleur, monde, souci, voudrais, écrire, écrivain, faux, cour, ouais, année, oui, pourtant, toi, jeune, ton, toi-même</v>
      </c>
      <c r="G1401" s="8" t="str">
        <f>IFERROR(__xludf.DUMMYFUNCTION("GOOGLETRANSLATE(C1401, ""en"", ""de"")"),"a, Fähigkeit, fähig, über, oben, akzeptieren, gemäß, Konto, über, handeln, Handlung, Aktivität, tatsächlich, hinzufügen, Adresse, Verwaltung, zugeben, Erwachsener, beeinflussen, nach, wieder, gegen, Alter, Agentur, Agent, vor, zustimmen, Vereinbarung, vor"&amp;"aus, Luft, alle, erlauben, fast, allein, entlang, bereits, auch, obwohl, immer, Amerikaner, unter, Menge, Analyse, und, Tier, ein anderer, Antwort, irgendjemand, irgendetwas, erscheinen, anwenden, Annäherung, Bereich, argumentieren, Arm, um, ankommen, Kun"&amp;"st, Artikel, Künstler, als, fragen, annehmen, bei, angreifen, Aufmerksamkeit, Anwalt, Publikum, Autor, Autorität, verfügbar, vermeiden, weg, Baby, zurück, schlecht, Tasche, Ball, Bank, Bar, Basis, sein, schlagen, schön, weil, werden, Bett, vor, beginnen, "&amp;"Verhalten, hinter, glauben, Nutzen, am besten, besser, zwischen, jenseits, groß, Rechnung, Milliarde, Stück, schwarz, Blut, blau, Brett, Körper, Buch, geboren, beide, Kiste, Junge, brechen, bringen, Bruder, Budget, bauen, Gebäude, Geschäft, aber, kaufen, "&amp;"durch, anrufen Kamera, Kampagne, kann, Krebs, Kandidat, Hauptstadt, Auto, Karte, Pflege, Karriere, tragen, Fall, fangen, Ursache, Zelle, Zentrum, zentral, Jahrhundert, sicher, gewiss, Stuhl, Herausforderung, Chance, Veränderung, Charakter, Gebühr, prüfen,"&amp;" Kind, Wahl, wählen, Kirche, Bürger, Stadt, zivil, Anspruch, Klasse, klar, deutlich, schließen, Trainer, kalt, Sammlung, Hochschule, Farbe, kommen, kommerziell, üblich, Gemeinschaft, Unternehmen, vergleichen, Computer, Sorge, Zustand, Konferenz, Kongress,"&amp;" erwägen, Verbraucher, enthalten, fortsetzen, kontrollieren, Kosten, könnte, Land, Paar, Kurs, Gericht, abdecken, schaffen, Verbrechen, kulturell, Kultur, Tasse, aktuell, Kunde, schneiden, dunkel, Daten, Tochter, Tag, tot, Deal, Tod, Debatte, Jahrzehnt, e"&amp;"ntscheiden, Entscheidung, tief, Verteidigung, Grad, Demokrat, demokratisch, beschreiben, entwerfen, trotz, Detail, bestimmen, entwickeln, Entwicklung, sterben, Unterschied, anders, schwierig, Abendessen, Richtung, Regisseur, entdecken, diskutieren, Diskus"&amp;"sion, Krankheit, tun, Arzt, Hund, Tür, runter, zeichnen, träumen, fahren, fallen lassen, Droge, während, jeder, früh Osten, einfach, essen, wirtschaftlich, Wirtschaft, Rand, Bildung, Wirkung, Anstrengung, acht, entweder, Wahl, sonst, Angestellter, Ende, E"&amp;"nergie, genießen, genug, eintreten, ganz, Umwelt, Umwelt, insbesondere, etablieren, sogar, Abend, Ereignis, jemals, jeder, jeder, alles, Beweise, genau, Beispiel, Führungskraft, existieren, erwarten, Erfahrung, Experte, erklären, Auge, Gesicht, Tatsache, "&amp;"Faktor, scheitern, fallen, Familie, weit, schnell, Vater, Angst, föderal, fühlen, Gefühl, wenige, Feld, kämpfen, Figur, füllen, Film, endgültig, schließlich, finanziell, finden, fein, Finger, beenden, Feuer, Firma, erste, Fisch, fünf, Boden, fliegen, konz"&amp;"entrieren, folgen, Essen, Fuß, für, Kraft, ausländisch, vergessen, Form, ehemalig, vorwärts, vier, frei, Freund, von, Vorderseite, voll, Fonds, Zukunft, Spiel, Garten, Gas, allgemein, Generation, bekommen, Mädchen, geben, Glas, gehen, Ziel, gut, Regierung"&amp;", großartig, grün, Boden, Gruppe, wachsen, Wachstum, raten, Pistole, Kerl, Haare, Hälfte, Hand, hängen, passieren, glücklich, hart haben, er, Kopf, Gesundheit, hören, Herz, Hitze, schwer, helfen, ihr, hier, sich selbst, hoch, ihn, sich selbst, seine, Gesc"&amp;"hichte, treffen, halten, Zuhause, Hoffnung, Krankenhaus, heiß, Hotel, Stunde, Haus, wie, jedoch, riesig, Mensch, hundert, Ehemann, ich, Idee, identifizieren, wenn, Bild, vorstellen, Auswirkung, wichtig, verbessern, in, einschließen, einschließlich, erhöhe"&amp;"n, in der Tat, anzeigen, Einzelperson, Industrie, Information, innen, stattdessen, Institution, Interesse, interessant, international, Interview, in, Investition, einbeziehen, Problem, es, Gegenstand, sein, sich selbst, Job, beitreten, nur, behalten, Schl"&amp;"üssel, Kind, töten, Art, Küche, wissen, Wissen, Land, Sprache, groß, letzte, spät, später, lachen, Gesetz, Anwalt, legen, führen, Anführer, lernen, mindestens, verlassen, links, Bein, legal, weniger, lassen, Brief, Ebene, liegen, Leben, Licht, mögen, wahr"&amp;"scheinlich, Linie, Liste, zuhören, wenig, leben, lokal, lang, schauen, verlieren, Verlust, viel, Liebe, niedrig, Maschine, Zeitschrift, Haupt-, aufrechterhalten, große, Mehrheit, machen, Mann, verwalten, Management, Manager, viele, Markt, Ehe, Material, A"&amp;"ngelegenheit, kann, vielleicht, mich, bedeuten, messen, Medien, medizinisch, treffen, Treffen, Mitglied, Erinnerung, erwähnen, Nachricht, Methode, Mitte, könnte, Militär, Million, Verstand, Minute, verpassen, Mission, Modell, modern, Moment, Geld, Monat, "&amp;"mehr, Morgen, die meisten, Mutter, Mund, bewegen, Bewegung, Film, Herr, Frau, viel, Musik, muss, mein, mich, Name, Nation, national, natürlich, Natur, nahe, beinahe, notwendig, brauchen, Netzwerk, nie, neu, Nachrichten, Zeitung, nächste, nett, Nacht, nein"&amp;", keine, noch, Norden, nicht, Notiz, nichts, bemerken, jetzt, nicht, Nummer, vorkommen, von, aus, Angebot, Büro, Offizier, Beamter, oft, oh, Öl, okay, alt, an, einmal, eins, nur, auf, öffnen, Operation, Gelegenheit, Option, oder, Ordnung, Organisation, an"&amp;"dere, andere, unser, aus, draußen, über, eigenes, Besitzer, Seite, Schmerz, Gemälde, Papier, Elternteil, Teil, Teilnehmer, besonders, insbesondere, Partner Partei, vorbei, Vergangenheit, Patient, Muster, bezahlen, Frieden, Menschen, pro, durchführen, Leis"&amp;"tung, vielleicht, Zeitraum, Person, persönlich, Telefon, physisch, auswählen, Bild, Stück, Ort, Plan, Pflanze, spielen, Spieler, Premierminister, Punkt, Polizei, Politik, politisch, Politik, arm, beliebt, Bevölkerung, Position, positiv, möglich, Macht, üb"&amp;"en, vorbereiten, präsentieren, Präsident, Druck, hübsch, verhindern, Preis, privat, wahrscheinlich, Problem, Prozess, produzieren, Produkt, Produktion, professionell, Professor, Programm, Projekt, Eigentum, schützen, beweisen, bereitstellen, öffentlich, z"&amp;"iehen, Zweck, schieben, setzen, Qualität, Frage, schnell, ziemlich, Rennen, Radio, erhöhen, Bereich, Rate, eher, erreichen, lesen, bereit, real, Realität, erkennen, wirklich, Grund, erhalten, kürzlich, erkennen, aufzeichnen, rot, reduzieren, widerspiegeln"&amp;", Region, beziehen, Beziehung, religiös, bleiben, erinnern, entfernen, berichten, vertreten, Republikaner, benötigen, Forschung, Ressource, reagieren, Antwort, Verantwortung, Ruhe, Ergebnis, zurückkehren, enthüllen, reich, richtig, steigen, Risiko, Straße"&amp;", Felsen, Rolle, Raum, Regel, laufen, sicher gleich, sparen, sagen, Szene, Schule, Wissenschaft, Wissenschaftler, Punktzahl, Meer, Jahreszeit, Sitzplatz, zweite, Abschnitt, Sicherheit, sehen, suchen, scheinen, verkaufen, senden, Senior, Sinn, Serie, ernst"&amp;", dienen, Service, Set, sieben, mehrere, Sex, sexuell, schütteln, teilen, sie, schießen, kurz, Schuss, sollte, Schulter, zeigen, Seite, Zeichen, bedeutend, ähnlich, einfach, einfach, seit, singen, Single, Schwester, sitzen, Ort, Situation, sechs, Größe, F"&amp;"ähigkeit, Haut, klein, lächeln, also, sozial, Gesellschaft, Soldat, einige, jemand, jemand, etwas, manchmal, Sohn, Lied, bald, Sorte, Klang, Quelle, Süden, südlich, Raum, sprechen, speziell, spezifisch, Rede, verbringen, Sport, Frühling, Personal, Bühne, "&amp;"stehen, Standard, Stern, beginnen, Zustand, Aussage, Bahnhof, bleiben, Schritt, still, Lager, Stopp, Geschäft, Geschichte, Strategie, Straße, stark, Struktur, Student, studieren, Zeug, Stil, Thema, Erfolg, erfolgreich, solche, plötzlich, leiden, vorschlag"&amp;"en, Sommer, Unterstützung, sicher, Oberfläche, System, Tisch, nehmen, sprechen, Aufgabe Steuer, lehren, Lehrer, Team, Technologie, Fernsehen, erzählen, zehn, neigen, Begriff, Test, als, danken, dass, die, ihre, sie, sich selbst, dann, Theorie, dort, diese"&amp;", sie, Sache, denken, dritte, dies, jene, obwohl, gedacht, tausend, Bedrohung, drei, durch, durchgehend, werfen, somit, Zeit, zu, heute, zusammen, heute Abend auch, Spitze, insgesamt, hart, in Richtung, Stadt, Handel, traditionell, Training, reisen, behan"&amp;"deln, Behandlung, Baum, Versuch, Reise, Ärger, wahr, Wahrheit, versuchen, drehen, Fernsehen, zwei, Typ, unter, verstehen, Einheit, bis, auf, auf, uns, benutzen, normalerweise, Wert, verschiedene, sehr, Opfer, Ansicht, Gewalt, besuchen, Stimme, wählen, war"&amp;"ten, gehen, Wand, wollen, Krieg, beobachten, Wasser, Weg, wir, Waffe, tragen, Woche, Gewicht, gut, Westen, westlich, was, was auch immer, wann, wo, ob, welche, während, weiß, wer, ganz, wen, wessen, warum, breit, Frau, wird, gewinnen, Wind, Fenster, wünsc"&amp;"hen, mit, innerhalb, ohne Frau, Wunder, Wort, Arbeit, Arbeiter, Welt, Sorge, würde, schreiben, Schriftsteller, falsch, Hof, ja, Jahr, ja, noch, du, jung, dein, dich")</f>
        <v>a, Fähigkeit, fähig, über, oben, akzeptieren, gemäß, Konto, über, handeln, Handlung, Aktivität, tatsächlich, hinzufügen, Adresse, Verwaltung, zugeben, Erwachsener, beeinflussen, nach, wieder, gegen, Alter, Agentur, Agent, vor, zustimmen, Vereinbarung, voraus, Luft, alle, erlauben, fast, allein, entlang, bereits, auch, obwohl, immer, Amerikaner, unter, Menge, Analyse, und, Tier, ein anderer, Antwort, irgendjemand, irgendetwas, erscheinen, anwenden, Annäherung, Bereich, argumentieren, Arm, um, ankommen, Kunst, Artikel, Künstler, als, fragen, annehmen, bei, angreifen, Aufmerksamkeit, Anwalt, Publikum, Autor, Autorität, verfügbar, vermeiden, weg, Baby, zurück, schlecht, Tasche, Ball, Bank, Bar, Basis, sein, schlagen, schön, weil, werden, Bett, vor, beginnen, Verhalten, hinter, glauben, Nutzen, am besten, besser, zwischen, jenseits, groß, Rechnung, Milliarde, Stück, schwarz, Blut, blau, Brett, Körper, Buch, geboren, beide, Kiste, Junge, brechen, bringen, Bruder, Budget, bauen, Gebäude, Geschäft, aber, kaufen, durch, anrufen Kamera, Kampagne, kann, Krebs, Kandidat, Hauptstadt, Auto, Karte, Pflege, Karriere, tragen, Fall, fangen, Ursache, Zelle, Zentrum, zentral, Jahrhundert, sicher, gewiss, Stuhl, Herausforderung, Chance, Veränderung, Charakter, Gebühr, prüfen, Kind, Wahl, wählen, Kirche, Bürger, Stadt, zivil, Anspruch, Klasse, klar, deutlich, schließen, Trainer, kalt, Sammlung, Hochschule, Farbe, kommen, kommerziell, üblich, Gemeinschaft, Unternehmen, vergleichen, Computer, Sorge, Zustand, Konferenz, Kongress, erwägen, Verbraucher, enthalten, fortsetzen, kontrollieren, Kosten, könnte, Land, Paar, Kurs, Gericht, abdecken, schaffen, Verbrechen, kulturell, Kultur, Tasse, aktuell, Kunde, schneiden, dunkel, Daten, Tochter, Tag, tot, Deal, Tod, Debatte, Jahrzehnt, entscheiden, Entscheidung, tief, Verteidigung, Grad, Demokrat, demokratisch, beschreiben, entwerfen, trotz, Detail, bestimmen, entwickeln, Entwicklung, sterben, Unterschied, anders, schwierig, Abendessen, Richtung, Regisseur, entdecken, diskutieren, Diskussion, Krankheit, tun, Arzt, Hund, Tür, runter, zeichnen, träumen, fahren, fallen lassen, Droge, während, jeder, früh Osten, einfach, essen, wirtschaftlich, Wirtschaft, Rand, Bildung, Wirkung, Anstrengung, acht, entweder, Wahl, sonst, Angestellter, Ende, Energie, genießen, genug, eintreten, ganz, Umwelt, Umwelt, insbesondere, etablieren, sogar, Abend, Ereignis, jemals, jeder, jeder, alles, Beweise, genau, Beispiel, Führungskraft, existieren, erwarten, Erfahrung, Experte, erklären, Auge, Gesicht, Tatsache, Faktor, scheitern, fallen, Familie, weit, schnell, Vater, Angst, föderal, fühlen, Gefühl, wenige, Feld, kämpfen, Figur, füllen, Film, endgültig, schließlich, finanziell, finden, fein, Finger, beenden, Feuer, Firma, erste, Fisch, fünf, Boden, fliegen, konzentrieren, folgen, Essen, Fuß, für, Kraft, ausländisch, vergessen, Form, ehemalig, vorwärts, vier, frei, Freund, von, Vorderseite, voll, Fonds, Zukunft, Spiel, Garten, Gas, allgemein, Generation, bekommen, Mädchen, geben, Glas, gehen, Ziel, gut, Regierung, großartig, grün, Boden, Gruppe, wachsen, Wachstum, raten, Pistole, Kerl, Haare, Hälfte, Hand, hängen, passieren, glücklich, hart haben, er, Kopf, Gesundheit, hören, Herz, Hitze, schwer, helfen, ihr, hier, sich selbst, hoch, ihn, sich selbst, seine, Geschichte, treffen, halten, Zuhause, Hoffnung, Krankenhaus, heiß, Hotel, Stunde, Haus, wie, jedoch, riesig, Mensch, hundert, Ehemann, ich, Idee, identifizieren, wenn, Bild, vorstellen, Auswirkung, wichtig, verbessern, in, einschließen, einschließlich, erhöhen, in der Tat, anzeigen, Einzelperson, Industrie, Information, innen, stattdessen, Institution, Interesse, interessant, international, Interview, in, Investition, einbeziehen, Problem, es, Gegenstand, sein, sich selbst, Job, beitreten, nur, behalten, Schlüssel, Kind, töten, Art, Küche, wissen, Wissen, Land, Sprache, groß, letzte, spät, später, lachen, Gesetz, Anwalt, legen, führen, Anführer, lernen, mindestens, verlassen, links, Bein, legal, weniger, lassen, Brief, Ebene, liegen, Leben, Licht, mögen, wahrscheinlich, Linie, Liste, zuhören, wenig, leben, lokal, lang, schauen, verlieren, Verlust, viel, Liebe, niedrig, Maschine, Zeitschrift, Haupt-, aufrechterhalten, große, Mehrheit, machen, Mann, verwalten, Management, Manager, viele, Markt, Ehe, Material, Angelegenheit, kann, vielleicht, mich, bedeuten, messen, Medien, medizinisch, treffen, Treffen, Mitglied, Erinnerung, erwähnen, Nachricht, Methode, Mitte, könnte, Militär, Million, Verstand, Minute, verpassen, Mission, Modell, modern, Moment, Geld, Monat, mehr, Morgen, die meisten, Mutter, Mund, bewegen, Bewegung, Film, Herr, Frau, viel, Musik, muss, mein, mich, Name, Nation, national, natürlich, Natur, nahe, beinahe, notwendig, brauchen, Netzwerk, nie, neu, Nachrichten, Zeitung, nächste, nett, Nacht, nein, keine, noch, Norden, nicht, Notiz, nichts, bemerken, jetzt, nicht, Nummer, vorkommen, von, aus, Angebot, Büro, Offizier, Beamter, oft, oh, Öl, okay, alt, an, einmal, eins, nur, auf, öffnen, Operation, Gelegenheit, Option, oder, Ordnung, Organisation, andere, andere, unser, aus, draußen, über, eigenes, Besitzer, Seite, Schmerz, Gemälde, Papier, Elternteil, Teil, Teilnehmer, besonders, insbesondere, Partner Partei, vorbei, Vergangenheit, Patient, Muster, bezahlen, Frieden, Menschen, pro, durchführen, Leistung, vielleicht, Zeitraum, Person, persönlich, Telefon, physisch, auswählen, Bild, Stück, Ort, Plan, Pflanze, spielen, Spieler, Premierminister, Punkt, Polizei, Politik, politisch, Politik, arm, beliebt, Bevölkerung, Position, positiv, möglich, Macht, üben, vorbereiten, präsentieren, Präsident, Druck, hübsch, verhindern, Preis, privat, wahrscheinlich, Problem, Prozess, produzieren, Produkt, Produktion, professionell, Professor, Programm, Projekt, Eigentum, schützen, beweisen, bereitstellen, öffentlich, ziehen, Zweck, schieben, setzen, Qualität, Frage, schnell, ziemlich, Rennen, Radio, erhöhen, Bereich, Rate, eher, erreichen, lesen, bereit, real, Realität, erkennen, wirklich, Grund, erhalten, kürzlich, erkennen, aufzeichnen, rot, reduzieren, widerspiegeln, Region, beziehen, Beziehung, religiös, bleiben, erinnern, entfernen, berichten, vertreten, Republikaner, benötigen, Forschung, Ressource, reagieren, Antwort, Verantwortung, Ruhe, Ergebnis, zurückkehren, enthüllen, reich, richtig, steigen, Risiko, Straße, Felsen, Rolle, Raum, Regel, laufen, sicher gleich, sparen, sagen, Szene, Schule, Wissenschaft, Wissenschaftler, Punktzahl, Meer, Jahreszeit, Sitzplatz, zweite, Abschnitt, Sicherheit, sehen, suchen, scheinen, verkaufen, senden, Senior, Sinn, Serie, ernst, dienen, Service, Set, sieben, mehrere, Sex, sexuell, schütteln, teilen, sie, schießen, kurz, Schuss, sollte, Schulter, zeigen, Seite, Zeichen, bedeutend, ähnlich, einfach, einfach, seit, singen, Single, Schwester, sitzen, Ort, Situation, sechs, Größe, Fähigkeit, Haut, klein, lächeln, also, sozial, Gesellschaft, Soldat, einige, jemand, jemand, etwas, manchmal, Sohn, Lied, bald, Sorte, Klang, Quelle, Süden, südlich, Raum, sprechen, speziell, spezifisch, Rede, verbringen, Sport, Frühling, Personal, Bühne, stehen, Standard, Stern, beginnen, Zustand, Aussage, Bahnhof, bleiben, Schritt, still, Lager, Stopp, Geschäft, Geschichte, Strategie, Straße, stark, Struktur, Student, studieren, Zeug, Stil, Thema, Erfolg, erfolgreich, solche, plötzlich, leiden, vorschlagen, Sommer, Unterstützung, sicher, Oberfläche, System, Tisch, nehmen, sprechen, Aufgabe Steuer, lehren, Lehrer, Team, Technologie, Fernsehen, erzählen, zehn, neigen, Begriff, Test, als, danken, dass, die, ihre, sie, sich selbst, dann, Theorie, dort, diese, sie, Sache, denken, dritte, dies, jene, obwohl, gedacht, tausend, Bedrohung, drei, durch, durchgehend, werfen, somit, Zeit, zu, heute, zusammen, heute Abend auch, Spitze, insgesamt, hart, in Richtung, Stadt, Handel, traditionell, Training, reisen, behandeln, Behandlung, Baum, Versuch, Reise, Ärger, wahr, Wahrheit, versuchen, drehen, Fernsehen, zwei, Typ, unter, verstehen, Einheit, bis, auf, auf, uns, benutzen, normalerweise, Wert, verschiedene, sehr, Opfer, Ansicht, Gewalt, besuchen, Stimme, wählen, warten, gehen, Wand, wollen, Krieg, beobachten, Wasser, Weg, wir, Waffe, tragen, Woche, Gewicht, gut, Westen, westlich, was, was auch immer, wann, wo, ob, welche, während, weiß, wer, ganz, wen, wessen, warum, breit, Frau, wird, gewinnen, Wind, Fenster, wünschen, mit, innerhalb, ohne Frau, Wunder, Wort, Arbeit, Arbeiter, Welt, Sorge, würde, schreiben, Schriftsteller, falsch, Hof, ja, Jahr, ja, noch, du, jung, dein, dich</v>
      </c>
      <c r="H1401" s="8" t="str">
        <f>IFERROR(__xludf.DUMMYFUNCTION("GOOGLETRANSLATE(C1401, ""en"", ""ru"")"),"а, способность, способный, о, выше, принять, согласно, счет, по, акт, действие, деятельность, фактически, добавить, адрес, администрация, признать, взрослый, влиять, после, снова, против, возраст, агентство, агент, назад, согласиться, соглашение, впереди,"&amp;" воздух, все, разрешить, почти, один, вдоль, уже, также, хотя, всегда, американский, среди, сумма, анализ, и, животное, другой, ответ, любой, кто-либо, что-либо, появляются, применять, подход, область, спорить, рука, вокруг, прибыть, искусство, статья, ху"&amp;"дожник, как, спросить, предположить, в, атаковать, внимание, адвокат, аудитория, автор, авторитет, доступный, избегать, прочь, ребенок, назад, плохой, сумка, мяч, банк, бар, база, быть, победить, красивый, потому что, стать, кровать, прежде, начать, повед"&amp;"ение, позади, верить, выгода, лучший, лучше, между, за пределами, большой, счет, миллиард, немного, черный, кровь, синий, доска, тело, книга, рожденный, оба, коробка, мальчик, сломать, принести, брат, бюджет, строить, здание, бизнес, но, купить, по, позво"&amp;"нить, камера, кампания, может, рак, кандидат, столица, автомобиль, карта, уход, карьера, нести, случай, поймать, причина, клетка, центр, центральный, век, определенный, безусловно, стул, вызов, шанс, изменение, характер, плата, проверка, ребенок, выбор, в"&amp;"ыбирать, церковь, гражданин, город, гражданский, претензия, класс, ясный, четко, близко, тренер, холодный, коллекция, колледж, цвет, прийти, коммерческий, общий, сообщество, компания, сравнить, компьютер, беспокойство, состояние, конференция, Конгресс, ра"&amp;"ссмотреть, потребитель, содержать, продолжать, контроль, стоимость, мог бы, страна, пара, курс, суд, покрывать, создавать, преступление, культурный, культура, чашка, текущий, клиент, вырезать, темный, данные, дочь, день, мертвый, сделка, смерть, дебаты, д"&amp;"есятилетие, решить, решение, глубокий, защита, степень, демократ, демократический, описать, дизайн, несмотря, деталь, определить, разработать, развитие, умереть, разница, разный, трудный, ужин, направление, директор, обнаружить, обсудить, дискуссия, болез"&amp;"нь, делать, врач, собака, дверь, вниз, рисовать, мечтать, водить, бросить, лекарство, во время, каждый, ранний, восток, легко, есть, экономический, экономика, край, образование, эффект, усилие, восемь, либо, выборы, иначе, сотрудник, конец, энергия, насла"&amp;"ждаться, достаточно, войти, весь, окружающая среда, экологический, особенно, установить, даже, вечер, событие, когда-либо, каждый, все, каждый, все, все, доказательства, точно, например, руководитель, существовать, ожидать, опыт, эксперт, объяснить, глаз,"&amp;" лицо, факт, фактор, потерпеть неудачу, упасть, семья, далеко, быстро, отец, страх, федеральный, чувствовать, чувство, немногие, поле, бороться, фигура, заполнить, фильм, финальный, наконец, финансовый, найти, хороший, палец, закончить, огонь, фирма, перв"&amp;"ый, рыба, пять, пол, летать, фокусироваться, следовать, еда, нога, для, сила, иностранный, забыть, форма, бывший, вперед, четыре, бесплатный, друг, от, перед, полный, фонд, будущее, игра, сад, газ, общий, поколение, получить, девушка, дать, стакан, идти, "&amp;"цель, хороший, правительство, отличный, зеленый, земля, группа, расти, рост, угадывать, пистолет, парень, волосы, половина, рука, висеть, случиться, счастливый, трудный, иметь, он, голова, здоровье, слышать, сердце, жара, тяжелый, помочь, ей, здесь, сама,"&amp;" высокий, ему, сам, его, история, ударить, держать, дом, надежда, больница, горячий, отель, час, дом, как, однако, огромный, человек, сто, муж, я, идея, определить, если, изображение, представить, влияние, важный, улучшить, в, включать, в том числе, увели"&amp;"чить, действительно, указывать, индивидуальный, отрасль, информация, внутри, вместо, учреждение, интерес, интересный, международный, интервью, в, инвестиции, вовлекать, проблема, это, предмет, его, сам, работа, присоединиться, просто, держать, ключ, ребен"&amp;"ок, убить, вид, кухня, знать, знания, земля, язык, большой, последний, поздно, позже, смеяться, закон, юрист, лежать, вести, лидер, учиться, по крайней мере, оставить, левый, нога, юридический, меньше, позволить, письмо, уровень, ложь, жизнь, свет, нравит"&amp;"ся, вероятно, линия, список, слушать, маленький, жить, местный, длинный, смотреть, потерять, потеря, много, любовь, низкий, машина, журнал, главный, поддерживать, основной, большинство, делать, мужчина, управлять, менеджмент, менеджер, много, рынок, брак,"&amp;" материал, дело, может, возможно, я, значит, мера, СМИ, медицинский, встречаться, встреча, член, память, упомянуть, сообщение, метод, середина, может, военный, миллион, разум, минута, пропустить, миссия, модель, современный, момент, деньги, месяц, больше,"&amp;" утро, большинство, мать, рот, двигаться, движение, фильм, мистер, миссис, много, музыка, должен, мой, себя, имя, нация, национальный, природный, природа, рядом, почти, необходимый, нужда, сеть, никогда, новый, новости, газета, следующий, хороший, ночь, н"&amp;"ет, ни один, ни, север, не, примечание, ничего, заметить, сейчас, не, номер, происходить, из, выключено, предложение, офис, офицер, официальный, часто, о, нефть, хорошо, старый, на, однажды, один, только, на, открытый, операция, возможность, вариант, или,"&amp;" порядок, организация, другой, другие, наш, вне, снаружи, над, собственный, владелец, страница, боль, картина, бумага, родитель, часть, участник, конкретный, особенно, партнер, партия, проход, прошлое, пациент, шаблон, оплата, мир, люди, за, выполнять, ис"&amp;"полнение, возможно, период, человек, личный, телефон, физический, выбрать, картинка, кусок, место, план, посадить, играть, игрок, премьер-министр, точка, полиция, политика, политический, политика, бедный, популярный, население, позиция, позитивный, возмож"&amp;"ный, власть, практика, подготовить, представить, президент, давление, довольно, предотвратить, цена, частный, вероятно, проблема, процесс, производить, продукт, производство, профессиональный, профессор, программа, проект, собственность, защищать, доказыв"&amp;"ать, предоставлять, общественный, тянуть, цель, толкать, ставить, качество, вопрос, быстро, довольно, гонка, радио, повысить, диапазон, ставка, скорее, достичь, читать, готовый, реальный, реальность, осознать, действительно, причина, получить, недавний, н"&amp;"едавно, распознать, записать, красный, уменьшить, отразить, регион, относиться, отношения, религиозный, оставаться, помнить, удалить, сообщать, представлять, республиканский, требовать, исследование, ресурс, отвечать, ответ, ответственность, отдых, резуль"&amp;"тат, вернуться, раскрыть, богатый, правый, рост, риск, дорога, скала, роль, комната, правило, бег, безопасный, тот же, сохранить, сказать, сцена, школа, наука, ученый, счет, море, сезон, место, второй, раздел, безопасность, видеть, искать, казаться, прода"&amp;"вать, отправлять, старший, чувство, серия, серьезный, служить, обслуживание, набор, семь, несколько, секс, сексуальный, трясти, делиться, она, стрелять, короткий, выстрел, должен, плечо, показывать, сторона, знак, значительный, похожий, простой, просто, т"&amp;"ак как, петь, одиночный, сестра, сидеть, сайт, ситуация, шесть, размер, навык, кожа, маленький, улыбка, так, социальный, общество, солдат, некоторые, кто-то, кто-то, что-то, иногда, сын, песня, скоро, сортировать, звук, источник, юг, южный, космос, говори"&amp;"ть, специальный, конкретный, речь, тратить, спорт, весна, персонал, сцена, стоять, стандартный, звезда, старт, штат, заявление, станция, оставаться, шаг, все еще, запас, остановиться, магазин, история, стратегия, улица, сильный, структура, студент, учеба,"&amp;" вещи, стиль, предмет, успех, успешный, такой, внезапно, страдать, предлагать, лето, поддержка, уверенный, поверхность, система, стол, взять, поговорить, задача, налог, учить, учитель, команда, технология, телевидение, рассказать, десять, склонны, термин,"&amp;" тест, чем, спасибо, что, тот, их, их, себя, затем, теория, там, эти, они, вещь, думать, третий, этот, те, хотя, мысль, тысяча, угроза, три, через, на протяжении, бросить, таким образом, время, к, сегодня, вместе, сегодня вечером, тоже, верх, общий, жестк"&amp;"ий, к, город, торговля, традиционный, обучение, путешествие, лечить, лечение, дерево, испытание, поездка, проблема, истинный, правда, попытаться, повернуть, ТВ, два, тип, под, понимать, единица, пока, вверх, на, нас, использовать, обычно, ценность, различ"&amp;"ные, очень, жертва, вид, насилие, посетить, голос, голосовать, ждать, идти, стена, хотеть, война, смотреть, вода, путь, мы, оружие, носить, неделя, вес, хорошо, запад, западный, что, что бы то ни было, когда, где, ли, который, в то время как, белый, кто, "&amp;"целый, кого, чей, почему, широкий, жена, будет, выиграть, ветер, окно, желание, с, внутри, вне, женщина, чудо, слово, работа, работник, мир, беспокойство, бы, писать, писатель, неправильно, двор, да, год, да, еще, ты, молодой, твой, себя")</f>
        <v>а, способность, способный, о, выше, принять, согласно, счет, по, акт, действие, деятельность, фактически, добавить, адрес, администрация, признать, взрослый, влиять, после, снова, против, возраст, агентство, агент, назад, согласиться, соглашение, впереди, воздух, все, разрешить, почти, один, вдоль, уже, также, хотя, всегда, американский, среди, сумма, анализ, и, животное, другой, ответ, любой, кто-либо, что-либо, появляются, применять, подход, область, спорить, рука, вокруг, прибыть, искусство, статья, художник, как, спросить, предположить, в, атаковать, внимание, адвокат, аудитория, автор, авторитет, доступный, избегать, прочь, ребенок, назад, плохой, сумка, мяч, банк, бар, база, быть, победить, красивый, потому что, стать, кровать, прежде, начать, поведение, позади, верить, выгода, лучший, лучше, между, за пределами, большой, счет, миллиард, немного, черный, кровь, синий, доска, тело, книга, рожденный, оба, коробка, мальчик, сломать, принести, брат, бюджет, строить, здание, бизнес, но, купить, по, позвонить, камера, кампания, может, рак, кандидат, столица, автомобиль, карта, уход, карьера, нести, случай, поймать, причина, клетка, центр, центральный, век, определенный, безусловно, стул, вызов, шанс, изменение, характер, плата, проверка, ребенок, выбор, выбирать, церковь, гражданин, город, гражданский, претензия, класс, ясный, четко, близко, тренер, холодный, коллекция, колледж, цвет, прийти, коммерческий, общий, сообщество, компания, сравнить, компьютер, беспокойство, состояние, конференция, Конгресс, рассмотреть, потребитель, содержать, продолжать, контроль, стоимость, мог бы, страна, пара, курс, суд, покрывать, создавать, преступление, культурный, культура, чашка, текущий, клиент, вырезать, темный, данные, дочь, день, мертвый, сделка, смерть, дебаты, десятилетие, решить, решение, глубокий, защита, степень, демократ, демократический, описать, дизайн, несмотря, деталь, определить, разработать, развитие, умереть, разница, разный, трудный, ужин, направление, директор, обнаружить, обсудить, дискуссия, болезнь, делать, врач, собака, дверь, вниз, рисовать, мечтать, водить, бросить, лекарство, во время, каждый, ранний, восток, легко, есть, экономический, экономика, край, образование, эффект, усилие, восемь, либо, выборы, иначе, сотрудник, конец, энергия, наслаждаться, достаточно, войти, весь, окружающая среда, экологический, особенно, установить, даже, вечер, событие, когда-либо, каждый, все, каждый, все, все, доказательства, точно, например, руководитель, существовать, ожидать, опыт, эксперт, объяснить, глаз, лицо, факт, фактор, потерпеть неудачу, упасть, семья, далеко, быстро, отец, страх, федеральный, чувствовать, чувство, немногие, поле, бороться, фигура, заполнить, фильм, финальный, наконец, финансовый, найти, хороший, палец, закончить, огонь, фирма, первый, рыба, пять, пол, летать, фокусироваться, следовать, еда, нога, для, сила, иностранный, забыть, форма, бывший, вперед, четыре, бесплатный, друг, от, перед, полный, фонд, будущее, игра, сад, газ, общий, поколение, получить, девушка, дать, стакан, идти, цель, хороший, правительство, отличный, зеленый, земля, группа, расти, рост, угадывать, пистолет, парень, волосы, половина, рука, висеть, случиться, счастливый, трудный, иметь, он, голова, здоровье, слышать, сердце, жара, тяжелый, помочь, ей, здесь, сама, высокий, ему, сам, его, история, ударить, держать, дом, надежда, больница, горячий, отель, час, дом, как, однако, огромный, человек, сто, муж, я, идея, определить, если, изображение, представить, влияние, важный, улучшить, в, включать, в том числе, увеличить, действительно, указывать, индивидуальный, отрасль, информация, внутри, вместо, учреждение, интерес, интересный, международный, интервью, в, инвестиции, вовлекать, проблема, это, предмет, его, сам, работа, присоединиться, просто, держать, ключ, ребенок, убить, вид, кухня, знать, знания, земля, язык, большой, последний, поздно, позже, смеяться, закон, юрист, лежать, вести, лидер, учиться, по крайней мере, оставить, левый, нога, юридический, меньше, позволить, письмо, уровень, ложь, жизнь, свет, нравится, вероятно, линия, список, слушать, маленький, жить, местный, длинный, смотреть, потерять, потеря, много, любовь, низкий, машина, журнал, главный, поддерживать, основной, большинство, делать, мужчина, управлять, менеджмент, менеджер, много, рынок, брак, материал, дело, может, возможно, я, значит, мера, СМИ, медицинский, встречаться, встреча, член, память, упомянуть, сообщение, метод, середина, может, военный, миллион, разум, минута, пропустить, миссия, модель, современный, момент, деньги, месяц, больше, утро, большинство, мать, рот, двигаться, движение, фильм, мистер, миссис, много, музыка, должен, мой, себя, имя, нация, национальный, природный, природа, рядом, почти, необходимый, нужда, сеть, никогда, новый, новости, газета, следующий, хороший, ночь, нет, ни один, ни, север, не, примечание, ничего, заметить, сейчас, не, номер, происходить, из, выключено, предложение, офис, офицер, официальный, часто, о, нефть, хорошо, старый, на, однажды, один, только, на, открытый, операция, возможность, вариант, или, порядок, организация, другой, другие, наш, вне, снаружи, над, собственный, владелец, страница, боль, картина, бумага, родитель, часть, участник, конкретный, особенно, партнер, партия, проход, прошлое, пациент, шаблон, оплата, мир, люди, за, выполнять, исполнение, возможно, период, человек, личный, телефон, физический, выбрать, картинка, кусок, место, план, посадить, играть, игрок, премьер-министр, точка, полиция, политика, политический, политика, бедный, популярный, население, позиция, позитивный, возможный, власть, практика, подготовить, представить, президент, давление, довольно, предотвратить, цена, частный, вероятно, проблема, процесс, производить, продукт, производство, профессиональный, профессор, программа, проект, собственность, защищать, доказывать, предоставлять, общественный, тянуть, цель, толкать, ставить, качество, вопрос, быстро, довольно, гонка, радио, повысить, диапазон, ставка, скорее, достичь, читать, готовый, реальный, реальность, осознать, действительно, причина, получить, недавний, недавно, распознать, записать, красный, уменьшить, отразить, регион, относиться, отношения, религиозный, оставаться, помнить, удалить, сообщать, представлять, республиканский, требовать, исследование, ресурс, отвечать, ответ, ответственность, отдых, результат, вернуться, раскрыть, богатый, правый, рост, риск, дорога, скала, роль, комната, правило, бег, безопасный, тот же, сохранить, сказать, сцена, школа, наука, ученый, счет, море, сезон, место, второй, раздел, безопасность, видеть, искать, казаться, продавать, отправлять, старший, чувство, серия, серьезный, служить, обслуживание, набор, семь, несколько, секс, сексуальный, трясти, делиться, она, стрелять, короткий, выстрел, должен, плечо, показывать, сторона, знак, значительный, похожий, простой, просто, так как, петь, одиночный, сестра, сидеть, сайт, ситуация, шесть, размер, навык, кожа, маленький, улыбка, так, социальный, общество, солдат, некоторые, кто-то, кто-то, что-то, иногда, сын, песня, скоро, сортировать, звук, источник, юг, южный, космос, говорить, специальный, конкретный, речь, тратить, спорт, весна, персонал, сцена, стоять, стандартный, звезда, старт, штат, заявление, станция, оставаться, шаг, все еще, запас, остановиться, магазин, история, стратегия, улица, сильный, структура, студент, учеба, вещи, стиль, предмет, успех, успешный, такой, внезапно, страдать, предлагать, лето, поддержка, уверенный, поверхность, система, стол, взять, поговорить, задача, налог, учить, учитель, команда, технология, телевидение, рассказать, десять, склонны, термин, тест, чем, спасибо, что, тот, их, их, себя, затем, теория, там, эти, они, вещь, думать, третий, этот, те, хотя, мысль, тысяча, угроза, три, через, на протяжении, бросить, таким образом, время, к, сегодня, вместе, сегодня вечером, тоже, верх, общий, жесткий, к, город, торговля, традиционный, обучение, путешествие, лечить, лечение, дерево, испытание, поездка, проблема, истинный, правда, попытаться, повернуть, ТВ, два, тип, под, понимать, единица, пока, вверх, на, нас, использовать, обычно, ценность, различные, очень, жертва, вид, насилие, посетить, голос, голосовать, ждать, идти, стена, хотеть, война, смотреть, вода, путь, мы, оружие, носить, неделя, вес, хорошо, запад, западный, что, что бы то ни было, когда, где, ли, который, в то время как, белый, кто, целый, кого, чей, почему, широкий, жена, будет, выиграть, ветер, окно, желание, с, внутри, вне, женщина, чудо, слово, работа, работник, мир, беспокойство, бы, писать, писатель, неправильно, двор, да, год, да, еще, ты, молодой, твой, себя</v>
      </c>
      <c r="I1401" s="8" t="str">
        <f>IFERROR(__xludf.DUMMYFUNCTION("GOOGLETRANSLATE(C1401, ""en"", ""ar"")"),"أ، قدرة، قادر، حول، فوق، يقبل، وفقًا، حساب، عبر، فعل، إجراء، نشاط، في الواقع، يضيف، عنوان، إدارة، يعترف، بالغ، يؤثر، بعد، مرة أخرى، ضد، عمر، وكالة، وكيل، منذ، يوافق، اتفاق، متقدم، هواء، كل، يسمح، تقريبًا، بمفرده، على طول، بالفعل، أيضًا، على الرغم من، دائم"&amp;"ًا، أمريكي، بين، كمية، تحليل، و، حيوان، آخر، إجابة، أي، أي شخص، أي شيء، يظهر، يطبق، يقترب، منطقة، يجادل، ذراع، حول، يصل، فن، مقال، فنان، كما، يسأل، يفترض، في، هجوم، انتباه، محامٍ، جمهور، مؤلف، سلطة، متاح، يتجنب، بعيدًا، طفل، ظهر، سيء، حقيبة، كرة، بنك، بار"&amp;"، قاعدة، يكون، يهزم، جميل، لأن، يصبح، سرير، قبل، يبدأ، سلوك، خلف، يعتقد، يستفيد، أفضل، أفضل، بين، ما وراء، كبير، فاتورة، مليار، بت، أسود، دم، أزرق، لوحة، جسم، كتاب، مولود، كلاهما، صندوق، صبي، يكسر، يحضر، أخ، ميزانية، يبني، مبنى، عمل، لكن، يشتري، بواسطة، ي"&amp;"دعو، كاميرا، حملة، علبة، سرطان، مرشح، عاصمة، سيارة، بطاقة، رعاية، مهنة، حمل، قضية، اصطياد، سبب، خلية، مركز، مركزي، قرن، مؤكد، بالتأكيد، كرسي، تحدي، فرصة، تغيير، شخصية، تهمة، فحص، طفل، اختيار، اختيار، كنيسة، مواطن، مدينة، مدني، مطالبة، طبقة، واضح، بوضوح، إ"&amp;"غلاق، مدرب، برد، مجموعة، كلية، لون، تعال، تجاري، شائع، مجتمع، شركة، قارن، كمبيوتر، قلق، حالة، مؤتمر، كونغرس، ضع في اعتبارك، مستهلك، احتواء، استمرار، سيطرة، تكلفة، يمكن، بلد، زوجان، دورة، محكمة، غطاء، إنشاء، جريمة، ثقافي، ثقافة، كوب، حالي، عميل، قطع، مظلم،"&amp;" بيانات، ابنة، يوم، ميت، صفقة، موت، نقاش، عقد، قرر، قرار، عميق، دفاع، درجة، ديمقراطي، ديمقراطي، وصف، تصميم، على الرغم من، تفاصيل، تحديد، تطوير، تنمية، يموت، فرق، مختلف، صعب، عشاء، اتجاه، مدير، اكتشف، ناقش، نقاش، مرض، افعل، طبيب، كلب، باب، أسفل، ارسم، حلم،"&amp;" قيادة، إسقاط، دواء، خلال، كل، مبكر، شرق، سهل، أكل، اقتصادي، اقتصاد، حافة، تعليم، تأثير، جهد، ثمانية، إما، انتخابات، وإلا، موظف، نهاية، طاقة، استمتاع، كافٍ، دخول، كامل، بيئة، بيئي، خاصة، إنشاء، حتى، مساء، حدث، على الإطلاق، كل، الجميع، كل شيء، دليل، بالضبط"&amp;"، مثال، تنفيذي، موجود، توقع، خبرة، خبير، شرح، عين، وجه، حقيقة، عامل، فشل، سقوط، عائلة، بعيد، سريع، أب، خوف، اتحادي، شعور، شعور، قليل، ميدان، قتال، شكل، ملء، فيلم، نهائي، أخيراً، مالي، إيجاد، غرامة، إصبع، إنهاء، نار، شركة، أول، سمك، خمسة، طابق، طيران، تركي"&amp;"ز، متابعة، طعام، قدم، لـ، قوة، أجنبي، نسيان، شكل، سابق، للأمام، أربعة، مجاني، صديق، من، أمام، كامل، صندوق، مستقبل، لعبة، حديقة، غاز، عام، جيل، الحصول على، فتاة، إعطاء، كأس، الذهاب، هدف، جيد، حكومة، عظيم، أخضر، أرض، مجموعة، نمو، نمو، تخمين، بندقية، رجل، شع"&amp;"ر، نصف، يد، تعليق، يحدث، سعيد، صعب، يملك، هو، رأس، صحة، يسمع، قلب، حرارة، ثقيل، يساعد، هي، هنا، نفسها، مرتفع، هو، نفسه، له، تاريخ، يضرب، يمسك، منزل، أمل، مستشفى، حار، فندق، ساعة، منزل، كيف، مع ذلك، ضخم، إنسان، مئة، زوج، أنا، فكرة، يحدد، إذا، صورة، يتخيل، "&amp;"تأثير، مهم، يحسن، في، يشمل، بما في ذلك، يزيد، بالفعل، يشير، فرد، صناعة، معلومات، داخل، بدلاً من، مؤسسة، اهتمام، مثير للاهتمام، دولي، مقابلة، في، استثمار، ينطوي، قضية، هو، عنصر، خاصته، نفسه، وظيفة، ينضم، فقط، يحتفظ، مفتاح، طفل، يقتل، نوع، مطبخ، يعرف، معرفة"&amp;"، أرض، لغة، كبير، أخير، متأخر، لاحقاً، يضحك، قانون، محامٍ، يضع، يقود، قائد، يتعلم، على الأقل، يترك، يسار، ساق، قانوني، أقل، يسمح، رسالة، مستوى، يكذب، حياة، ضوء، مثل، محتمل، خط، قائمة، يستمع، قليل، يعيش، محلي، طويل، ينظر، يخسر، خسارة، الكثير، يحب، منخفض، آ"&amp;"لة، مجلة، رئيسي، يحافظ، رئيسي، أغلبية، يصنع، رجل، يدير، إدارة، مدير، كثير، سوق، زواج، مادي، مسألة، قد، ربما، أنا، يعني، قياس، إعلام، طبي، يلتقي، اجتماع، عضو، ذاكرة، يذكر، رسالة، طريقة، وسط، قد، عسكري، مليون، عقل، دقيقة، يفوت، مهمة، نموذج، حديث، لحظة، مال،"&amp;" شهر، أكثر، صباح، معظم، أم، فم، يتحرك، حركة، فيلم، السيد، السيدة، كثير، موسيقى، يجب، لي، نفسي، اسم، أمة، وطني، طبيعي، طبيعة، قريب، تقريبًا، ضروري، حاجة، شبكة، أبدًا، جديد، أخبار، صحيفة، التالي، لطيف، ليلة، لا، لا شيء، ولا، شمال، ليس، ملاحظة، لا شيء، إشعار"&amp;"، الآن، ليس، رقم، يحدث، من، إيقاف، عرض، مكتب، ضابط، مسؤول، غالبًا، أوه، زيت، حسنًا، قديم، على، مرة، واحد، فقط، على، يفتح، عملية، فرصة، خيار، أو، أمر، منظمة، آخر، آخرون، لنا، خارج، خارج، فوق، خاص، مالك، صفحة، ألم، لوحة، ورقة، والد، جزء، مشارك، خاص، على وجه"&amp;" الخصوص، شريك، حزب، يمر، ماضٍ، مريض، نمط، يدفع، سلام، ناس، لكل، يؤدي، أداء، ربما، فترة، شخص، شخصي، هاتف، مادي، يختار، صورة، قطعة، مكان، خطة، يزرع، يلعب، لاعب، رئيس الوزراء، نقطة، شرطة، سياسة، سياسي، سياسة، فقير، شعبي، سكان، موقف، إيجابي، ممكن، قوة، ممارسة"&amp;"، يُحضّر، يُقدّم، رئيس، ضغط، جميل، يمنع، سعر، خاص، ربما، مشكلة، عملية، يُنتج، منتج، إنتاج، محترف، أستاذ، برنامج، مشروع، ملكية، يحمي، يُثبت، يُوفّر، عام، يسحب، غرض، يدفع، يضع، جودة، سؤال، بسرعة، تمامًا، سباق، راديو، يرفع، نطاق، معدل، بالأحرى، يصل، يقرأ، جا"&amp;"هز، حقيقي، واقع، يُدرك، حقًا، سبب، يستلم، حديث، مؤخرًا، يتعرف، يُسجل، أحمر، يُقلل، يعكس، منطقة، يرتبط، علاقة، ديني، يبقى، يتذكر، يُزيل، يُبلغ، يُمثل، جمهوري، يتطلب، بحث، مورد، يستجيب، استجابة، مسؤولية، راحة، نتيجة، يعود، يكشف، غني، صحيح، يرتفع، مخاطرة، طر"&amp;"يق، صخرة، دور، غرفة، قاعدة، يركض آمن، نفسه، حفظ، قل، مشهد، مدرسة، علم، عالم، نتيجة، بحر، موسم، مقعد، ثانٍ، قسم، أمن، يرى، يبحث، يبدو، يبيع، يرسل، كبير، إحساس، سلسلة، جاد، يخدم، خدمة، مجموعة، سبعة، عدة، جنس، جنسي، يهز، يشارك، هي، يطلق النار، قصير، لقطة، ين"&amp;"بغي، كتف، يعرض، جانب، علامة، هام، مشابه، بسيط، ببساطة، منذ، يغني، أعزب، أخت، يجلس، موقع، موقف، ستة، حجم، مهارة، جلد، صغير، يبتسم، لذلك، اجتماعي، مجتمع، جندي، بعض، شخص ما، شخص ما، شيء ما، أحيانًا، ابن، أغنية، قريبًا، نوع، صوت، مصدر، جنوب، جنوبي، فضاء، يتحد"&amp;"ث، خاص، محدد، خطاب، ينفق، رياضة، ربيع، طاقم، مسرح، يقف، معيار، نجم، يبدأ، دولة، بيان، محطة، يبقى، خطوة، ساكن، مخزون، يتوقف، متجر، قصة، استراتيجية، شارع، قوي، هيكل، طالب، دراسة، أشياء، أسلوب، موضوع، نجاح، ناجح، مثل، فجأة، يعاني، يقترح، صيف، دعم، متأكد، سطح"&amp;"، نظام، طاولة، يأخذ، يتحدث، مهمة، ضريبة، تعليم، معلم، فريق، تكنولوجيا، تلفزيون، أخبر، عشرة، يميل، مصطلح، اختبار، من، شكرًا، ذلك، الـ، لهم، أنفسهم، ثم، نظرية، هناك، هؤلاء، هم، شيء، فكر، ثالث، هذا، هؤلاء، على الرغم من، فكر، ألف، تهديد، ثلاثة، من خلال، في جم"&amp;"يع أنحاء، رمي، هكذا، وقت، إلى، اليوم، معًا، الليلة، أيضًا، أعلى، إجمالي، صعب، نحو، مدينة، تجارة، تقليدي، تدريب، سفر، علاج، علاج، شجرة، محاكمة، رحلة، مشكلة، صحيح، حقيقة، حاول، استدر، تلفزيون، اثنان، نوع، تحت، فهم، وحدة، حتى، أعلى، على، نحن، استخدام، عادة، "&amp;"قيمة، متنوع، جدًا، ضحية، عرض، عنف، زيارة، صوت، تصويت، انتظار، مشي، جدار، أريد، حرب، مشاهدة، ماء، طريقة، نحن، سلاح، ارتداء، أسبوع، وزن، حسنًا، غرب، غربي، ماذا، مهما كان، متى، أين، سواء، الذي، بينما، أبيض، من، كامل، من، لمن، لماذا، واسع، زوجة، سوف، فوز، ريح"&amp;"، نافذة، أمنية، مع، داخل، بدون، امرأة، عجب، كلمة، عمل، عامل، عالم، قلق، سوف، يكتب، كاتب، خطأ، ساحة، أجل، سنة، نعم، مع ذلك، أنت، شاب، خاصتك، نفسك")</f>
        <v>أ، قدرة، قادر، حول، فوق، يقبل، وفقًا، حساب، عبر، فعل، إجراء، نشاط، في الواقع، يضيف، عنوان، إدارة، يعترف، بالغ، يؤثر، بعد، مرة أخرى، ضد، عمر، وكالة، وكيل، منذ، يوافق، اتفاق، متقدم، هواء، كل، يسمح، تقريبًا، بمفرده، على طول، بالفعل، أيضًا، على الرغم من، دائمًا، أمريكي، بين، كمية، تحليل، و، حيوان، آخر، إجابة، أي، أي شخص، أي شيء، يظهر، يطبق، يقترب، منطقة، يجادل، ذراع، حول، يصل، فن، مقال، فنان، كما، يسأل، يفترض، في، هجوم، انتباه، محامٍ، جمهور، مؤلف، سلطة، متاح، يتجنب، بعيدًا، طفل، ظهر، سيء، حقيبة، كرة، بنك، بار، قاعدة، يكون، يهزم، جميل، لأن، يصبح، سرير، قبل، يبدأ، سلوك، خلف، يعتقد، يستفيد، أفضل، أفضل، بين، ما وراء، كبير، فاتورة، مليار، بت، أسود، دم، أزرق، لوحة، جسم، كتاب، مولود، كلاهما، صندوق، صبي، يكسر، يحضر، أخ، ميزانية، يبني، مبنى، عمل، لكن، يشتري، بواسطة، يدعو، كاميرا، حملة، علبة، سرطان، مرشح، عاصمة، سيارة، بطاقة، رعاية، مهنة، حمل، قضية، اصطياد، سبب، خلية، مركز، مركزي، قرن، مؤكد، بالتأكيد، كرسي، تحدي، فرصة، تغيير، شخصية، تهمة، فحص، طفل، اختيار، اختيار، كنيسة، مواطن، مدينة، مدني، مطالبة، طبقة، واضح، بوضوح، إغلاق، مدرب، برد، مجموعة، كلية، لون، تعال، تجاري، شائع، مجتمع، شركة، قارن، كمبيوتر، قلق، حالة، مؤتمر، كونغرس، ضع في اعتبارك، مستهلك، احتواء، استمرار، سيطرة، تكلفة، يمكن، بلد، زوجان، دورة، محكمة، غطاء، إنشاء، جريمة، ثقافي، ثقافة، كوب، حالي، عميل، قطع، مظلم، بيانات، ابنة، يوم، ميت، صفقة، موت، نقاش، عقد، قرر، قرار، عميق، دفاع، درجة، ديمقراطي، ديمقراطي، وصف، تصميم، على الرغم من، تفاصيل، تحديد، تطوير، تنمية، يموت، فرق، مختلف، صعب، عشاء، اتجاه، مدير، اكتشف، ناقش، نقاش، مرض، افعل، طبيب، كلب، باب، أسفل، ارسم، حلم، قيادة، إسقاط، دواء، خلال، كل، مبكر، شرق، سهل، أكل، اقتصادي، اقتصاد، حافة، تعليم، تأثير، جهد، ثمانية، إما، انتخابات، وإلا، موظف، نهاية، طاقة، استمتاع، كافٍ، دخول، كامل، بيئة، بيئي، خاصة، إنشاء، حتى، مساء، حدث، على الإطلاق، كل، الجميع، كل شيء، دليل، بالضبط، مثال، تنفيذي، موجود، توقع، خبرة، خبير، شرح، عين، وجه، حقيقة، عامل، فشل، سقوط، عائلة، بعيد، سريع، أب، خوف، اتحادي، شعور، شعور، قليل، ميدان، قتال، شكل، ملء، فيلم، نهائي، أخيراً، مالي، إيجاد، غرامة، إصبع، إنهاء، نار، شركة، أول، سمك، خمسة، طابق، طيران، تركيز، متابعة، طعام، قدم، لـ، قوة، أجنبي، نسيان، شكل، سابق، للأمام، أربعة، مجاني، صديق، من، أمام، كامل، صندوق، مستقبل، لعبة، حديقة، غاز، عام، جيل، الحصول على، فتاة، إعطاء، كأس، الذهاب، هدف، جيد، حكومة، عظيم، أخضر، أرض، مجموعة، نمو، نمو، تخمين، بندقية، رجل، شعر، نصف، يد، تعليق، يحدث، سعيد، صعب، يملك، هو، رأس، صحة، يسمع، قلب، حرارة، ثقيل، يساعد، هي، هنا، نفسها، مرتفع، هو، نفسه، له، تاريخ، يضرب، يمسك، منزل، أمل، مستشفى، حار، فندق، ساعة، منزل، كيف، مع ذلك، ضخم، إنسان، مئة، زوج، أنا، فكرة، يحدد، إذا، صورة، يتخيل، تأثير، مهم، يحسن، في، يشمل، بما في ذلك، يزيد، بالفعل، يشير، فرد، صناعة، معلومات، داخل، بدلاً من، مؤسسة، اهتمام، مثير للاهتمام، دولي، مقابلة، في، استثمار، ينطوي، قضية، هو، عنصر، خاصته، نفسه، وظيفة، ينضم، فقط، يحتفظ، مفتاح، طفل، يقتل، نوع، مطبخ، يعرف، معرفة، أرض، لغة، كبير، أخير، متأخر، لاحقاً، يضحك، قانون، محامٍ، يضع، يقود، قائد، يتعلم، على الأقل، يترك، يسار، ساق، قانوني، أقل، يسمح، رسالة، مستوى، يكذب، حياة، ضوء، مثل، محتمل، خط، قائمة، يستمع، قليل، يعيش، محلي، طويل، ينظر، يخسر، خسارة، الكثير، يحب، منخفض، آلة، مجلة، رئيسي، يحافظ، رئيسي، أغلبية، يصنع، رجل، يدير، إدارة، مدير، كثير، سوق، زواج، مادي، مسألة، قد، ربما، أنا، يعني، قياس، إعلام، طبي، يلتقي، اجتماع، عضو، ذاكرة، يذكر، رسالة، طريقة، وسط، قد، عسكري، مليون، عقل، دقيقة، يفوت، مهمة، نموذج، حديث، لحظة، مال، شهر، أكثر، صباح، معظم، أم، فم، يتحرك، حركة، فيلم، السيد، السيدة، كثير، موسيقى، يجب، لي، نفسي، اسم، أمة، وطني، طبيعي، طبيعة، قريب، تقريبًا، ضروري، حاجة، شبكة، أبدًا، جديد، أخبار، صحيفة، التالي، لطيف، ليلة، لا، لا شيء، ولا، شمال، ليس، ملاحظة، لا شيء، إشعار، الآن، ليس، رقم، يحدث، من، إيقاف، عرض، مكتب، ضابط، مسؤول، غالبًا، أوه، زيت، حسنًا، قديم، على، مرة، واحد، فقط، على، يفتح، عملية، فرصة، خيار، أو، أمر، منظمة، آخر، آخرون، لنا، خارج، خارج، فوق، خاص، مالك، صفحة، ألم، لوحة، ورقة، والد، جزء، مشارك، خاص، على وجه الخصوص، شريك، حزب، يمر، ماضٍ، مريض، نمط، يدفع، سلام، ناس، لكل، يؤدي، أداء، ربما، فترة، شخص، شخصي، هاتف، مادي، يختار، صورة، قطعة، مكان، خطة، يزرع، يلعب، لاعب، رئيس الوزراء، نقطة، شرطة، سياسة، سياسي، سياسة، فقير، شعبي، سكان، موقف، إيجابي، ممكن، قوة، ممارسة، يُحضّر، يُقدّم، رئيس، ضغط، جميل، يمنع، سعر، خاص، ربما، مشكلة، عملية، يُنتج، منتج، إنتاج، محترف، أستاذ، برنامج، مشروع، ملكية، يحمي، يُثبت، يُوفّر، عام، يسحب، غرض، يدفع، يضع، جودة، سؤال، بسرعة، تمامًا، سباق، راديو، يرفع، نطاق، معدل، بالأحرى، يصل، يقرأ، جاهز، حقيقي، واقع، يُدرك، حقًا، سبب، يستلم، حديث، مؤخرًا، يتعرف، يُسجل، أحمر، يُقلل، يعكس، منطقة، يرتبط، علاقة، ديني، يبقى، يتذكر، يُزيل، يُبلغ، يُمثل، جمهوري، يتطلب، بحث، مورد، يستجيب، استجابة، مسؤولية، راحة، نتيجة، يعود، يكشف، غني، صحيح، يرتفع، مخاطرة، طريق، صخرة، دور، غرفة، قاعدة، يركض آمن، نفسه، حفظ، قل، مشهد، مدرسة، علم، عالم، نتيجة، بحر، موسم، مقعد، ثانٍ، قسم، أمن، يرى، يبحث، يبدو، يبيع، يرسل، كبير، إحساس، سلسلة، جاد، يخدم، خدمة، مجموعة، سبعة، عدة، جنس، جنسي، يهز، يشارك، هي، يطلق النار، قصير، لقطة، ينبغي، كتف، يعرض، جانب، علامة، هام، مشابه، بسيط، ببساطة، منذ، يغني، أعزب، أخت، يجلس، موقع، موقف، ستة، حجم، مهارة، جلد، صغير، يبتسم، لذلك، اجتماعي، مجتمع، جندي، بعض، شخص ما، شخص ما، شيء ما، أحيانًا، ابن، أغنية، قريبًا، نوع، صوت، مصدر، جنوب، جنوبي، فضاء، يتحدث، خاص، محدد، خطاب، ينفق، رياضة، ربيع، طاقم، مسرح، يقف، معيار، نجم، يبدأ، دولة، بيان، محطة، يبقى، خطوة، ساكن، مخزون، يتوقف، متجر، قصة، استراتيجية، شارع، قوي، هيكل، طالب، دراسة، أشياء، أسلوب، موضوع، نجاح، ناجح، مثل، فجأة، يعاني، يقترح، صيف، دعم، متأكد، سطح، نظام، طاولة، يأخذ، يتحدث، مهمة، ضريبة، تعليم، معلم، فريق، تكنولوجيا، تلفزيون، أخبر، عشرة، يميل، مصطلح، اختبار، من، شكرًا، ذلك، الـ، لهم، أنفسهم، ثم، نظرية، هناك، هؤلاء، هم، شيء، فكر، ثالث، هذا، هؤلاء، على الرغم من، فكر، ألف، تهديد، ثلاثة، من خلال، في جميع أنحاء، رمي، هكذا، وقت، إلى، اليوم، معًا، الليلة، أيضًا، أعلى، إجمالي، صعب، نحو، مدينة، تجارة، تقليدي، تدريب، سفر، علاج، علاج، شجرة، محاكمة، رحلة، مشكلة، صحيح، حقيقة، حاول، استدر، تلفزيون، اثنان، نوع، تحت، فهم، وحدة، حتى، أعلى، على، نحن، استخدام، عادة، قيمة، متنوع، جدًا، ضحية، عرض، عنف، زيارة، صوت، تصويت، انتظار، مشي، جدار، أريد، حرب، مشاهدة، ماء، طريقة، نحن، سلاح، ارتداء، أسبوع، وزن، حسنًا، غرب، غربي، ماذا، مهما كان، متى، أين، سواء، الذي، بينما، أبيض، من، كامل، من، لمن، لماذا، واسع، زوجة، سوف، فوز، ريح، نافذة، أمنية، مع، داخل، بدون، امرأة، عجب، كلمة، عمل، عامل، عالم، قلق، سوف، يكتب، كاتب، خطأ، ساحة، أجل، سنة، نعم، مع ذلك، أنت، شاب، خاصتك، نفسك</v>
      </c>
      <c r="J1401" s="8"/>
      <c r="K1401" s="3" t="s">
        <v>1416</v>
      </c>
      <c r="M1401" s="4" t="s">
        <v>10</v>
      </c>
    </row>
    <row r="1402" ht="15.75" customHeight="1">
      <c r="A1402" s="1">
        <v>2770.0</v>
      </c>
      <c r="B1402" s="3">
        <v>155.0</v>
      </c>
      <c r="C1402" s="7" t="s">
        <v>1417</v>
      </c>
      <c r="D1402" s="8" t="str">
        <f>IFERROR(__xludf.DUMMYFUNCTION("GOOGLETRANSLATE(C1402, ""en"", ""pt"")"),"aniquilar, destruir")</f>
        <v>aniquilar, destruir</v>
      </c>
      <c r="E1402" s="8" t="str">
        <f>IFERROR(__xludf.DUMMYFUNCTION("GOOGLETRANSLATE(C1402, ""en"", ""es"")"),"aniquilar, destruir")</f>
        <v>aniquilar, destruir</v>
      </c>
      <c r="F1402" s="8" t="str">
        <f>IFERROR(__xludf.DUMMYFUNCTION("GOOGLETRANSLATE(C1402, ""en"", ""fr"")"),"anéantir, détruire")</f>
        <v>anéantir, détruire</v>
      </c>
      <c r="G1402" s="8" t="str">
        <f>IFERROR(__xludf.DUMMYFUNCTION("GOOGLETRANSLATE(C1402, ""en"", ""de"")"),"vernichten, zerstören")</f>
        <v>vernichten, zerstören</v>
      </c>
      <c r="H1402" s="8" t="str">
        <f>IFERROR(__xludf.DUMMYFUNCTION("GOOGLETRANSLATE(C1402, ""en"", ""ru"")"),"уничтожить, разрушить")</f>
        <v>уничтожить, разрушить</v>
      </c>
      <c r="I1402" s="8" t="str">
        <f>IFERROR(__xludf.DUMMYFUNCTION("GOOGLETRANSLATE(C1402, ""en"", ""ar"")"),"إبادة، تدمير")</f>
        <v>إبادة، تدمير</v>
      </c>
      <c r="J1402" s="8"/>
      <c r="K1402" s="7" t="str">
        <f>IFERROR(__xludf.DUMMYFUNCTION("CONCAT(REGEXREPLACE(C1402,""[ ,]+"",""_""),"".mp3"")"),"annihilate_destroy.mp3")</f>
        <v>annihilate_destroy.mp3</v>
      </c>
      <c r="M1402" s="4" t="s">
        <v>10</v>
      </c>
    </row>
    <row r="1403" ht="15.75" customHeight="1">
      <c r="A1403" s="1">
        <v>2771.0</v>
      </c>
      <c r="B1403" s="3">
        <v>155.0</v>
      </c>
      <c r="C1403" s="7" t="s">
        <v>1418</v>
      </c>
      <c r="D1403" s="8" t="str">
        <f>IFERROR(__xludf.DUMMYFUNCTION("GOOGLETRANSLATE(C1403, ""en"", ""pt"")"),"amalgamar, combinar")</f>
        <v>amalgamar, combinar</v>
      </c>
      <c r="E1403" s="8" t="str">
        <f>IFERROR(__xludf.DUMMYFUNCTION("GOOGLETRANSLATE(C1403, ""en"", ""es"")"),"amalgamar, combinar")</f>
        <v>amalgamar, combinar</v>
      </c>
      <c r="F1403" s="8" t="str">
        <f>IFERROR(__xludf.DUMMYFUNCTION("GOOGLETRANSLATE(C1403, ""en"", ""fr"")"),"fusionner, combiner")</f>
        <v>fusionner, combiner</v>
      </c>
      <c r="G1403" s="8" t="str">
        <f>IFERROR(__xludf.DUMMYFUNCTION("GOOGLETRANSLATE(C1403, ""en"", ""de"")"),"verschmelzen, kombinieren")</f>
        <v>verschmelzen, kombinieren</v>
      </c>
      <c r="H1403" s="8" t="str">
        <f>IFERROR(__xludf.DUMMYFUNCTION("GOOGLETRANSLATE(C1403, ""en"", ""ru"")"),"объединять, комбинировать")</f>
        <v>объединять, комбинировать</v>
      </c>
      <c r="I1403" s="8" t="str">
        <f>IFERROR(__xludf.DUMMYFUNCTION("GOOGLETRANSLATE(C1403, ""en"", ""ar"")"),"دمج، جمع")</f>
        <v>دمج، جمع</v>
      </c>
      <c r="J1403" s="8"/>
      <c r="K1403" s="7" t="str">
        <f>IFERROR(__xludf.DUMMYFUNCTION("CONCAT(REGEXREPLACE(C1403,""[ ,]+"",""_""),"".mp3"")"),"amalgamate_combine.mp3")</f>
        <v>amalgamate_combine.mp3</v>
      </c>
      <c r="M1403" s="4" t="s">
        <v>10</v>
      </c>
    </row>
    <row r="1404" ht="15.75" customHeight="1">
      <c r="A1404" s="1">
        <v>2772.0</v>
      </c>
      <c r="B1404" s="3">
        <v>155.0</v>
      </c>
      <c r="C1404" s="7" t="s">
        <v>1419</v>
      </c>
      <c r="D1404" s="8" t="str">
        <f>IFERROR(__xludf.DUMMYFUNCTION("GOOGLETRANSLATE(C1404, ""en"", ""pt"")"),"conjurar, solicitar")</f>
        <v>conjurar, solicitar</v>
      </c>
      <c r="E1404" s="8" t="str">
        <f>IFERROR(__xludf.DUMMYFUNCTION("GOOGLETRANSLATE(C1404, ""en"", ""es"")"),"conjurar, solicitar")</f>
        <v>conjurar, solicitar</v>
      </c>
      <c r="F1404" s="8" t="str">
        <f>IFERROR(__xludf.DUMMYFUNCTION("GOOGLETRANSLATE(C1404, ""en"", ""fr"")"),"adjure, demande")</f>
        <v>adjure, demande</v>
      </c>
      <c r="G1404" s="8" t="str">
        <f>IFERROR(__xludf.DUMMYFUNCTION("GOOGLETRANSLATE(C1404, ""en"", ""de"")"),"beschwören, bitten")</f>
        <v>beschwören, bitten</v>
      </c>
      <c r="H1404" s="8" t="str">
        <f>IFERROR(__xludf.DUMMYFUNCTION("GOOGLETRANSLATE(C1404, ""en"", ""ru"")"),"заклинать, просьба")</f>
        <v>заклинать, просьба</v>
      </c>
      <c r="I1404" s="8" t="str">
        <f>IFERROR(__xludf.DUMMYFUNCTION("GOOGLETRANSLATE(C1404, ""en"", ""ar"")"),"يأمر، يطلب")</f>
        <v>يأمر، يطلب</v>
      </c>
      <c r="J1404" s="8"/>
      <c r="K1404" s="7" t="str">
        <f>IFERROR(__xludf.DUMMYFUNCTION("CONCAT(REGEXREPLACE(C1404,""[ ,]+"",""_""),"".mp3"")"),"adjure_request.mp3")</f>
        <v>adjure_request.mp3</v>
      </c>
      <c r="M1404" s="4" t="s">
        <v>10</v>
      </c>
    </row>
    <row r="1405" ht="15.75" customHeight="1">
      <c r="A1405" s="1">
        <v>2773.0</v>
      </c>
      <c r="B1405" s="3">
        <v>155.0</v>
      </c>
      <c r="C1405" s="7" t="s">
        <v>1420</v>
      </c>
      <c r="D1405" s="8" t="str">
        <f>IFERROR(__xludf.DUMMYFUNCTION("GOOGLETRANSLATE(C1405, ""en"", ""pt"")"),"apreender, prender")</f>
        <v>apreender, prender</v>
      </c>
      <c r="E1405" s="8" t="str">
        <f>IFERROR(__xludf.DUMMYFUNCTION("GOOGLETRANSLATE(C1405, ""en"", ""es"")"),"aprehender, arrestar")</f>
        <v>aprehender, arrestar</v>
      </c>
      <c r="F1405" s="8" t="str">
        <f>IFERROR(__xludf.DUMMYFUNCTION("GOOGLETRANSLATE(C1405, ""en"", ""fr"")"),"appréhender, arrêter")</f>
        <v>appréhender, arrêter</v>
      </c>
      <c r="G1405" s="8" t="str">
        <f>IFERROR(__xludf.DUMMYFUNCTION("GOOGLETRANSLATE(C1405, ""en"", ""de"")"),"festnehmen, verhaften")</f>
        <v>festnehmen, verhaften</v>
      </c>
      <c r="H1405" s="8" t="str">
        <f>IFERROR(__xludf.DUMMYFUNCTION("GOOGLETRANSLATE(C1405, ""en"", ""ru"")"),"задержать, арест")</f>
        <v>задержать, арест</v>
      </c>
      <c r="I1405" s="8" t="str">
        <f>IFERROR(__xludf.DUMMYFUNCTION("GOOGLETRANSLATE(C1405, ""en"", ""ar"")"),"القبض، الاعتقال")</f>
        <v>القبض، الاعتقال</v>
      </c>
      <c r="J1405" s="8"/>
      <c r="K1405" s="7" t="str">
        <f>IFERROR(__xludf.DUMMYFUNCTION("CONCAT(REGEXREPLACE(C1405,""[ ,]+"",""_""),"".mp3"")"),"apprehend_arrest.mp3")</f>
        <v>apprehend_arrest.mp3</v>
      </c>
      <c r="M1405" s="4" t="s">
        <v>10</v>
      </c>
    </row>
    <row r="1406" ht="15.75" customHeight="1">
      <c r="A1406" s="1">
        <v>2774.0</v>
      </c>
      <c r="B1406" s="3">
        <v>155.0</v>
      </c>
      <c r="C1406" s="7" t="s">
        <v>1421</v>
      </c>
      <c r="D1406" s="8" t="str">
        <f>IFERROR(__xludf.DUMMYFUNCTION("GOOGLETRANSLATE(C1406, ""en"", ""pt"")"),"informar, avisar")</f>
        <v>informar, avisar</v>
      </c>
      <c r="E1406" s="8" t="str">
        <f>IFERROR(__xludf.DUMMYFUNCTION("GOOGLETRANSLATE(C1406, ""en"", ""es"")"),"informar, notificar")</f>
        <v>informar, notificar</v>
      </c>
      <c r="F1406" s="8" t="str">
        <f>IFERROR(__xludf.DUMMYFUNCTION("GOOGLETRANSLATE(C1406, ""en"", ""fr"")"),"informer, avertir")</f>
        <v>informer, avertir</v>
      </c>
      <c r="G1406" s="8" t="str">
        <f>IFERROR(__xludf.DUMMYFUNCTION("GOOGLETRANSLATE(C1406, ""en"", ""de"")"),"in Kenntnis setzen, informieren")</f>
        <v>in Kenntnis setzen, informieren</v>
      </c>
      <c r="H1406" s="8" t="str">
        <f>IFERROR(__xludf.DUMMYFUNCTION("GOOGLETRANSLATE(C1406, ""en"", ""ru"")"),"информировать, сообщать")</f>
        <v>информировать, сообщать</v>
      </c>
      <c r="I1406" s="8" t="str">
        <f>IFERROR(__xludf.DUMMYFUNCTION("GOOGLETRANSLATE(C1406, ""en"", ""ar"")"),"أبلغ، عرّف")</f>
        <v>أبلغ، عرّف</v>
      </c>
      <c r="J1406" s="8"/>
      <c r="K1406" s="7" t="str">
        <f>IFERROR(__xludf.DUMMYFUNCTION("CONCAT(REGEXREPLACE(C1406,""[ ,]+"",""_""),"".mp3"")"),"apprise_inform.mp3")</f>
        <v>apprise_inform.mp3</v>
      </c>
      <c r="M1406" s="4" t="s">
        <v>10</v>
      </c>
    </row>
    <row r="1407" ht="15.75" customHeight="1">
      <c r="A1407" s="1">
        <v>2775.0</v>
      </c>
      <c r="B1407" s="3">
        <v>155.0</v>
      </c>
      <c r="C1407" s="7" t="s">
        <v>1422</v>
      </c>
      <c r="D1407" s="8" t="str">
        <f>IFERROR(__xludf.DUMMYFUNCTION("GOOGLETRANSLATE(C1407, ""en"", ""pt"")"),"apaziguar, pacificar")</f>
        <v>apaziguar, pacificar</v>
      </c>
      <c r="E1407" s="8" t="str">
        <f>IFERROR(__xludf.DUMMYFUNCTION("GOOGLETRANSLATE(C1407, ""en"", ""es"")"),"apaciguar, pacificar")</f>
        <v>apaciguar, pacificar</v>
      </c>
      <c r="F1407" s="8" t="str">
        <f>IFERROR(__xludf.DUMMYFUNCTION("GOOGLETRANSLATE(C1407, ""en"", ""fr"")"),"apaiser, pacifier")</f>
        <v>apaiser, pacifier</v>
      </c>
      <c r="G1407" s="8" t="str">
        <f>IFERROR(__xludf.DUMMYFUNCTION("GOOGLETRANSLATE(C1407, ""en"", ""de"")"),"beschwichtigen, befrieden")</f>
        <v>beschwichtigen, befrieden</v>
      </c>
      <c r="H1407" s="8" t="str">
        <f>IFERROR(__xludf.DUMMYFUNCTION("GOOGLETRANSLATE(C1407, ""en"", ""ru"")"),"умиротворить, успокоить")</f>
        <v>умиротворить, успокоить</v>
      </c>
      <c r="I1407" s="8" t="str">
        <f>IFERROR(__xludf.DUMMYFUNCTION("GOOGLETRANSLATE(C1407, ""en"", ""ar"")"),"استرضاء، تهدئة")</f>
        <v>استرضاء، تهدئة</v>
      </c>
      <c r="J1407" s="8"/>
      <c r="K1407" s="7" t="str">
        <f>IFERROR(__xludf.DUMMYFUNCTION("CONCAT(REGEXREPLACE(C1407,""[ ,]+"",""_""),"".mp3"")"),"appease_pacify.mp3")</f>
        <v>appease_pacify.mp3</v>
      </c>
      <c r="M1407" s="4" t="s">
        <v>10</v>
      </c>
    </row>
    <row r="1408" ht="15.75" customHeight="1">
      <c r="A1408" s="1">
        <v>2776.0</v>
      </c>
      <c r="B1408" s="3">
        <v>155.0</v>
      </c>
      <c r="C1408" s="7" t="s">
        <v>1423</v>
      </c>
      <c r="D1408" s="8" t="str">
        <f>IFERROR(__xludf.DUMMYFUNCTION("GOOGLETRANSLATE(C1408, ""en"", ""pt"")"),"enganar, ludibriar")</f>
        <v>enganar, ludibriar</v>
      </c>
      <c r="E1408" s="8" t="str">
        <f>IFERROR(__xludf.DUMMYFUNCTION("GOOGLETRANSLATE(C1408, ""en"", ""es"")"),"engañar, estafar")</f>
        <v>engañar, estafar</v>
      </c>
      <c r="F1408" s="8" t="str">
        <f>IFERROR(__xludf.DUMMYFUNCTION("GOOGLETRANSLATE(C1408, ""en"", ""fr"")"),"séduire, tromper")</f>
        <v>séduire, tromper</v>
      </c>
      <c r="G1408" s="8" t="str">
        <f>IFERROR(__xludf.DUMMYFUNCTION("GOOGLETRANSLATE(C1408, ""en"", ""de"")"),"betrügen, betrügen")</f>
        <v>betrügen, betrügen</v>
      </c>
      <c r="H1408" s="8" t="str">
        <f>IFERROR(__xludf.DUMMYFUNCTION("GOOGLETRANSLATE(C1408, ""en"", ""ru"")"),"обманывать, жульничать")</f>
        <v>обманывать, жульничать</v>
      </c>
      <c r="I1408" s="8" t="str">
        <f>IFERROR(__xludf.DUMMYFUNCTION("GOOGLETRANSLATE(C1408, ""en"", ""ar"")"),"يغوي، يخدع")</f>
        <v>يغوي، يخدع</v>
      </c>
      <c r="J1408" s="8"/>
      <c r="K1408" s="7" t="str">
        <f>IFERROR(__xludf.DUMMYFUNCTION("CONCAT(REGEXREPLACE(C1408,""[ ,]+"",""_""),"".mp3"")"),"beguile_cheat.mp3")</f>
        <v>beguile_cheat.mp3</v>
      </c>
      <c r="M1408" s="4" t="s">
        <v>10</v>
      </c>
    </row>
    <row r="1409" ht="15.75" customHeight="1">
      <c r="A1409" s="1">
        <v>2777.0</v>
      </c>
      <c r="B1409" s="3">
        <v>155.0</v>
      </c>
      <c r="C1409" s="7" t="s">
        <v>1424</v>
      </c>
      <c r="D1409" s="8" t="str">
        <f>IFERROR(__xludf.DUMMYFUNCTION("GOOGLETRANSLATE(C1409, ""en"", ""pt"")"),"admoestar, avisar")</f>
        <v>admoestar, avisar</v>
      </c>
      <c r="E1409" s="8" t="str">
        <f>IFERROR(__xludf.DUMMYFUNCTION("GOOGLETRANSLATE(C1409, ""en"", ""es"")"),"amonestar, advertir")</f>
        <v>amonestar, advertir</v>
      </c>
      <c r="F1409" s="8" t="str">
        <f>IFERROR(__xludf.DUMMYFUNCTION("GOOGLETRANSLATE(C1409, ""en"", ""fr"")"),"réprimander, avertir")</f>
        <v>réprimander, avertir</v>
      </c>
      <c r="G1409" s="8" t="str">
        <f>IFERROR(__xludf.DUMMYFUNCTION("GOOGLETRANSLATE(C1409, ""en"", ""de"")"),"ermahnen, warnen")</f>
        <v>ermahnen, warnen</v>
      </c>
      <c r="H1409" s="8" t="str">
        <f>IFERROR(__xludf.DUMMYFUNCTION("GOOGLETRANSLATE(C1409, ""en"", ""ru"")"),"предостерегать, предупреждать")</f>
        <v>предостерегать, предупреждать</v>
      </c>
      <c r="I1409" s="8" t="str">
        <f>IFERROR(__xludf.DUMMYFUNCTION("GOOGLETRANSLATE(C1409, ""en"", ""ar"")"),"نصح، حذر")</f>
        <v>نصح، حذر</v>
      </c>
      <c r="J1409" s="8"/>
      <c r="K1409" s="7" t="str">
        <f>IFERROR(__xludf.DUMMYFUNCTION("CONCAT(REGEXREPLACE(C1409,""[ ,]+"",""_""),"".mp3"")"),"admonish_warn.mp3")</f>
        <v>admonish_warn.mp3</v>
      </c>
      <c r="M1409" s="4" t="s">
        <v>10</v>
      </c>
    </row>
    <row r="1410" ht="15.75" customHeight="1">
      <c r="A1410" s="1">
        <v>2778.0</v>
      </c>
      <c r="B1410" s="3">
        <v>155.0</v>
      </c>
      <c r="C1410" s="7" t="s">
        <v>1425</v>
      </c>
      <c r="D1410" s="8" t="str">
        <f>IFERROR(__xludf.DUMMYFUNCTION("GOOGLETRANSLATE(C1410, ""en"", ""pt"")"),"repreender, censurar")</f>
        <v>repreender, censurar</v>
      </c>
      <c r="E1410" s="8" t="str">
        <f>IFERROR(__xludf.DUMMYFUNCTION("GOOGLETRANSLATE(C1410, ""en"", ""es"")"),"reprender, regañar")</f>
        <v>reprender, regañar</v>
      </c>
      <c r="F1410" s="8" t="str">
        <f>IFERROR(__xludf.DUMMYFUNCTION("GOOGLETRANSLATE(C1410, ""en"", ""fr"")"),"gronder, réprimander")</f>
        <v>gronder, réprimander</v>
      </c>
      <c r="G1410" s="8" t="str">
        <f>IFERROR(__xludf.DUMMYFUNCTION("GOOGLETRANSLATE(C1410, ""en"", ""de"")"),"tadeln, schimpfen")</f>
        <v>tadeln, schimpfen</v>
      </c>
      <c r="H1410" s="8" t="str">
        <f>IFERROR(__xludf.DUMMYFUNCTION("GOOGLETRANSLATE(C1410, ""en"", ""ru"")"),"ругать, ругать")</f>
        <v>ругать, ругать</v>
      </c>
      <c r="I1410" s="8" t="str">
        <f>IFERROR(__xludf.DUMMYFUNCTION("GOOGLETRANSLATE(C1410, ""en"", ""ar"")"),"توبيخ، توبيخ")</f>
        <v>توبيخ، توبيخ</v>
      </c>
      <c r="J1410" s="8"/>
      <c r="K1410" s="7" t="str">
        <f>IFERROR(__xludf.DUMMYFUNCTION("CONCAT(REGEXREPLACE(C1410,""[ ,]+"",""_""),"".mp3"")"),"chide_scold.mp3")</f>
        <v>chide_scold.mp3</v>
      </c>
      <c r="M1410" s="4" t="s">
        <v>10</v>
      </c>
    </row>
    <row r="1411" ht="15.75" customHeight="1">
      <c r="A1411" s="1">
        <v>2779.0</v>
      </c>
      <c r="B1411" s="3">
        <v>155.0</v>
      </c>
      <c r="C1411" s="7" t="s">
        <v>1426</v>
      </c>
      <c r="D1411" s="8" t="str">
        <f>IFERROR(__xludf.DUMMYFUNCTION("GOOGLETRANSLATE(C1411, ""en"", ""pt"")"),"clemência, bondade")</f>
        <v>clemência, bondade</v>
      </c>
      <c r="E1411" s="8" t="str">
        <f>IFERROR(__xludf.DUMMYFUNCTION("GOOGLETRANSLATE(C1411, ""en"", ""es"")"),"clemencia, bondad")</f>
        <v>clemencia, bondad</v>
      </c>
      <c r="F1411" s="8" t="str">
        <f>IFERROR(__xludf.DUMMYFUNCTION("GOOGLETRANSLATE(C1411, ""en"", ""fr"")"),"clémence, bonté")</f>
        <v>clémence, bonté</v>
      </c>
      <c r="G1411" s="8" t="str">
        <f>IFERROR(__xludf.DUMMYFUNCTION("GOOGLETRANSLATE(C1411, ""en"", ""de"")"),"Milde, Güte")</f>
        <v>Milde, Güte</v>
      </c>
      <c r="H1411" s="8" t="str">
        <f>IFERROR(__xludf.DUMMYFUNCTION("GOOGLETRANSLATE(C1411, ""en"", ""ru"")"),"милосердие, доброта")</f>
        <v>милосердие, доброта</v>
      </c>
      <c r="I1411" s="8" t="str">
        <f>IFERROR(__xludf.DUMMYFUNCTION("GOOGLETRANSLATE(C1411, ""en"", ""ar"")"),"الرحمة، اللطف")</f>
        <v>الرحمة، اللطف</v>
      </c>
      <c r="J1411" s="8"/>
      <c r="K1411" s="7" t="str">
        <f>IFERROR(__xludf.DUMMYFUNCTION("CONCAT(REGEXREPLACE(C1411,""[ ,]+"",""_""),"".mp3"")"),"clemency_kindness.mp3")</f>
        <v>clemency_kindness.mp3</v>
      </c>
      <c r="M1411" s="4" t="s">
        <v>10</v>
      </c>
    </row>
    <row r="1412" ht="15.75" customHeight="1">
      <c r="A1412" s="1">
        <v>2780.0</v>
      </c>
      <c r="B1412" s="3">
        <v>155.0</v>
      </c>
      <c r="C1412" s="7" t="s">
        <v>1427</v>
      </c>
      <c r="D1412" s="8" t="str">
        <f>IFERROR(__xludf.DUMMYFUNCTION("GOOGLETRANSLATE(C1412, ""en"", ""pt"")"),"desamparado, privado")</f>
        <v>desamparado, privado</v>
      </c>
      <c r="E1412" s="8" t="str">
        <f>IFERROR(__xludf.DUMMYFUNCTION("GOOGLETRANSLATE(C1412, ""en"", ""es"")"),"despojado, privado")</f>
        <v>despojado, privado</v>
      </c>
      <c r="F1412" s="8" t="str">
        <f>IFERROR(__xludf.DUMMYFUNCTION("GOOGLETRANSLATE(C1412, ""en"", ""fr"")"),"démuni, privé")</f>
        <v>démuni, privé</v>
      </c>
      <c r="G1412" s="8" t="str">
        <f>IFERROR(__xludf.DUMMYFUNCTION("GOOGLETRANSLATE(C1412, ""en"", ""de"")"),"verlassen, beraubt")</f>
        <v>verlassen, beraubt</v>
      </c>
      <c r="H1412" s="8" t="str">
        <f>IFERROR(__xludf.DUMMYFUNCTION("GOOGLETRANSLATE(C1412, ""en"", ""ru"")"),"лишенный, обездоленный")</f>
        <v>лишенный, обездоленный</v>
      </c>
      <c r="I1412" s="8" t="str">
        <f>IFERROR(__xludf.DUMMYFUNCTION("GOOGLETRANSLATE(C1412, ""en"", ""ar"")"),"محروم، مفجوع")</f>
        <v>محروم، مفجوع</v>
      </c>
      <c r="J1412" s="8"/>
      <c r="K1412" s="7" t="str">
        <f>IFERROR(__xludf.DUMMYFUNCTION("CONCAT(REGEXREPLACE(C1412,""[ ,]+"",""_""),"".mp3"")"),"bereft_deprived.mp3")</f>
        <v>bereft_deprived.mp3</v>
      </c>
      <c r="M1412" s="4" t="s">
        <v>10</v>
      </c>
    </row>
    <row r="1413" ht="15.75" customHeight="1">
      <c r="A1413" s="1">
        <v>2781.0</v>
      </c>
      <c r="B1413" s="3">
        <v>155.0</v>
      </c>
      <c r="C1413" s="7" t="s">
        <v>1428</v>
      </c>
      <c r="D1413" s="8" t="str">
        <f>IFERROR(__xludf.DUMMYFUNCTION("GOOGLETRANSLATE(C1413, ""en"", ""pt"")"),"confundir, confundir")</f>
        <v>confundir, confundir</v>
      </c>
      <c r="E1413" s="8" t="str">
        <f>IFERROR(__xludf.DUMMYFUNCTION("GOOGLETRANSLATE(C1413, ""en"", ""es"")"),"confundir, confundir")</f>
        <v>confundir, confundir</v>
      </c>
      <c r="F1413" s="8" t="str">
        <f>IFERROR(__xludf.DUMMYFUNCTION("GOOGLETRANSLATE(C1413, ""en"", ""fr"")"),"confondre, embrouiller")</f>
        <v>confondre, embrouiller</v>
      </c>
      <c r="G1413" s="8" t="str">
        <f>IFERROR(__xludf.DUMMYFUNCTION("GOOGLETRANSLATE(C1413, ""en"", ""de"")"),"verwirren, verwirren")</f>
        <v>verwirren, verwirren</v>
      </c>
      <c r="H1413" s="8" t="str">
        <f>IFERROR(__xludf.DUMMYFUNCTION("GOOGLETRANSLATE(C1413, ""en"", ""ru"")"),"сбить с толку, запутать")</f>
        <v>сбить с толку, запутать</v>
      </c>
      <c r="I1413" s="8" t="str">
        <f>IFERROR(__xludf.DUMMYFUNCTION("GOOGLETRANSLATE(C1413, ""en"", ""ar"")"),"أربك، أربك")</f>
        <v>أربك، أربك</v>
      </c>
      <c r="J1413" s="8"/>
      <c r="K1413" s="7" t="str">
        <f>IFERROR(__xludf.DUMMYFUNCTION("CONCAT(REGEXREPLACE(C1413,""[ ,]+"",""_""),"".mp3"")"),"confound_confuse.mp3")</f>
        <v>confound_confuse.mp3</v>
      </c>
      <c r="M1413" s="4" t="s">
        <v>10</v>
      </c>
    </row>
    <row r="1414" ht="15.75" customHeight="1">
      <c r="A1414" s="1">
        <v>2782.0</v>
      </c>
      <c r="B1414" s="3">
        <v>155.0</v>
      </c>
      <c r="C1414" s="7" t="s">
        <v>1429</v>
      </c>
      <c r="D1414" s="8" t="str">
        <f>IFERROR(__xludf.DUMMYFUNCTION("GOOGLETRANSLATE(C1414, ""en"", ""pt"")"),"castigar, punir")</f>
        <v>castigar, punir</v>
      </c>
      <c r="E1414" s="8" t="str">
        <f>IFERROR(__xludf.DUMMYFUNCTION("GOOGLETRANSLATE(C1414, ""en"", ""es"")"),"reprender, castigar")</f>
        <v>reprender, castigar</v>
      </c>
      <c r="F1414" s="8" t="str">
        <f>IFERROR(__xludf.DUMMYFUNCTION("GOOGLETRANSLATE(C1414, ""en"", ""fr"")"),"châtier, punir")</f>
        <v>châtier, punir</v>
      </c>
      <c r="G1414" s="8" t="str">
        <f>IFERROR(__xludf.DUMMYFUNCTION("GOOGLETRANSLATE(C1414, ""en"", ""de"")"),"züchtigen, bestrafen")</f>
        <v>züchtigen, bestrafen</v>
      </c>
      <c r="H1414" s="8" t="str">
        <f>IFERROR(__xludf.DUMMYFUNCTION("GOOGLETRANSLATE(C1414, ""en"", ""ru"")"),"наказывать, карать")</f>
        <v>наказывать, карать</v>
      </c>
      <c r="I1414" s="8" t="str">
        <f>IFERROR(__xludf.DUMMYFUNCTION("GOOGLETRANSLATE(C1414, ""en"", ""ar"")"),"تأديب، عقاب")</f>
        <v>تأديب، عقاب</v>
      </c>
      <c r="J1414" s="8"/>
      <c r="K1414" s="7" t="str">
        <f>IFERROR(__xludf.DUMMYFUNCTION("CONCAT(REGEXREPLACE(C1414,""[ ,]+"",""_""),"".mp3"")"),"chastise_punish.mp3")</f>
        <v>chastise_punish.mp3</v>
      </c>
      <c r="M1414" s="4" t="s">
        <v>10</v>
      </c>
    </row>
    <row r="1415" ht="15.75" customHeight="1">
      <c r="A1415" s="1">
        <v>2783.0</v>
      </c>
      <c r="B1415" s="3">
        <v>155.0</v>
      </c>
      <c r="C1415" s="7" t="s">
        <v>1430</v>
      </c>
      <c r="D1415" s="8" t="str">
        <f>IFERROR(__xludf.DUMMYFUNCTION("GOOGLETRANSLATE(C1415, ""en"", ""pt"")"),"capitular, render-se")</f>
        <v>capitular, render-se</v>
      </c>
      <c r="E1415" s="8" t="str">
        <f>IFERROR(__xludf.DUMMYFUNCTION("GOOGLETRANSLATE(C1415, ""en"", ""es"")"),"capitular, rendirse")</f>
        <v>capitular, rendirse</v>
      </c>
      <c r="F1415" s="8" t="str">
        <f>IFERROR(__xludf.DUMMYFUNCTION("GOOGLETRANSLATE(C1415, ""en"", ""fr"")"),"capituler, se rendre")</f>
        <v>capituler, se rendre</v>
      </c>
      <c r="G1415" s="8" t="str">
        <f>IFERROR(__xludf.DUMMYFUNCTION("GOOGLETRANSLATE(C1415, ""en"", ""de"")"),"kapitulieren, sich ergeben")</f>
        <v>kapitulieren, sich ergeben</v>
      </c>
      <c r="H1415" s="8" t="str">
        <f>IFERROR(__xludf.DUMMYFUNCTION("GOOGLETRANSLATE(C1415, ""en"", ""ru"")"),"капитулировать, сдаться")</f>
        <v>капитулировать, сдаться</v>
      </c>
      <c r="I1415" s="8" t="str">
        <f>IFERROR(__xludf.DUMMYFUNCTION("GOOGLETRANSLATE(C1415, ""en"", ""ar"")"),"استسلم، انصاع")</f>
        <v>استسلم، انصاع</v>
      </c>
      <c r="J1415" s="8"/>
      <c r="K1415" s="7" t="str">
        <f>IFERROR(__xludf.DUMMYFUNCTION("CONCAT(REGEXREPLACE(C1415,""[ ,]+"",""_""),"".mp3"")"),"capitulate_surrender.mp3")</f>
        <v>capitulate_surrender.mp3</v>
      </c>
      <c r="M1415" s="4" t="s">
        <v>10</v>
      </c>
    </row>
    <row r="1416" ht="15.75" customHeight="1">
      <c r="A1416" s="1">
        <v>2784.0</v>
      </c>
      <c r="B1416" s="3">
        <v>155.0</v>
      </c>
      <c r="C1416" s="7" t="s">
        <v>1431</v>
      </c>
      <c r="D1416" s="8" t="str">
        <f>IFERROR(__xludf.DUMMYFUNCTION("GOOGLETRANSLATE(C1416, ""en"", ""pt"")"),"abatido, desanimado")</f>
        <v>abatido, desanimado</v>
      </c>
      <c r="E1416" s="8" t="str">
        <f>IFERROR(__xludf.DUMMYFUNCTION("GOOGLETRANSLATE(C1416, ""en"", ""es"")"),"abatido, desanimado")</f>
        <v>abatido, desanimado</v>
      </c>
      <c r="F1416" s="8" t="str">
        <f>IFERROR(__xludf.DUMMYFUNCTION("GOOGLETRANSLATE(C1416, ""en"", ""fr"")"),"abattu, découragé")</f>
        <v>abattu, découragé</v>
      </c>
      <c r="G1416" s="8" t="str">
        <f>IFERROR(__xludf.DUMMYFUNCTION("GOOGLETRANSLATE(C1416, ""en"", ""de"")"),"niedergeschlagen, entmutigt")</f>
        <v>niedergeschlagen, entmutigt</v>
      </c>
      <c r="H1416" s="8" t="str">
        <f>IFERROR(__xludf.DUMMYFUNCTION("GOOGLETRANSLATE(C1416, ""en"", ""ru"")"),"удрученный, подавленный")</f>
        <v>удрученный, подавленный</v>
      </c>
      <c r="I1416" s="8" t="str">
        <f>IFERROR(__xludf.DUMMYFUNCTION("GOOGLETRANSLATE(C1416, ""en"", ""ar"")"),"محبط، يائس")</f>
        <v>محبط، يائس</v>
      </c>
      <c r="J1416" s="8"/>
      <c r="K1416" s="7" t="str">
        <f>IFERROR(__xludf.DUMMYFUNCTION("CONCAT(REGEXREPLACE(C1416,""[ ,]+"",""_""),"".mp3"")"),"crestfallen_dejected.mp3")</f>
        <v>crestfallen_dejected.mp3</v>
      </c>
      <c r="M1416" s="4" t="s">
        <v>10</v>
      </c>
    </row>
    <row r="1417" ht="15.75" customHeight="1">
      <c r="A1417" s="1">
        <v>2785.0</v>
      </c>
      <c r="B1417" s="3">
        <v>155.0</v>
      </c>
      <c r="C1417" s="7" t="s">
        <v>1432</v>
      </c>
      <c r="D1417" s="8" t="str">
        <f>IFERROR(__xludf.DUMMYFUNCTION("GOOGLETRANSLATE(C1417, ""en"", ""pt"")"),"tolerar, ignorar")</f>
        <v>tolerar, ignorar</v>
      </c>
      <c r="E1417" s="8" t="str">
        <f>IFERROR(__xludf.DUMMYFUNCTION("GOOGLETRANSLATE(C1417, ""en"", ""es"")"),"condonar, pasar por alto")</f>
        <v>condonar, pasar por alto</v>
      </c>
      <c r="F1417" s="8" t="str">
        <f>IFERROR(__xludf.DUMMYFUNCTION("GOOGLETRANSLATE(C1417, ""en"", ""fr"")"),"tolérer, fermer les yeux")</f>
        <v>tolérer, fermer les yeux</v>
      </c>
      <c r="G1417" s="8" t="str">
        <f>IFERROR(__xludf.DUMMYFUNCTION("GOOGLETRANSLATE(C1417, ""en"", ""de"")"),"dulden, übersehen")</f>
        <v>dulden, übersehen</v>
      </c>
      <c r="H1417" s="8" t="str">
        <f>IFERROR(__xludf.DUMMYFUNCTION("GOOGLETRANSLATE(C1417, ""en"", ""ru"")"),"одобрять, игнорировать")</f>
        <v>одобрять, игнорировать</v>
      </c>
      <c r="I1417" s="8" t="str">
        <f>IFERROR(__xludf.DUMMYFUNCTION("GOOGLETRANSLATE(C1417, ""en"", ""ar"")"),"التغاضي، التغاضي")</f>
        <v>التغاضي، التغاضي</v>
      </c>
      <c r="J1417" s="8"/>
      <c r="K1417" s="7" t="str">
        <f>IFERROR(__xludf.DUMMYFUNCTION("CONCAT(REGEXREPLACE(C1417,""[ ,]+"",""_""),"".mp3"")"),"condone_overlook.mp3")</f>
        <v>condone_overlook.mp3</v>
      </c>
      <c r="M1417" s="4" t="s">
        <v>10</v>
      </c>
    </row>
    <row r="1418" ht="15.75" customHeight="1">
      <c r="A1418" s="1">
        <v>2786.0</v>
      </c>
      <c r="B1418" s="3">
        <v>155.0</v>
      </c>
      <c r="C1418" s="7" t="s">
        <v>1433</v>
      </c>
      <c r="D1418" s="8" t="str">
        <f>IFERROR(__xludf.DUMMYFUNCTION("GOOGLETRANSLATE(C1418, ""en"", ""pt"")"),"imaturo, inexperiente")</f>
        <v>imaturo, inexperiente</v>
      </c>
      <c r="E1418" s="8" t="str">
        <f>IFERROR(__xludf.DUMMYFUNCTION("GOOGLETRANSLATE(C1418, ""en"", ""es"")"),"inmaduro, inexperto")</f>
        <v>inmaduro, inexperto</v>
      </c>
      <c r="F1418" s="8" t="str">
        <f>IFERROR(__xludf.DUMMYFUNCTION("GOOGLETRANSLATE(C1418, ""en"", ""fr"")"),"naïf, inexpérimenté")</f>
        <v>naïf, inexpérimenté</v>
      </c>
      <c r="G1418" s="8" t="str">
        <f>IFERROR(__xludf.DUMMYFUNCTION("GOOGLETRANSLATE(C1418, ""en"", ""de"")"),"unerfahren, unerfahren")</f>
        <v>unerfahren, unerfahren</v>
      </c>
      <c r="H1418" s="8" t="str">
        <f>IFERROR(__xludf.DUMMYFUNCTION("GOOGLETRANSLATE(C1418, ""en"", ""ru"")"),"неопытный, наивный")</f>
        <v>неопытный, наивный</v>
      </c>
      <c r="I1418" s="8" t="str">
        <f>IFERROR(__xludf.DUMMYFUNCTION("GOOGLETRANSLATE(C1418, ""en"", ""ar"")"),"ساذج، عديم الخبرة")</f>
        <v>ساذج، عديم الخبرة</v>
      </c>
      <c r="J1418" s="8"/>
      <c r="K1418" s="7" t="str">
        <f>IFERROR(__xludf.DUMMYFUNCTION("CONCAT(REGEXREPLACE(C1418,""[ ,]+"",""_""),"".mp3"")"),"callow_inexperienced.mp3")</f>
        <v>callow_inexperienced.mp3</v>
      </c>
      <c r="M1418" s="4" t="s">
        <v>10</v>
      </c>
    </row>
    <row r="1419" ht="15.75" customHeight="1">
      <c r="A1419" s="1">
        <v>2787.0</v>
      </c>
      <c r="B1419" s="3">
        <v>155.0</v>
      </c>
      <c r="C1419" s="7" t="s">
        <v>1434</v>
      </c>
      <c r="D1419" s="8" t="str">
        <f>IFERROR(__xludf.DUMMYFUNCTION("GOOGLETRANSLATE(C1419, ""en"", ""pt"")"),"prejudicial, nocivo")</f>
        <v>prejudicial, nocivo</v>
      </c>
      <c r="E1419" s="8" t="str">
        <f>IFERROR(__xludf.DUMMYFUNCTION("GOOGLETRANSLATE(C1419, ""en"", ""es"")"),"nocivo, perjudicial")</f>
        <v>nocivo, perjudicial</v>
      </c>
      <c r="F1419" s="8" t="str">
        <f>IFERROR(__xludf.DUMMYFUNCTION("GOOGLETRANSLATE(C1419, ""en"", ""fr"")"),"délétère, nuisible")</f>
        <v>délétère, nuisible</v>
      </c>
      <c r="G1419" s="8" t="str">
        <f>IFERROR(__xludf.DUMMYFUNCTION("GOOGLETRANSLATE(C1419, ""en"", ""de"")"),"schädlich")</f>
        <v>schädlich</v>
      </c>
      <c r="H1419" s="8" t="str">
        <f>IFERROR(__xludf.DUMMYFUNCTION("GOOGLETRANSLATE(C1419, ""en"", ""ru"")"),"вредный, опасный")</f>
        <v>вредный, опасный</v>
      </c>
      <c r="I1419" s="8" t="str">
        <f>IFERROR(__xludf.DUMMYFUNCTION("GOOGLETRANSLATE(C1419, ""en"", ""ar"")"),"ضار، مؤذٍ")</f>
        <v>ضار، مؤذٍ</v>
      </c>
      <c r="J1419" s="8"/>
      <c r="K1419" s="7" t="str">
        <f>IFERROR(__xludf.DUMMYFUNCTION("CONCAT(REGEXREPLACE(C1419,""[ ,]+"",""_""),"".mp3"")"),"deleterious_harmful.mp3")</f>
        <v>deleterious_harmful.mp3</v>
      </c>
      <c r="M1419" s="4" t="s">
        <v>10</v>
      </c>
    </row>
    <row r="1420" ht="15.75" customHeight="1">
      <c r="A1420" s="1">
        <v>2788.0</v>
      </c>
      <c r="B1420" s="3">
        <v>155.0</v>
      </c>
      <c r="C1420" s="7" t="s">
        <v>1435</v>
      </c>
      <c r="D1420" s="8" t="str">
        <f>IFERROR(__xludf.DUMMYFUNCTION("GOOGLETRANSLATE(C1420, ""en"", ""pt"")"),"elogio, louvor")</f>
        <v>elogio, louvor</v>
      </c>
      <c r="E1420" s="8" t="str">
        <f>IFERROR(__xludf.DUMMYFUNCTION("GOOGLETRANSLATE(C1420, ""en"", ""es"")"),"encomio, alabanza")</f>
        <v>encomio, alabanza</v>
      </c>
      <c r="F1420" s="8" t="str">
        <f>IFERROR(__xludf.DUMMYFUNCTION("GOOGLETRANSLATE(C1420, ""en"", ""fr"")"),"éloge, louange")</f>
        <v>éloge, louange</v>
      </c>
      <c r="G1420" s="8" t="str">
        <f>IFERROR(__xludf.DUMMYFUNCTION("GOOGLETRANSLATE(C1420, ""en"", ""de"")"),"Lobpreisung")</f>
        <v>Lobpreisung</v>
      </c>
      <c r="H1420" s="8" t="str">
        <f>IFERROR(__xludf.DUMMYFUNCTION("GOOGLETRANSLATE(C1420, ""en"", ""ru"")"),"панегирик, похвала")</f>
        <v>панегирик, похвала</v>
      </c>
      <c r="I1420" s="8" t="str">
        <f>IFERROR(__xludf.DUMMYFUNCTION("GOOGLETRANSLATE(C1420, ""en"", ""ar"")"),"مديح، ثناء")</f>
        <v>مديح، ثناء</v>
      </c>
      <c r="J1420" s="8"/>
      <c r="K1420" s="7" t="str">
        <f>IFERROR(__xludf.DUMMYFUNCTION("CONCAT(REGEXREPLACE(C1420,""[ ,]+"",""_""),"".mp3"")"),"encomium_praise.mp3")</f>
        <v>encomium_praise.mp3</v>
      </c>
      <c r="M1420" s="4" t="s">
        <v>10</v>
      </c>
    </row>
    <row r="1421" ht="15.75" customHeight="1">
      <c r="A1421" s="1">
        <v>2789.0</v>
      </c>
      <c r="B1421" s="3">
        <v>155.0</v>
      </c>
      <c r="C1421" s="7" t="s">
        <v>1436</v>
      </c>
      <c r="D1421" s="8" t="str">
        <f>IFERROR(__xludf.DUMMYFUNCTION("GOOGLETRANSLATE(C1421, ""en"", ""pt"")"),"afastados, separados")</f>
        <v>afastados, separados</v>
      </c>
      <c r="E1421" s="8" t="str">
        <f>IFERROR(__xludf.DUMMYFUNCTION("GOOGLETRANSLATE(C1421, ""en"", ""es"")"),"distanciados, separados")</f>
        <v>distanciados, separados</v>
      </c>
      <c r="F1421" s="8" t="str">
        <f>IFERROR(__xludf.DUMMYFUNCTION("GOOGLETRANSLATE(C1421, ""en"", ""fr"")"),"brouillés, séparés")</f>
        <v>brouillés, séparés</v>
      </c>
      <c r="G1421" s="8" t="str">
        <f>IFERROR(__xludf.DUMMYFUNCTION("GOOGLETRANSLATE(C1421, ""en"", ""de"")"),"entfremdet, getrennt")</f>
        <v>entfremdet, getrennt</v>
      </c>
      <c r="H1421" s="8" t="str">
        <f>IFERROR(__xludf.DUMMYFUNCTION("GOOGLETRANSLATE(C1421, ""en"", ""ru"")"),"отчужденные, разлученные")</f>
        <v>отчужденные, разлученные</v>
      </c>
      <c r="I1421" s="8" t="str">
        <f>IFERROR(__xludf.DUMMYFUNCTION("GOOGLETRANSLATE(C1421, ""en"", ""ar"")"),"منفصلان، متباعدان")</f>
        <v>منفصلان، متباعدان</v>
      </c>
      <c r="J1421" s="8"/>
      <c r="K1421" s="7" t="str">
        <f>IFERROR(__xludf.DUMMYFUNCTION("CONCAT(REGEXREPLACE(C1421,""[ ,]+"",""_""),"".mp3"")"),"estranged_separated.mp3")</f>
        <v>estranged_separated.mp3</v>
      </c>
      <c r="M1421" s="4" t="s">
        <v>10</v>
      </c>
    </row>
    <row r="1422" ht="15.75" customHeight="1">
      <c r="A1422" s="1">
        <v>2790.0</v>
      </c>
      <c r="B1422" s="3">
        <v>155.0</v>
      </c>
      <c r="C1422" s="7" t="s">
        <v>1437</v>
      </c>
      <c r="D1422" s="8" t="str">
        <f>IFERROR(__xludf.DUMMYFUNCTION("GOOGLETRANSLATE(C1422, ""en"", ""pt"")"),"emular, imitar")</f>
        <v>emular, imitar</v>
      </c>
      <c r="E1422" s="8" t="str">
        <f>IFERROR(__xludf.DUMMYFUNCTION("GOOGLETRANSLATE(C1422, ""en"", ""es"")"),"emular, imitar")</f>
        <v>emular, imitar</v>
      </c>
      <c r="F1422" s="8" t="str">
        <f>IFERROR(__xludf.DUMMYFUNCTION("GOOGLETRANSLATE(C1422, ""en"", ""fr"")"),"imiter, émuler")</f>
        <v>imiter, émuler</v>
      </c>
      <c r="G1422" s="8" t="str">
        <f>IFERROR(__xludf.DUMMYFUNCTION("GOOGLETRANSLATE(C1422, ""en"", ""de"")"),"nachahmen, imitieren")</f>
        <v>nachahmen, imitieren</v>
      </c>
      <c r="H1422" s="8" t="str">
        <f>IFERROR(__xludf.DUMMYFUNCTION("GOOGLETRANSLATE(C1422, ""en"", ""ru"")"),"подражать, имитировать")</f>
        <v>подражать, имитировать</v>
      </c>
      <c r="I1422" s="8" t="str">
        <f>IFERROR(__xludf.DUMMYFUNCTION("GOOGLETRANSLATE(C1422, ""en"", ""ar"")"),"محاكاة، تقليد")</f>
        <v>محاكاة، تقليد</v>
      </c>
      <c r="J1422" s="8"/>
      <c r="K1422" s="7" t="str">
        <f>IFERROR(__xludf.DUMMYFUNCTION("CONCAT(REGEXREPLACE(C1422,""[ ,]+"",""_""),"".mp3"")"),"emulate_imitate.mp3")</f>
        <v>emulate_imitate.mp3</v>
      </c>
      <c r="M1422" s="4" t="s">
        <v>10</v>
      </c>
    </row>
    <row r="1423" ht="15.75" customHeight="1">
      <c r="A1423" s="1">
        <v>2791.0</v>
      </c>
      <c r="B1423" s="3">
        <v>155.0</v>
      </c>
      <c r="C1423" s="7" t="s">
        <v>1438</v>
      </c>
      <c r="D1423" s="8" t="str">
        <f>IFERROR(__xludf.DUMMYFUNCTION("GOOGLETRANSLATE(C1423, ""en"", ""pt"")"),"efígie, boneco")</f>
        <v>efígie, boneco</v>
      </c>
      <c r="E1423" s="8" t="str">
        <f>IFERROR(__xludf.DUMMYFUNCTION("GOOGLETRANSLATE(C1423, ""en"", ""es"")"),"efigie, maniquí")</f>
        <v>efigie, maniquí</v>
      </c>
      <c r="F1423" s="8" t="str">
        <f>IFERROR(__xludf.DUMMYFUNCTION("GOOGLETRANSLATE(C1423, ""en"", ""fr"")"),"effigie, mannequin")</f>
        <v>effigie, mannequin</v>
      </c>
      <c r="G1423" s="8" t="str">
        <f>IFERROR(__xludf.DUMMYFUNCTION("GOOGLETRANSLATE(C1423, ""en"", ""de"")"),"Attrappe, Dummy")</f>
        <v>Attrappe, Dummy</v>
      </c>
      <c r="H1423" s="8" t="str">
        <f>IFERROR(__xludf.DUMMYFUNCTION("GOOGLETRANSLATE(C1423, ""en"", ""ru"")"),"чучело, манекен")</f>
        <v>чучело, манекен</v>
      </c>
      <c r="I1423" s="8" t="str">
        <f>IFERROR(__xludf.DUMMYFUNCTION("GOOGLETRANSLATE(C1423, ""en"", ""ar"")"),"تمثال، دمية")</f>
        <v>تمثال، دمية</v>
      </c>
      <c r="J1423" s="8"/>
      <c r="K1423" s="7" t="str">
        <f>IFERROR(__xludf.DUMMYFUNCTION("CONCAT(REGEXREPLACE(C1423,""[ ,]+"",""_""),"".mp3"")"),"effigy_dummy.mp3")</f>
        <v>effigy_dummy.mp3</v>
      </c>
      <c r="M1423" s="4" t="s">
        <v>10</v>
      </c>
    </row>
    <row r="1424" ht="15.75" customHeight="1">
      <c r="A1424" s="1">
        <v>2792.0</v>
      </c>
      <c r="B1424" s="3">
        <v>155.0</v>
      </c>
      <c r="C1424" s="7" t="s">
        <v>1439</v>
      </c>
      <c r="D1424" s="8" t="str">
        <f>IFERROR(__xludf.DUMMYFUNCTION("GOOGLETRANSLATE(C1424, ""en"", ""pt"")"),"desvairado, insano")</f>
        <v>desvairado, insano</v>
      </c>
      <c r="E1424" s="8" t="str">
        <f>IFERROR(__xludf.DUMMYFUNCTION("GOOGLETRANSLATE(C1424, ""en"", ""es"")"),"desquiciado, loco")</f>
        <v>desquiciado, loco</v>
      </c>
      <c r="F1424" s="8" t="str">
        <f>IFERROR(__xludf.DUMMYFUNCTION("GOOGLETRANSLATE(C1424, ""en"", ""fr"")"),"dérangé, fou")</f>
        <v>dérangé, fou</v>
      </c>
      <c r="G1424" s="8" t="str">
        <f>IFERROR(__xludf.DUMMYFUNCTION("GOOGLETRANSLATE(C1424, ""en"", ""de"")"),"geisteskrank, wahnsinnig")</f>
        <v>geisteskrank, wahnsinnig</v>
      </c>
      <c r="H1424" s="8" t="str">
        <f>IFERROR(__xludf.DUMMYFUNCTION("GOOGLETRANSLATE(C1424, ""en"", ""ru"")"),"безумный, невменяемый")</f>
        <v>безумный, невменяемый</v>
      </c>
      <c r="I1424" s="8" t="str">
        <f>IFERROR(__xludf.DUMMYFUNCTION("GOOGLETRANSLATE(C1424, ""en"", ""ar"")"),"مختل عقلياً، مجنون")</f>
        <v>مختل عقلياً، مجنون</v>
      </c>
      <c r="J1424" s="8"/>
      <c r="K1424" s="7" t="str">
        <f>IFERROR(__xludf.DUMMYFUNCTION("CONCAT(REGEXREPLACE(C1424,""[ ,]+"",""_""),"".mp3"")"),"deranged_insane.mp3")</f>
        <v>deranged_insane.mp3</v>
      </c>
      <c r="M1424" s="4" t="s">
        <v>10</v>
      </c>
    </row>
    <row r="1425" ht="15.75" customHeight="1">
      <c r="A1425" s="1">
        <v>2793.0</v>
      </c>
      <c r="B1425" s="3">
        <v>155.0</v>
      </c>
      <c r="C1425" s="7" t="s">
        <v>1440</v>
      </c>
      <c r="D1425" s="8" t="str">
        <f>IFERROR(__xludf.DUMMYFUNCTION("GOOGLETRANSLATE(C1425, ""en"", ""pt"")"),"embelezar, decorar")</f>
        <v>embelezar, decorar</v>
      </c>
      <c r="E1425" s="8" t="str">
        <f>IFERROR(__xludf.DUMMYFUNCTION("GOOGLETRANSLATE(C1425, ""en"", ""es"")"),"embellecer, decorar")</f>
        <v>embellecer, decorar</v>
      </c>
      <c r="F1425" s="8" t="str">
        <f>IFERROR(__xludf.DUMMYFUNCTION("GOOGLETRANSLATE(C1425, ""en"", ""fr"")"),"embellir, décorer")</f>
        <v>embellir, décorer</v>
      </c>
      <c r="G1425" s="8" t="str">
        <f>IFERROR(__xludf.DUMMYFUNCTION("GOOGLETRANSLATE(C1425, ""en"", ""de"")"),"verzieren, dekorieren")</f>
        <v>verzieren, dekorieren</v>
      </c>
      <c r="H1425" s="8" t="str">
        <f>IFERROR(__xludf.DUMMYFUNCTION("GOOGLETRANSLATE(C1425, ""en"", ""ru"")"),"украшать, декорировать")</f>
        <v>украшать, декорировать</v>
      </c>
      <c r="I1425" s="8" t="str">
        <f>IFERROR(__xludf.DUMMYFUNCTION("GOOGLETRANSLATE(C1425, ""en"", ""ar"")"),"تزيين، تزيين")</f>
        <v>تزيين، تزيين</v>
      </c>
      <c r="J1425" s="8"/>
      <c r="K1425" s="7" t="str">
        <f>IFERROR(__xludf.DUMMYFUNCTION("CONCAT(REGEXREPLACE(C1425,""[ ,]+"",""_""),"".mp3"")"),"embellish_decorate.mp3")</f>
        <v>embellish_decorate.mp3</v>
      </c>
      <c r="M1425" s="4" t="s">
        <v>10</v>
      </c>
    </row>
    <row r="1426" ht="15.75" customHeight="1">
      <c r="A1426" s="1">
        <v>2794.0</v>
      </c>
      <c r="B1426" s="3">
        <v>155.0</v>
      </c>
      <c r="C1426" s="7" t="s">
        <v>1441</v>
      </c>
      <c r="D1426" s="8" t="str">
        <f>IFERROR(__xludf.DUMMYFUNCTION("GOOGLETRANSLATE(C1426, ""en"", ""pt"")"),"fiat, comando")</f>
        <v>fiat, comando</v>
      </c>
      <c r="E1426" s="8" t="str">
        <f>IFERROR(__xludf.DUMMYFUNCTION("GOOGLETRANSLATE(C1426, ""en"", ""es"")"),"fiat, orden")</f>
        <v>fiat, orden</v>
      </c>
      <c r="F1426" s="8" t="str">
        <f>IFERROR(__xludf.DUMMYFUNCTION("GOOGLETRANSLATE(C1426, ""en"", ""fr"")"),"fiat, commandement")</f>
        <v>fiat, commandement</v>
      </c>
      <c r="G1426" s="8" t="str">
        <f>IFERROR(__xludf.DUMMYFUNCTION("GOOGLETRANSLATE(C1426, ""en"", ""de"")"),"Befehl")</f>
        <v>Befehl</v>
      </c>
      <c r="H1426" s="8" t="str">
        <f>IFERROR(__xludf.DUMMYFUNCTION("GOOGLETRANSLATE(C1426, ""en"", ""ru"")"),"фиат, команда")</f>
        <v>фиат, команда</v>
      </c>
      <c r="I1426" s="8" t="str">
        <f>IFERROR(__xludf.DUMMYFUNCTION("GOOGLETRANSLATE(C1426, ""en"", ""ar"")"),"أمرٌ، أمرٌ")</f>
        <v>أمرٌ، أمرٌ</v>
      </c>
      <c r="J1426" s="8"/>
      <c r="K1426" s="7" t="str">
        <f>IFERROR(__xludf.DUMMYFUNCTION("CONCAT(REGEXREPLACE(C1426,""[ ,]+"",""_""),"".mp3"")"),"fiat_command.mp3")</f>
        <v>fiat_command.mp3</v>
      </c>
      <c r="M1426" s="4" t="s">
        <v>10</v>
      </c>
    </row>
    <row r="1427" ht="15.75" customHeight="1">
      <c r="A1427" s="1">
        <v>2795.0</v>
      </c>
      <c r="B1427" s="3">
        <v>155.0</v>
      </c>
      <c r="C1427" s="7" t="s">
        <v>1442</v>
      </c>
      <c r="D1427" s="8" t="str">
        <f>IFERROR(__xludf.DUMMYFUNCTION("GOOGLETRANSLATE(C1427, ""en"", ""pt"")"),"irregular, intermitente")</f>
        <v>irregular, intermitente</v>
      </c>
      <c r="E1427" s="8" t="str">
        <f>IFERROR(__xludf.DUMMYFUNCTION("GOOGLETRANSLATE(C1427, ""en"", ""es"")"),"intermitente, errático")</f>
        <v>intermitente, errático</v>
      </c>
      <c r="F1427" s="8" t="str">
        <f>IFERROR(__xludf.DUMMYFUNCTION("GOOGLETRANSLATE(C1427, ""en"", ""fr"")"),"intermittent")</f>
        <v>intermittent</v>
      </c>
      <c r="G1427" s="8" t="str">
        <f>IFERROR(__xludf.DUMMYFUNCTION("GOOGLETRANSLATE(C1427, ""en"", ""de"")"),"unregelmäßig, intermittierend")</f>
        <v>unregelmäßig, intermittierend</v>
      </c>
      <c r="H1427" s="8" t="str">
        <f>IFERROR(__xludf.DUMMYFUNCTION("GOOGLETRANSLATE(C1427, ""en"", ""ru"")"),"прерывистый, периодический")</f>
        <v>прерывистый, периодический</v>
      </c>
      <c r="I1427" s="8" t="str">
        <f>IFERROR(__xludf.DUMMYFUNCTION("GOOGLETRANSLATE(C1427, ""en"", ""ar"")"),"متقطع، متقطع")</f>
        <v>متقطع، متقطع</v>
      </c>
      <c r="J1427" s="8"/>
      <c r="K1427" s="7" t="str">
        <f>IFERROR(__xludf.DUMMYFUNCTION("CONCAT(REGEXREPLACE(C1427,""[ ,]+"",""_""),"".mp3"")"),"fitful_intermittent.mp3")</f>
        <v>fitful_intermittent.mp3</v>
      </c>
      <c r="M1427" s="4" t="s">
        <v>10</v>
      </c>
    </row>
    <row r="1428" ht="15.75" customHeight="1">
      <c r="A1428" s="1">
        <v>2796.0</v>
      </c>
      <c r="B1428" s="3">
        <v>155.0</v>
      </c>
      <c r="C1428" s="7" t="s">
        <v>1443</v>
      </c>
      <c r="D1428" s="8" t="str">
        <f>IFERROR(__xludf.DUMMYFUNCTION("GOOGLETRANSLATE(C1428, ""en"", ""pt"")"),"fomentar, instigar")</f>
        <v>fomentar, instigar</v>
      </c>
      <c r="E1428" s="8" t="str">
        <f>IFERROR(__xludf.DUMMYFUNCTION("GOOGLETRANSLATE(C1428, ""en"", ""es"")"),"fomentar, instigar")</f>
        <v>fomentar, instigar</v>
      </c>
      <c r="F1428" s="8" t="str">
        <f>IFERROR(__xludf.DUMMYFUNCTION("GOOGLETRANSLATE(C1428, ""en"", ""fr"")"),"fomenter, inciter")</f>
        <v>fomenter, inciter</v>
      </c>
      <c r="G1428" s="8" t="str">
        <f>IFERROR(__xludf.DUMMYFUNCTION("GOOGLETRANSLATE(C1428, ""en"", ""de"")"),"anstiften, anstiften")</f>
        <v>anstiften, anstiften</v>
      </c>
      <c r="H1428" s="8" t="str">
        <f>IFERROR(__xludf.DUMMYFUNCTION("GOOGLETRANSLATE(C1428, ""en"", ""ru"")"),"разжигать, подстрекать")</f>
        <v>разжигать, подстрекать</v>
      </c>
      <c r="I1428" s="8" t="str">
        <f>IFERROR(__xludf.DUMMYFUNCTION("GOOGLETRANSLATE(C1428, ""en"", ""ar"")"),"إثارة، تحريض")</f>
        <v>إثارة، تحريض</v>
      </c>
      <c r="J1428" s="8"/>
      <c r="K1428" s="7" t="str">
        <f>IFERROR(__xludf.DUMMYFUNCTION("CONCAT(REGEXREPLACE(C1428,""[ ,]+"",""_""),"".mp3"")"),"foment_instigate.mp3")</f>
        <v>foment_instigate.mp3</v>
      </c>
      <c r="M1428" s="4" t="s">
        <v>10</v>
      </c>
    </row>
    <row r="1429" ht="15.75" customHeight="1">
      <c r="A1429" s="1">
        <v>2797.0</v>
      </c>
      <c r="B1429" s="3">
        <v>155.0</v>
      </c>
      <c r="C1429" s="7" t="s">
        <v>1444</v>
      </c>
      <c r="D1429" s="8" t="str">
        <f>IFERROR(__xludf.DUMMYFUNCTION("GOOGLETRANSLATE(C1429, ""en"", ""pt"")"),"talento, habilidade")</f>
        <v>talento, habilidade</v>
      </c>
      <c r="E1429" s="8" t="str">
        <f>IFERROR(__xludf.DUMMYFUNCTION("GOOGLETRANSLATE(C1429, ""en"", ""es"")"),"estilo, talento")</f>
        <v>estilo, talento</v>
      </c>
      <c r="F1429" s="8" t="str">
        <f>IFERROR(__xludf.DUMMYFUNCTION("GOOGLETRANSLATE(C1429, ""en"", ""fr"")"),"flair, talent")</f>
        <v>flair, talent</v>
      </c>
      <c r="G1429" s="8" t="str">
        <f>IFERROR(__xludf.DUMMYFUNCTION("GOOGLETRANSLATE(C1429, ""en"", ""de"")"),"Flair, Talent")</f>
        <v>Flair, Talent</v>
      </c>
      <c r="H1429" s="8" t="str">
        <f>IFERROR(__xludf.DUMMYFUNCTION("GOOGLETRANSLATE(C1429, ""en"", ""ru"")"),"талант, изящество")</f>
        <v>талант, изящество</v>
      </c>
      <c r="I1429" s="8" t="str">
        <f>IFERROR(__xludf.DUMMYFUNCTION("GOOGLETRANSLATE(C1429, ""en"", ""ar"")"),"موهبة، براعة")</f>
        <v>موهبة، براعة</v>
      </c>
      <c r="J1429" s="8"/>
      <c r="K1429" s="7" t="str">
        <f>IFERROR(__xludf.DUMMYFUNCTION("CONCAT(REGEXREPLACE(C1429,""[ ,]+"",""_""),"".mp3"")"),"flair_talent.mp3")</f>
        <v>flair_talent.mp3</v>
      </c>
      <c r="M1429" s="4" t="s">
        <v>10</v>
      </c>
    </row>
    <row r="1430" ht="15.75" customHeight="1">
      <c r="A1430" s="1">
        <v>2798.0</v>
      </c>
      <c r="B1430" s="3">
        <v>155.0</v>
      </c>
      <c r="C1430" s="7" t="s">
        <v>1445</v>
      </c>
      <c r="D1430" s="8" t="str">
        <f>IFERROR(__xludf.DUMMYFUNCTION("GOOGLETRANSLATE(C1430, ""en"", ""pt"")"),"grátis")</f>
        <v>grátis</v>
      </c>
      <c r="E1430" s="8" t="str">
        <f>IFERROR(__xludf.DUMMYFUNCTION("GOOGLETRANSLATE(C1430, ""en"", ""es"")"),"gratis, gratuito")</f>
        <v>gratis, gratuito</v>
      </c>
      <c r="F1430" s="8" t="str">
        <f>IFERROR(__xludf.DUMMYFUNCTION("GOOGLETRANSLATE(C1430, ""en"", ""fr"")"),"gratuit, gratuit")</f>
        <v>gratuit, gratuit</v>
      </c>
      <c r="G1430" s="8" t="str">
        <f>IFERROR(__xludf.DUMMYFUNCTION("GOOGLETRANSLATE(C1430, ""en"", ""de"")"),"gratis, kostenlos")</f>
        <v>gratis, kostenlos</v>
      </c>
      <c r="H1430" s="8" t="str">
        <f>IFERROR(__xludf.DUMMYFUNCTION("GOOGLETRANSLATE(C1430, ""en"", ""ru"")"),"бесплатно, бесплатно")</f>
        <v>бесплатно, бесплатно</v>
      </c>
      <c r="I1430" s="8" t="str">
        <f>IFERROR(__xludf.DUMMYFUNCTION("GOOGLETRANSLATE(C1430, ""en"", ""ar"")"),"مجاني")</f>
        <v>مجاني</v>
      </c>
      <c r="J1430" s="8"/>
      <c r="K1430" s="7" t="str">
        <f>IFERROR(__xludf.DUMMYFUNCTION("CONCAT(REGEXREPLACE(C1430,""[ ,]+"",""_""),"".mp3"")"),"gratis_free.mp3")</f>
        <v>gratis_free.mp3</v>
      </c>
      <c r="M1430" s="4" t="s">
        <v>10</v>
      </c>
    </row>
    <row r="1431" ht="15.75" customHeight="1">
      <c r="A1431" s="1">
        <v>2799.0</v>
      </c>
      <c r="B1431" s="3">
        <v>155.0</v>
      </c>
      <c r="C1431" s="7" t="s">
        <v>1446</v>
      </c>
      <c r="D1431" s="8" t="str">
        <f>IFERROR(__xludf.DUMMYFUNCTION("GOOGLETRANSLATE(C1431, ""en"", ""pt"")"),"pechinchar, barganhar")</f>
        <v>pechinchar, barganhar</v>
      </c>
      <c r="E1431" s="8" t="str">
        <f>IFERROR(__xludf.DUMMYFUNCTION("GOOGLETRANSLATE(C1431, ""en"", ""es"")"),"regatear, negociar")</f>
        <v>regatear, negociar</v>
      </c>
      <c r="F1431" s="8" t="str">
        <f>IFERROR(__xludf.DUMMYFUNCTION("GOOGLETRANSLATE(C1431, ""en"", ""fr"")"),"marchander, négocier")</f>
        <v>marchander, négocier</v>
      </c>
      <c r="G1431" s="8" t="str">
        <f>IFERROR(__xludf.DUMMYFUNCTION("GOOGLETRANSLATE(C1431, ""en"", ""de"")"),"feilschen, verhandeln")</f>
        <v>feilschen, verhandeln</v>
      </c>
      <c r="H1431" s="8" t="str">
        <f>IFERROR(__xludf.DUMMYFUNCTION("GOOGLETRANSLATE(C1431, ""en"", ""ru"")"),"торговаться, торговаться")</f>
        <v>торговаться, торговаться</v>
      </c>
      <c r="I1431" s="8" t="str">
        <f>IFERROR(__xludf.DUMMYFUNCTION("GOOGLETRANSLATE(C1431, ""en"", ""ar"")"),"المساومة، المساومة")</f>
        <v>المساومة، المساومة</v>
      </c>
      <c r="J1431" s="8"/>
      <c r="K1431" s="7" t="str">
        <f>IFERROR(__xludf.DUMMYFUNCTION("CONCAT(REGEXREPLACE(C1431,""[ ,]+"",""_""),"".mp3"")"),"haggle_bargain.mp3")</f>
        <v>haggle_bargain.mp3</v>
      </c>
      <c r="M1431" s="4" t="s">
        <v>10</v>
      </c>
    </row>
    <row r="1432" ht="15.75" customHeight="1">
      <c r="A1432" s="1">
        <v>2800.0</v>
      </c>
      <c r="B1432" s="3">
        <v>155.0</v>
      </c>
      <c r="C1432" s="7" t="s">
        <v>1447</v>
      </c>
      <c r="D1432" s="8" t="str">
        <f>IFERROR(__xludf.DUMMYFUNCTION("GOOGLETRANSLATE(C1432, ""en"", ""pt"")"),"enganar, ludibriar")</f>
        <v>enganar, ludibriar</v>
      </c>
      <c r="E1432" s="8" t="str">
        <f>IFERROR(__xludf.DUMMYFUNCTION("GOOGLETRANSLATE(C1432, ""en"", ""es"")"),"engañar, embaucar")</f>
        <v>engañar, embaucar</v>
      </c>
      <c r="F1432" s="8" t="str">
        <f>IFERROR(__xludf.DUMMYFUNCTION("GOOGLETRANSLATE(C1432, ""en"", ""fr"")"),"duper, tromper")</f>
        <v>duper, tromper</v>
      </c>
      <c r="G1432" s="8" t="str">
        <f>IFERROR(__xludf.DUMMYFUNCTION("GOOGLETRANSLATE(C1432, ""en"", ""de"")"),"betrügen, täuschen")</f>
        <v>betrügen, täuschen</v>
      </c>
      <c r="H1432" s="8" t="str">
        <f>IFERROR(__xludf.DUMMYFUNCTION("GOOGLETRANSLATE(C1432, ""en"", ""ru"")"),"обмануть, ввести в заблуждение")</f>
        <v>обмануть, ввести в заблуждение</v>
      </c>
      <c r="I1432" s="8" t="str">
        <f>IFERROR(__xludf.DUMMYFUNCTION("GOOGLETRANSLATE(C1432, ""en"", ""ar"")"),"خداع، تضليل")</f>
        <v>خداع، تضليل</v>
      </c>
      <c r="J1432" s="8"/>
      <c r="K1432" s="7" t="str">
        <f>IFERROR(__xludf.DUMMYFUNCTION("CONCAT(REGEXREPLACE(C1432,""[ ,]+"",""_""),"".mp3"")"),"hoodwink_deceive.mp3")</f>
        <v>hoodwink_deceive.mp3</v>
      </c>
      <c r="M1432" s="4" t="s">
        <v>10</v>
      </c>
    </row>
    <row r="1433" ht="15.75" customHeight="1">
      <c r="A1433" s="1">
        <v>2801.0</v>
      </c>
      <c r="B1433" s="3">
        <v>155.0</v>
      </c>
      <c r="C1433" s="7" t="s">
        <v>1448</v>
      </c>
      <c r="D1433" s="8" t="str">
        <f>IFERROR(__xludf.DUMMYFUNCTION("GOOGLETRANSLATE(C1433, ""en"", ""pt"")"),"dificultar, impedir")</f>
        <v>dificultar, impedir</v>
      </c>
      <c r="E1433" s="8" t="str">
        <f>IFERROR(__xludf.DUMMYFUNCTION("GOOGLETRANSLATE(C1433, ""en"", ""es"")"),"obstaculizar, impedir")</f>
        <v>obstaculizar, impedir</v>
      </c>
      <c r="F1433" s="8" t="str">
        <f>IFERROR(__xludf.DUMMYFUNCTION("GOOGLETRANSLATE(C1433, ""en"", ""fr"")"),"entraver, gêner")</f>
        <v>entraver, gêner</v>
      </c>
      <c r="G1433" s="8" t="str">
        <f>IFERROR(__xludf.DUMMYFUNCTION("GOOGLETRANSLATE(C1433, ""en"", ""de"")"),"behindern, hemmen")</f>
        <v>behindern, hemmen</v>
      </c>
      <c r="H1433" s="8" t="str">
        <f>IFERROR(__xludf.DUMMYFUNCTION("GOOGLETRANSLATE(C1433, ""en"", ""ru"")"),"препятствовать, мешать")</f>
        <v>препятствовать, мешать</v>
      </c>
      <c r="I1433" s="8" t="str">
        <f>IFERROR(__xludf.DUMMYFUNCTION("GOOGLETRANSLATE(C1433, ""en"", ""ar"")"),"يعيق، يعرقل")</f>
        <v>يعيق، يعرقل</v>
      </c>
      <c r="J1433" s="8"/>
      <c r="K1433" s="7" t="str">
        <f>IFERROR(__xludf.DUMMYFUNCTION("CONCAT(REGEXREPLACE(C1433,""[ ,]+"",""_""),"".mp3"")"),"hamper_impede.mp3")</f>
        <v>hamper_impede.mp3</v>
      </c>
      <c r="M1433" s="4" t="s">
        <v>10</v>
      </c>
    </row>
    <row r="1434" ht="15.75" customHeight="1">
      <c r="A1434" s="1">
        <v>2802.0</v>
      </c>
      <c r="B1434" s="3">
        <v>155.0</v>
      </c>
      <c r="C1434" s="7" t="s">
        <v>1449</v>
      </c>
      <c r="D1434" s="8" t="str">
        <f>IFERROR(__xludf.DUMMYFUNCTION("GOOGLETRANSLATE(C1434, ""en"", ""pt"")"),"queixa")</f>
        <v>queixa</v>
      </c>
      <c r="E1434" s="8" t="str">
        <f>IFERROR(__xludf.DUMMYFUNCTION("GOOGLETRANSLATE(C1434, ""en"", ""es"")"),"urogallo, queja")</f>
        <v>urogallo, queja</v>
      </c>
      <c r="F1434" s="8" t="str">
        <f>IFERROR(__xludf.DUMMYFUNCTION("GOOGLETRANSLATE(C1434, ""en"", ""fr"")"),"grogne, plainte")</f>
        <v>grogne, plainte</v>
      </c>
      <c r="G1434" s="8" t="str">
        <f>IFERROR(__xludf.DUMMYFUNCTION("GOOGLETRANSLATE(C1434, ""en"", ""de"")"),"Moorhuhn, Beschwerde")</f>
        <v>Moorhuhn, Beschwerde</v>
      </c>
      <c r="H1434" s="8" t="str">
        <f>IFERROR(__xludf.DUMMYFUNCTION("GOOGLETRANSLATE(C1434, ""en"", ""ru"")"),"жалоба, ворчание")</f>
        <v>жалоба, ворчание</v>
      </c>
      <c r="I1434" s="8" t="str">
        <f>IFERROR(__xludf.DUMMYFUNCTION("GOOGLETRANSLATE(C1434, ""en"", ""ar"")"),"طائر الطيهوج، شكوى")</f>
        <v>طائر الطيهوج، شكوى</v>
      </c>
      <c r="J1434" s="8"/>
      <c r="K1434" s="7" t="str">
        <f>IFERROR(__xludf.DUMMYFUNCTION("CONCAT(REGEXREPLACE(C1434,""[ ,]+"",""_""),"".mp3"")"),"grouse_complaint.mp3")</f>
        <v>grouse_complaint.mp3</v>
      </c>
      <c r="M1434" s="4" t="s">
        <v>10</v>
      </c>
    </row>
    <row r="1435" ht="15.75" customHeight="1">
      <c r="A1435" s="1">
        <v>2803.0</v>
      </c>
      <c r="B1435" s="3">
        <v>155.0</v>
      </c>
      <c r="C1435" s="7" t="s">
        <v>1450</v>
      </c>
      <c r="D1435" s="8" t="str">
        <f>IFERROR(__xludf.DUMMYFUNCTION("GOOGLETRANSLATE(C1435, ""en"", ""pt"")"),"humano, gentil")</f>
        <v>humano, gentil</v>
      </c>
      <c r="E1435" s="8" t="str">
        <f>IFERROR(__xludf.DUMMYFUNCTION("GOOGLETRANSLATE(C1435, ""en"", ""es"")"),"humano, amable")</f>
        <v>humano, amable</v>
      </c>
      <c r="F1435" s="8" t="str">
        <f>IFERROR(__xludf.DUMMYFUNCTION("GOOGLETRANSLATE(C1435, ""en"", ""fr"")"),"humain, gentil")</f>
        <v>humain, gentil</v>
      </c>
      <c r="G1435" s="8" t="str">
        <f>IFERROR(__xludf.DUMMYFUNCTION("GOOGLETRANSLATE(C1435, ""en"", ""de"")"),"human, freundlich")</f>
        <v>human, freundlich</v>
      </c>
      <c r="H1435" s="8" t="str">
        <f>IFERROR(__xludf.DUMMYFUNCTION("GOOGLETRANSLATE(C1435, ""en"", ""ru"")"),"гуманный, добрый")</f>
        <v>гуманный, добрый</v>
      </c>
      <c r="I1435" s="8" t="str">
        <f>IFERROR(__xludf.DUMMYFUNCTION("GOOGLETRANSLATE(C1435, ""en"", ""ar"")"),"إنساني، لطيف")</f>
        <v>إنساني، لطيف</v>
      </c>
      <c r="J1435" s="8"/>
      <c r="K1435" s="7" t="str">
        <f>IFERROR(__xludf.DUMMYFUNCTION("CONCAT(REGEXREPLACE(C1435,""[ ,]+"",""_""),"".mp3"")"),"humane_kind.mp3")</f>
        <v>humane_kind.mp3</v>
      </c>
      <c r="M1435" s="4" t="s">
        <v>10</v>
      </c>
    </row>
    <row r="1436" ht="15.75" customHeight="1">
      <c r="A1436" s="1">
        <v>2804.0</v>
      </c>
      <c r="B1436" s="3">
        <v>155.0</v>
      </c>
      <c r="C1436" s="7" t="s">
        <v>1451</v>
      </c>
      <c r="D1436" s="8" t="str">
        <f>IFERROR(__xludf.DUMMYFUNCTION("GOOGLETRANSLATE(C1436, ""en"", ""pt"")"),"boato, rumor")</f>
        <v>boato, rumor</v>
      </c>
      <c r="E1436" s="8" t="str">
        <f>IFERROR(__xludf.DUMMYFUNCTION("GOOGLETRANSLATE(C1436, ""en"", ""es"")"),"rumores, habladurías")</f>
        <v>rumores, habladurías</v>
      </c>
      <c r="F1436" s="8" t="str">
        <f>IFERROR(__xludf.DUMMYFUNCTION("GOOGLETRANSLATE(C1436, ""en"", ""fr"")"),"ouï-dire, rumeur")</f>
        <v>ouï-dire, rumeur</v>
      </c>
      <c r="G1436" s="8" t="str">
        <f>IFERROR(__xludf.DUMMYFUNCTION("GOOGLETRANSLATE(C1436, ""en"", ""de"")"),"Hörensagen, Gerücht")</f>
        <v>Hörensagen, Gerücht</v>
      </c>
      <c r="H1436" s="8" t="str">
        <f>IFERROR(__xludf.DUMMYFUNCTION("GOOGLETRANSLATE(C1436, ""en"", ""ru"")"),"слухи, сплетни")</f>
        <v>слухи, сплетни</v>
      </c>
      <c r="I1436" s="8" t="str">
        <f>IFERROR(__xludf.DUMMYFUNCTION("GOOGLETRANSLATE(C1436, ""en"", ""ar"")"),"الإشاعات، الشائعات")</f>
        <v>الإشاعات، الشائعات</v>
      </c>
      <c r="J1436" s="8"/>
      <c r="K1436" s="7" t="str">
        <f>IFERROR(__xludf.DUMMYFUNCTION("CONCAT(REGEXREPLACE(C1436,""[ ,]+"",""_""),"".mp3"")"),"hearsay_rumour.mp3")</f>
        <v>hearsay_rumour.mp3</v>
      </c>
      <c r="M1436" s="4" t="s">
        <v>10</v>
      </c>
    </row>
    <row r="1437" ht="15.75" customHeight="1">
      <c r="A1437" s="1">
        <v>2805.0</v>
      </c>
      <c r="B1437" s="3">
        <v>155.0</v>
      </c>
      <c r="C1437" s="7" t="s">
        <v>1452</v>
      </c>
      <c r="D1437" s="8" t="str">
        <f>IFERROR(__xludf.DUMMYFUNCTION("GOOGLETRANSLATE(C1437, ""en"", ""pt"")"),"indolente, preguiçoso")</f>
        <v>indolente, preguiçoso</v>
      </c>
      <c r="E1437" s="8" t="str">
        <f>IFERROR(__xludf.DUMMYFUNCTION("GOOGLETRANSLATE(C1437, ""en"", ""es"")"),"indolente, perezoso")</f>
        <v>indolente, perezoso</v>
      </c>
      <c r="F1437" s="8" t="str">
        <f>IFERROR(__xludf.DUMMYFUNCTION("GOOGLETRANSLATE(C1437, ""en"", ""fr"")"),"indolent, paresseux")</f>
        <v>indolent, paresseux</v>
      </c>
      <c r="G1437" s="8" t="str">
        <f>IFERROR(__xludf.DUMMYFUNCTION("GOOGLETRANSLATE(C1437, ""en"", ""de"")"),"träge, faul")</f>
        <v>träge, faul</v>
      </c>
      <c r="H1437" s="8" t="str">
        <f>IFERROR(__xludf.DUMMYFUNCTION("GOOGLETRANSLATE(C1437, ""en"", ""ru"")"),"ленивый, бездельник")</f>
        <v>ленивый, бездельник</v>
      </c>
      <c r="I1437" s="8" t="str">
        <f>IFERROR(__xludf.DUMMYFUNCTION("GOOGLETRANSLATE(C1437, ""en"", ""ar"")"),"كسول، متكاسل")</f>
        <v>كسول، متكاسل</v>
      </c>
      <c r="J1437" s="8"/>
      <c r="K1437" s="7" t="str">
        <f>IFERROR(__xludf.DUMMYFUNCTION("CONCAT(REGEXREPLACE(C1437,""[ ,]+"",""_""),"".mp3"")"),"indolent_lazy.mp3")</f>
        <v>indolent_lazy.mp3</v>
      </c>
      <c r="M1437" s="4" t="s">
        <v>10</v>
      </c>
    </row>
    <row r="1438" ht="15.75" customHeight="1">
      <c r="A1438" s="1">
        <v>2806.0</v>
      </c>
      <c r="B1438" s="3">
        <v>155.0</v>
      </c>
      <c r="C1438" s="7" t="s">
        <v>1453</v>
      </c>
      <c r="D1438" s="8" t="str">
        <f>IFERROR(__xludf.DUMMYFUNCTION("GOOGLETRANSLATE(C1438, ""en"", ""pt"")"),"impecável, sem falhas")</f>
        <v>impecável, sem falhas</v>
      </c>
      <c r="E1438" s="8" t="str">
        <f>IFERROR(__xludf.DUMMYFUNCTION("GOOGLETRANSLATE(C1438, ""en"", ""es"")"),"impecable, sin fallos")</f>
        <v>impecable, sin fallos</v>
      </c>
      <c r="F1438" s="8" t="str">
        <f>IFERROR(__xludf.DUMMYFUNCTION("GOOGLETRANSLATE(C1438, ""en"", ""fr"")"),"impeccable, irréprochable")</f>
        <v>impeccable, irréprochable</v>
      </c>
      <c r="G1438" s="8" t="str">
        <f>IFERROR(__xludf.DUMMYFUNCTION("GOOGLETRANSLATE(C1438, ""en"", ""de"")"),"tadellos, makellos")</f>
        <v>tadellos, makellos</v>
      </c>
      <c r="H1438" s="8" t="str">
        <f>IFERROR(__xludf.DUMMYFUNCTION("GOOGLETRANSLATE(C1438, ""en"", ""ru"")"),"безупречный, безукоризненный")</f>
        <v>безупречный, безукоризненный</v>
      </c>
      <c r="I1438" s="8" t="str">
        <f>IFERROR(__xludf.DUMMYFUNCTION("GOOGLETRANSLATE(C1438, ""en"", ""ar"")"),"لا تشوبه شائبة، لا تشوبه شائبة")</f>
        <v>لا تشوبه شائبة، لا تشوبه شائبة</v>
      </c>
      <c r="J1438" s="8"/>
      <c r="K1438" s="7" t="str">
        <f>IFERROR(__xludf.DUMMYFUNCTION("CONCAT(REGEXREPLACE(C1438,""[ ,]+"",""_""),"".mp3"")"),"impeccable_faultless.mp3")</f>
        <v>impeccable_faultless.mp3</v>
      </c>
      <c r="M1438" s="4" t="s">
        <v>10</v>
      </c>
    </row>
    <row r="1439" ht="15.75" customHeight="1">
      <c r="A1439" s="1">
        <v>2807.0</v>
      </c>
      <c r="B1439" s="3">
        <v>155.0</v>
      </c>
      <c r="C1439" s="7" t="s">
        <v>1454</v>
      </c>
      <c r="D1439" s="8" t="str">
        <f>IFERROR(__xludf.DUMMYFUNCTION("GOOGLETRANSLATE(C1439, ""en"", ""pt"")"),"insular, mente fechada")</f>
        <v>insular, mente fechada</v>
      </c>
      <c r="E1439" s="8" t="str">
        <f>IFERROR(__xludf.DUMMYFUNCTION("GOOGLETRANSLATE(C1439, ""en"", ""es"")"),"aislado, de mente estrecha")</f>
        <v>aislado, de mente estrecha</v>
      </c>
      <c r="F1439" s="8" t="str">
        <f>IFERROR(__xludf.DUMMYFUNCTION("GOOGLETRANSLATE(C1439, ""en"", ""fr"")"),"insulaire, étroit d'esprit")</f>
        <v>insulaire, étroit d'esprit</v>
      </c>
      <c r="G1439" s="8" t="str">
        <f>IFERROR(__xludf.DUMMYFUNCTION("GOOGLETRANSLATE(C1439, ""en"", ""de"")"),"engstirnig, verschlossen")</f>
        <v>engstirnig, verschlossen</v>
      </c>
      <c r="H1439" s="8" t="str">
        <f>IFERROR(__xludf.DUMMYFUNCTION("GOOGLETRANSLATE(C1439, ""en"", ""ru"")"),"замкнутый, ограниченный")</f>
        <v>замкнутый, ограниченный</v>
      </c>
      <c r="I1439" s="8" t="str">
        <f>IFERROR(__xludf.DUMMYFUNCTION("GOOGLETRANSLATE(C1439, ""en"", ""ar"")"),"منعزل، ضيق الأفق")</f>
        <v>منعزل، ضيق الأفق</v>
      </c>
      <c r="J1439" s="8"/>
      <c r="K1439" s="7" t="str">
        <f>IFERROR(__xludf.DUMMYFUNCTION("CONCAT(REGEXREPLACE(C1439,""[ ,]+"",""_""),"".mp3"")"),"insular_narrow_minded.mp3")</f>
        <v>insular_narrow_minded.mp3</v>
      </c>
      <c r="M1439" s="4" t="s">
        <v>10</v>
      </c>
    </row>
    <row r="1440" ht="15.75" customHeight="1">
      <c r="A1440" s="1">
        <v>2808.0</v>
      </c>
      <c r="B1440" s="3">
        <v>155.0</v>
      </c>
      <c r="C1440" s="7" t="s">
        <v>1455</v>
      </c>
      <c r="D1440" s="8" t="str">
        <f>IFERROR(__xludf.DUMMYFUNCTION("GOOGLETRANSLATE(C1440, ""en"", ""pt"")"),"inócuo, inofensivo")</f>
        <v>inócuo, inofensivo</v>
      </c>
      <c r="E1440" s="8" t="str">
        <f>IFERROR(__xludf.DUMMYFUNCTION("GOOGLETRANSLATE(C1440, ""en"", ""es"")"),"inocuo, inofensivo")</f>
        <v>inocuo, inofensivo</v>
      </c>
      <c r="F1440" s="8" t="str">
        <f>IFERROR(__xludf.DUMMYFUNCTION("GOOGLETRANSLATE(C1440, ""en"", ""fr"")"),"inoffensif, sans danger")</f>
        <v>inoffensif, sans danger</v>
      </c>
      <c r="G1440" s="8" t="str">
        <f>IFERROR(__xludf.DUMMYFUNCTION("GOOGLETRANSLATE(C1440, ""en"", ""de"")"),"harmlos, unschädlich")</f>
        <v>harmlos, unschädlich</v>
      </c>
      <c r="H1440" s="8" t="str">
        <f>IFERROR(__xludf.DUMMYFUNCTION("GOOGLETRANSLATE(C1440, ""en"", ""ru"")"),"безвредный, безвредный")</f>
        <v>безвредный, безвредный</v>
      </c>
      <c r="I1440" s="8" t="str">
        <f>IFERROR(__xludf.DUMMYFUNCTION("GOOGLETRANSLATE(C1440, ""en"", ""ar"")"),"غير ضار، غير مؤذٍ")</f>
        <v>غير ضار، غير مؤذٍ</v>
      </c>
      <c r="J1440" s="8"/>
      <c r="K1440" s="7" t="str">
        <f>IFERROR(__xludf.DUMMYFUNCTION("CONCAT(REGEXREPLACE(C1440,""[ ,]+"",""_""),"".mp3"")"),"innocuous_harmless.mp3")</f>
        <v>innocuous_harmless.mp3</v>
      </c>
      <c r="M1440" s="4" t="s">
        <v>10</v>
      </c>
    </row>
    <row r="1441" ht="15.75" customHeight="1">
      <c r="A1441" s="1">
        <v>2809.0</v>
      </c>
      <c r="B1441" s="3">
        <v>155.0</v>
      </c>
      <c r="C1441" s="7" t="s">
        <v>1456</v>
      </c>
      <c r="D1441" s="8" t="str">
        <f>IFERROR(__xludf.DUMMYFUNCTION("GOOGLETRANSLATE(C1441, ""en"", ""pt"")"),"desmedido, excessivo")</f>
        <v>desmedido, excessivo</v>
      </c>
      <c r="E1441" s="8" t="str">
        <f>IFERROR(__xludf.DUMMYFUNCTION("GOOGLETRANSLATE(C1441, ""en"", ""es"")"),"desmesurado, excesivo")</f>
        <v>desmesurado, excesivo</v>
      </c>
      <c r="F1441" s="8" t="str">
        <f>IFERROR(__xludf.DUMMYFUNCTION("GOOGLETRANSLATE(C1441, ""en"", ""fr"")"),"démesuré, excessif")</f>
        <v>démesuré, excessif</v>
      </c>
      <c r="G1441" s="8" t="str">
        <f>IFERROR(__xludf.DUMMYFUNCTION("GOOGLETRANSLATE(C1441, ""en"", ""de"")"),"maßlos, übermäßig")</f>
        <v>maßlos, übermäßig</v>
      </c>
      <c r="H1441" s="8" t="str">
        <f>IFERROR(__xludf.DUMMYFUNCTION("GOOGLETRANSLATE(C1441, ""en"", ""ru"")"),"чрезмерный, излишний")</f>
        <v>чрезмерный, излишний</v>
      </c>
      <c r="I1441" s="8" t="str">
        <f>IFERROR(__xludf.DUMMYFUNCTION("GOOGLETRANSLATE(C1441, ""en"", ""ar"")"),"مفرط، مفرط")</f>
        <v>مفرط، مفرط</v>
      </c>
      <c r="J1441" s="8"/>
      <c r="K1441" s="7" t="str">
        <f>IFERROR(__xludf.DUMMYFUNCTION("CONCAT(REGEXREPLACE(C1441,""[ ,]+"",""_""),"".mp3"")"),"inordinate_excessive.mp3")</f>
        <v>inordinate_excessive.mp3</v>
      </c>
      <c r="M1441" s="4" t="s">
        <v>10</v>
      </c>
    </row>
    <row r="1442" ht="15.75" customHeight="1">
      <c r="A1442" s="1">
        <v>2810.0</v>
      </c>
      <c r="B1442" s="3">
        <v>155.0</v>
      </c>
      <c r="C1442" s="7" t="s">
        <v>1457</v>
      </c>
      <c r="D1442" s="8" t="str">
        <f>IFERROR(__xludf.DUMMYFUNCTION("GOOGLETRANSLATE(C1442, ""en"", ""pt"")"),"infinitesimal, muito pequeno")</f>
        <v>infinitesimal, muito pequeno</v>
      </c>
      <c r="E1442" s="8" t="str">
        <f>IFERROR(__xludf.DUMMYFUNCTION("GOOGLETRANSLATE(C1442, ""en"", ""es"")"),"infinitesimal, muy pequeño")</f>
        <v>infinitesimal, muy pequeño</v>
      </c>
      <c r="F1442" s="8" t="str">
        <f>IFERROR(__xludf.DUMMYFUNCTION("GOOGLETRANSLATE(C1442, ""en"", ""fr"")"),"infinitésimal, très petit")</f>
        <v>infinitésimal, très petit</v>
      </c>
      <c r="G1442" s="8" t="str">
        <f>IFERROR(__xludf.DUMMYFUNCTION("GOOGLETRANSLATE(C1442, ""en"", ""de"")"),"infinitesimal, sehr klein")</f>
        <v>infinitesimal, sehr klein</v>
      </c>
      <c r="H1442" s="8" t="str">
        <f>IFERROR(__xludf.DUMMYFUNCTION("GOOGLETRANSLATE(C1442, ""en"", ""ru"")"),"бесконечно малый, очень малый")</f>
        <v>бесконечно малый, очень малый</v>
      </c>
      <c r="I1442" s="8" t="str">
        <f>IFERROR(__xludf.DUMMYFUNCTION("GOOGLETRANSLATE(C1442, ""en"", ""ar"")"),"متناهي الصغر، صغير جداً")</f>
        <v>متناهي الصغر، صغير جداً</v>
      </c>
      <c r="J1442" s="8"/>
      <c r="K1442" s="7" t="str">
        <f>IFERROR(__xludf.DUMMYFUNCTION("CONCAT(REGEXREPLACE(C1442,""[ ,]+"",""_""),"".mp3"")"),"infinitesimal_very_small.mp3")</f>
        <v>infinitesimal_very_small.mp3</v>
      </c>
      <c r="M1442" s="4" t="s">
        <v>10</v>
      </c>
    </row>
    <row r="1443" ht="15.75" customHeight="1">
      <c r="A1443" s="1">
        <v>2811.0</v>
      </c>
      <c r="B1443" s="3">
        <v>155.0</v>
      </c>
      <c r="C1443" s="7" t="s">
        <v>1458</v>
      </c>
      <c r="D1443" s="8" t="str">
        <f>IFERROR(__xludf.DUMMYFUNCTION("GOOGLETRANSLATE(C1443, ""en"", ""pt"")"),"cansado, exausto")</f>
        <v>cansado, exausto</v>
      </c>
      <c r="E1443" s="8" t="str">
        <f>IFERROR(__xludf.DUMMYFUNCTION("GOOGLETRANSLATE(C1443, ""en"", ""es"")"),"hastiado, cansado")</f>
        <v>hastiado, cansado</v>
      </c>
      <c r="F1443" s="8" t="str">
        <f>IFERROR(__xludf.DUMMYFUNCTION("GOOGLETRANSLATE(C1443, ""en"", ""fr"")"),"blasé, fatigué")</f>
        <v>blasé, fatigué</v>
      </c>
      <c r="G1443" s="8" t="str">
        <f>IFERROR(__xludf.DUMMYFUNCTION("GOOGLETRANSLATE(C1443, ""en"", ""de"")"),"abgestumpft, müde")</f>
        <v>abgestumpft, müde</v>
      </c>
      <c r="H1443" s="8" t="str">
        <f>IFERROR(__xludf.DUMMYFUNCTION("GOOGLETRANSLATE(C1443, ""en"", ""ru"")"),"измученный, усталый")</f>
        <v>измученный, усталый</v>
      </c>
      <c r="I1443" s="8" t="str">
        <f>IFERROR(__xludf.DUMMYFUNCTION("GOOGLETRANSLATE(C1443, ""en"", ""ar"")"),"متعب، منهك")</f>
        <v>متعب، منهك</v>
      </c>
      <c r="J1443" s="8"/>
      <c r="K1443" s="7" t="str">
        <f>IFERROR(__xludf.DUMMYFUNCTION("CONCAT(REGEXREPLACE(C1443,""[ ,]+"",""_""),"".mp3"")"),"jaded_tired.mp3")</f>
        <v>jaded_tired.mp3</v>
      </c>
      <c r="M1443" s="4" t="s">
        <v>10</v>
      </c>
    </row>
    <row r="1444" ht="15.75" customHeight="1">
      <c r="A1444" s="1">
        <v>2812.0</v>
      </c>
      <c r="B1444" s="3">
        <v>155.0</v>
      </c>
      <c r="C1444" s="7" t="s">
        <v>1459</v>
      </c>
      <c r="D1444" s="8" t="str">
        <f>IFERROR(__xludf.DUMMYFUNCTION("GOOGLETRANSLATE(C1444, ""en"", ""pt"")"),"anotar, escrever às pressas")</f>
        <v>anotar, escrever às pressas</v>
      </c>
      <c r="E1444" s="8" t="str">
        <f>IFERROR(__xludf.DUMMYFUNCTION("GOOGLETRANSLATE(C1444, ""en"", ""es"")"),"anotar, escribir apresuradamente")</f>
        <v>anotar, escribir apresuradamente</v>
      </c>
      <c r="F1444" s="8" t="str">
        <f>IFERROR(__xludf.DUMMYFUNCTION("GOOGLETRANSLATE(C1444, ""en"", ""fr"")"),"griffonner, écrire à la hâte")</f>
        <v>griffonner, écrire à la hâte</v>
      </c>
      <c r="G1444" s="8" t="str">
        <f>IFERROR(__xludf.DUMMYFUNCTION("GOOGLETRANSLATE(C1444, ""en"", ""de"")"),"notieren, hastig schreiben")</f>
        <v>notieren, hastig schreiben</v>
      </c>
      <c r="H1444" s="8" t="str">
        <f>IFERROR(__xludf.DUMMYFUNCTION("GOOGLETRANSLATE(C1444, ""en"", ""ru"")"),"записывать, писать наспех")</f>
        <v>записывать, писать наспех</v>
      </c>
      <c r="I1444" s="8" t="str">
        <f>IFERROR(__xludf.DUMMYFUNCTION("GOOGLETRANSLATE(C1444, ""en"", ""ar"")"),"دوّن، اكتب على عجل")</f>
        <v>دوّن، اكتب على عجل</v>
      </c>
      <c r="J1444" s="8"/>
      <c r="K1444" s="7" t="str">
        <f>IFERROR(__xludf.DUMMYFUNCTION("CONCAT(REGEXREPLACE(C1444,""[ ,]+"",""_""),"".mp3"")"),"jot_write_hurriedly.mp3")</f>
        <v>jot_write_hurriedly.mp3</v>
      </c>
      <c r="M1444" s="4" t="s">
        <v>10</v>
      </c>
    </row>
    <row r="1445" ht="15.75" customHeight="1">
      <c r="A1445" s="1">
        <v>2813.0</v>
      </c>
      <c r="B1445" s="3">
        <v>155.0</v>
      </c>
      <c r="C1445" s="7" t="s">
        <v>1460</v>
      </c>
      <c r="D1445" s="8" t="str">
        <f>IFERROR(__xludf.DUMMYFUNCTION("GOOGLETRANSLATE(C1445, ""en"", ""pt"")"),"criterioso, sábio")</f>
        <v>criterioso, sábio</v>
      </c>
      <c r="E1445" s="8" t="str">
        <f>IFERROR(__xludf.DUMMYFUNCTION("GOOGLETRANSLATE(C1445, ""en"", ""es"")"),"juicioso, sabio")</f>
        <v>juicioso, sabio</v>
      </c>
      <c r="F1445" s="8" t="str">
        <f>IFERROR(__xludf.DUMMYFUNCTION("GOOGLETRANSLATE(C1445, ""en"", ""fr"")"),"judicieux, sage")</f>
        <v>judicieux, sage</v>
      </c>
      <c r="G1445" s="8" t="str">
        <f>IFERROR(__xludf.DUMMYFUNCTION("GOOGLETRANSLATE(C1445, ""en"", ""de"")"),"umsichtig, weise")</f>
        <v>umsichtig, weise</v>
      </c>
      <c r="H1445" s="8" t="str">
        <f>IFERROR(__xludf.DUMMYFUNCTION("GOOGLETRANSLATE(C1445, ""en"", ""ru"")"),"рассудительный, мудрый")</f>
        <v>рассудительный, мудрый</v>
      </c>
      <c r="I1445" s="8" t="str">
        <f>IFERROR(__xludf.DUMMYFUNCTION("GOOGLETRANSLATE(C1445, ""en"", ""ar"")"),"حكيم، عاقل")</f>
        <v>حكيم، عاقل</v>
      </c>
      <c r="J1445" s="8"/>
      <c r="K1445" s="7" t="str">
        <f>IFERROR(__xludf.DUMMYFUNCTION("CONCAT(REGEXREPLACE(C1445,""[ ,]+"",""_""),"".mp3"")"),"judicious_wise.mp3")</f>
        <v>judicious_wise.mp3</v>
      </c>
      <c r="M1445" s="4" t="s">
        <v>10</v>
      </c>
    </row>
    <row r="1446" ht="15.75" customHeight="1">
      <c r="A1446" s="1">
        <v>2814.0</v>
      </c>
      <c r="B1446" s="3">
        <v>155.0</v>
      </c>
      <c r="C1446" s="7" t="s">
        <v>1461</v>
      </c>
      <c r="D1446" s="8" t="str">
        <f>IFERROR(__xludf.DUMMYFUNCTION("GOOGLETRANSLATE(C1446, ""en"", ""pt"")"),"perigo, risco")</f>
        <v>perigo, risco</v>
      </c>
      <c r="E1446" s="8" t="str">
        <f>IFERROR(__xludf.DUMMYFUNCTION("GOOGLETRANSLATE(C1446, ""en"", ""es"")"),"peligro, riesgo")</f>
        <v>peligro, riesgo</v>
      </c>
      <c r="F1446" s="8" t="str">
        <f>IFERROR(__xludf.DUMMYFUNCTION("GOOGLETRANSLATE(C1446, ""en"", ""fr"")"),"péril, danger")</f>
        <v>péril, danger</v>
      </c>
      <c r="G1446" s="8" t="str">
        <f>IFERROR(__xludf.DUMMYFUNCTION("GOOGLETRANSLATE(C1446, ""en"", ""de"")"),"Gefahr, Bedrohung")</f>
        <v>Gefahr, Bedrohung</v>
      </c>
      <c r="H1446" s="8" t="str">
        <f>IFERROR(__xludf.DUMMYFUNCTION("GOOGLETRANSLATE(C1446, ""en"", ""ru"")"),"опасность, угроза")</f>
        <v>опасность, угроза</v>
      </c>
      <c r="I1446" s="8" t="str">
        <f>IFERROR(__xludf.DUMMYFUNCTION("GOOGLETRANSLATE(C1446, ""en"", ""ar"")"),"خطر، خطر")</f>
        <v>خطر، خطر</v>
      </c>
      <c r="J1446" s="8"/>
      <c r="K1446" s="7" t="str">
        <f>IFERROR(__xludf.DUMMYFUNCTION("CONCAT(REGEXREPLACE(C1446,""[ ,]+"",""_""),"".mp3"")"),"jeopardy_danger.mp3")</f>
        <v>jeopardy_danger.mp3</v>
      </c>
      <c r="M1446" s="4" t="s">
        <v>10</v>
      </c>
    </row>
    <row r="1447" ht="15.75" customHeight="1">
      <c r="A1447" s="1">
        <v>2815.0</v>
      </c>
      <c r="B1447" s="3">
        <v>155.0</v>
      </c>
      <c r="C1447" s="7" t="s">
        <v>1462</v>
      </c>
      <c r="D1447" s="8" t="str">
        <f>IFERROR(__xludf.DUMMYFUNCTION("GOOGLETRANSLATE(C1447, ""en"", ""pt"")"),"chauvinismo, patriotismo cego")</f>
        <v>chauvinismo, patriotismo cego</v>
      </c>
      <c r="E1447" s="8" t="str">
        <f>IFERROR(__xludf.DUMMYFUNCTION("GOOGLETRANSLATE(C1447, ""en"", ""es"")"),"chovinismo, patriotismo ciego")</f>
        <v>chovinismo, patriotismo ciego</v>
      </c>
      <c r="F1447" s="8" t="str">
        <f>IFERROR(__xludf.DUMMYFUNCTION("GOOGLETRANSLATE(C1447, ""en"", ""fr"")"),"chauvinisme, patriotisme aveugle")</f>
        <v>chauvinisme, patriotisme aveugle</v>
      </c>
      <c r="G1447" s="8" t="str">
        <f>IFERROR(__xludf.DUMMYFUNCTION("GOOGLETRANSLATE(C1447, ""en"", ""de"")"),"Chauvinismus, blinder Patriotismus")</f>
        <v>Chauvinismus, blinder Patriotismus</v>
      </c>
      <c r="H1447" s="8" t="str">
        <f>IFERROR(__xludf.DUMMYFUNCTION("GOOGLETRANSLATE(C1447, ""en"", ""ru"")"),"шовинизм, слепой патриотизм")</f>
        <v>шовинизм, слепой патриотизм</v>
      </c>
      <c r="I1447" s="8" t="str">
        <f>IFERROR(__xludf.DUMMYFUNCTION("GOOGLETRANSLATE(C1447, ""en"", ""ar"")"),"التعصب القومي، الوطنية العمياء")</f>
        <v>التعصب القومي، الوطنية العمياء</v>
      </c>
      <c r="J1447" s="8"/>
      <c r="K1447" s="7" t="str">
        <f>IFERROR(__xludf.DUMMYFUNCTION("CONCAT(REGEXREPLACE(C1447,""[ ,]+"",""_""),"".mp3"")"),"jingoism_blind_patriotism.mp3")</f>
        <v>jingoism_blind_patriotism.mp3</v>
      </c>
      <c r="M1447" s="4" t="s">
        <v>10</v>
      </c>
    </row>
    <row r="1448" ht="15.75" customHeight="1">
      <c r="A1448" s="1">
        <v>2816.0</v>
      </c>
      <c r="B1448" s="3">
        <v>155.0</v>
      </c>
      <c r="C1448" s="7" t="s">
        <v>1463</v>
      </c>
      <c r="D1448" s="8" t="str">
        <f>IFERROR(__xludf.DUMMYFUNCTION("GOOGLETRANSLATE(C1448, ""en"", ""pt"")"),"iminente, iminente")</f>
        <v>iminente, iminente</v>
      </c>
      <c r="E1448" s="8" t="str">
        <f>IFERROR(__xludf.DUMMYFUNCTION("GOOGLETRANSLATE(C1448, ""en"", ""es"")"),"inminente, inminente")</f>
        <v>inminente, inminente</v>
      </c>
      <c r="F1448" s="8" t="str">
        <f>IFERROR(__xludf.DUMMYFUNCTION("GOOGLETRANSLATE(C1448, ""en"", ""fr"")"),"imminent, imminent")</f>
        <v>imminent, imminent</v>
      </c>
      <c r="G1448" s="8" t="str">
        <f>IFERROR(__xludf.DUMMYFUNCTION("GOOGLETRANSLATE(C1448, ""en"", ""de"")"),"bevorstehend, unmittelbar bevorstehend")</f>
        <v>bevorstehend, unmittelbar bevorstehend</v>
      </c>
      <c r="H1448" s="8" t="str">
        <f>IFERROR(__xludf.DUMMYFUNCTION("GOOGLETRANSLATE(C1448, ""en"", ""ru"")"),"надвигающийся, неизбежный")</f>
        <v>надвигающийся, неизбежный</v>
      </c>
      <c r="I1448" s="8" t="str">
        <f>IFERROR(__xludf.DUMMYFUNCTION("GOOGLETRANSLATE(C1448, ""en"", ""ar"")"),"وشيك، قريب")</f>
        <v>وشيك، قريب</v>
      </c>
      <c r="J1448" s="8"/>
      <c r="K1448" s="7" t="str">
        <f>IFERROR(__xludf.DUMMYFUNCTION("CONCAT(REGEXREPLACE(C1448,""[ ,]+"",""_""),"".mp3"")"),"impending_imminent.mp3")</f>
        <v>impending_imminent.mp3</v>
      </c>
      <c r="M1448" s="4" t="s">
        <v>10</v>
      </c>
    </row>
    <row r="1449" ht="15.75" customHeight="1">
      <c r="A1449" s="1">
        <v>2817.0</v>
      </c>
      <c r="B1449" s="3">
        <v>155.0</v>
      </c>
      <c r="C1449" s="7" t="s">
        <v>1464</v>
      </c>
      <c r="D1449" s="8" t="str">
        <f>IFERROR(__xludf.DUMMYFUNCTION("GOOGLETRANSLATE(C1449, ""en"", ""pt"")"),"lacônico, breve")</f>
        <v>lacônico, breve</v>
      </c>
      <c r="E1449" s="8" t="str">
        <f>IFERROR(__xludf.DUMMYFUNCTION("GOOGLETRANSLATE(C1449, ""en"", ""es"")"),"lacónico, breve")</f>
        <v>lacónico, breve</v>
      </c>
      <c r="F1449" s="8" t="str">
        <f>IFERROR(__xludf.DUMMYFUNCTION("GOOGLETRANSLATE(C1449, ""en"", ""fr"")"),"laconique, bref")</f>
        <v>laconique, bref</v>
      </c>
      <c r="G1449" s="8" t="str">
        <f>IFERROR(__xludf.DUMMYFUNCTION("GOOGLETRANSLATE(C1449, ""en"", ""de"")"),"lakonisch, kurz")</f>
        <v>lakonisch, kurz</v>
      </c>
      <c r="H1449" s="8" t="str">
        <f>IFERROR(__xludf.DUMMYFUNCTION("GOOGLETRANSLATE(C1449, ""en"", ""ru"")"),"лаконичный, краткий")</f>
        <v>лаконичный, краткий</v>
      </c>
      <c r="I1449" s="8" t="str">
        <f>IFERROR(__xludf.DUMMYFUNCTION("GOOGLETRANSLATE(C1449, ""en"", ""ar"")"),"موجز، مختصر")</f>
        <v>موجز، مختصر</v>
      </c>
      <c r="J1449" s="8"/>
      <c r="K1449" s="7" t="str">
        <f>IFERROR(__xludf.DUMMYFUNCTION("CONCAT(REGEXREPLACE(C1449,""[ ,]+"",""_""),"".mp3"")"),"laconic_brief.mp3")</f>
        <v>laconic_brief.mp3</v>
      </c>
      <c r="M1449" s="4" t="s">
        <v>10</v>
      </c>
    </row>
    <row r="1450" ht="15.75" customHeight="1">
      <c r="A1450" s="1">
        <v>2818.0</v>
      </c>
      <c r="B1450" s="3">
        <v>155.0</v>
      </c>
      <c r="C1450" s="7" t="s">
        <v>1465</v>
      </c>
      <c r="D1450" s="8" t="str">
        <f>IFERROR(__xludf.DUMMYFUNCTION("GOOGLETRANSLATE(C1450, ""en"", ""pt"")"),"detestar, odiar")</f>
        <v>detestar, odiar</v>
      </c>
      <c r="E1450" s="8" t="str">
        <f>IFERROR(__xludf.DUMMYFUNCTION("GOOGLETRANSLATE(C1450, ""en"", ""es"")"),"detestar, odiar")</f>
        <v>detestar, odiar</v>
      </c>
      <c r="F1450" s="8" t="str">
        <f>IFERROR(__xludf.DUMMYFUNCTION("GOOGLETRANSLATE(C1450, ""en"", ""fr"")"),"détester, haïr")</f>
        <v>détester, haïr</v>
      </c>
      <c r="G1450" s="8" t="str">
        <f>IFERROR(__xludf.DUMMYFUNCTION("GOOGLETRANSLATE(C1450, ""en"", ""de"")"),"verabscheuen, hassen")</f>
        <v>verabscheuen, hassen</v>
      </c>
      <c r="H1450" s="8" t="str">
        <f>IFERROR(__xludf.DUMMYFUNCTION("GOOGLETRANSLATE(C1450, ""en"", ""ru"")"),"ненавидеть, презирать")</f>
        <v>ненавидеть, презирать</v>
      </c>
      <c r="I1450" s="8" t="str">
        <f>IFERROR(__xludf.DUMMYFUNCTION("GOOGLETRANSLATE(C1450, ""en"", ""ar"")"),"أكره، أبغض")</f>
        <v>أكره، أبغض</v>
      </c>
      <c r="J1450" s="8"/>
      <c r="K1450" s="7" t="str">
        <f>IFERROR(__xludf.DUMMYFUNCTION("CONCAT(REGEXREPLACE(C1450,""[ ,]+"",""_""),"".mp3"")"),"loathe_hate.mp3")</f>
        <v>loathe_hate.mp3</v>
      </c>
      <c r="M1450" s="4" t="s">
        <v>10</v>
      </c>
    </row>
    <row r="1451" ht="15.75" customHeight="1">
      <c r="A1451" s="1">
        <v>2819.0</v>
      </c>
      <c r="B1451" s="3">
        <v>155.0</v>
      </c>
      <c r="C1451" s="7" t="s">
        <v>1466</v>
      </c>
      <c r="D1451" s="8" t="str">
        <f>IFERROR(__xludf.DUMMYFUNCTION("GOOGLETRANSLATE(C1451, ""en"", ""pt"")"),"taciturno, mal-humorado")</f>
        <v>taciturno, mal-humorado</v>
      </c>
      <c r="E1451" s="8" t="str">
        <f>IFERROR(__xludf.DUMMYFUNCTION("GOOGLETRANSLATE(C1451, ""en"", ""es"")"),"melancólico, hosco")</f>
        <v>melancólico, hosco</v>
      </c>
      <c r="F1451" s="8" t="str">
        <f>IFERROR(__xludf.DUMMYFUNCTION("GOOGLETRANSLATE(C1451, ""en"", ""fr"")"),"morose, maussade")</f>
        <v>morose, maussade</v>
      </c>
      <c r="G1451" s="8" t="str">
        <f>IFERROR(__xludf.DUMMYFUNCTION("GOOGLETRANSLATE(C1451, ""en"", ""de"")"),"mürrisch, griesgrämig")</f>
        <v>mürrisch, griesgrämig</v>
      </c>
      <c r="H1451" s="8" t="str">
        <f>IFERROR(__xludf.DUMMYFUNCTION("GOOGLETRANSLATE(C1451, ""en"", ""ru"")"),"угрюмый, мрачный")</f>
        <v>угрюмый, мрачный</v>
      </c>
      <c r="I1451" s="8" t="str">
        <f>IFERROR(__xludf.DUMMYFUNCTION("GOOGLETRANSLATE(C1451, ""en"", ""ar"")"),"كئيب، عابس")</f>
        <v>كئيب، عابس</v>
      </c>
      <c r="J1451" s="8"/>
      <c r="K1451" s="7" t="str">
        <f>IFERROR(__xludf.DUMMYFUNCTION("CONCAT(REGEXREPLACE(C1451,""[ ,]+"",""_""),"".mp3"")"),"morose_sullen.mp3")</f>
        <v>morose_sullen.mp3</v>
      </c>
      <c r="M1451" s="4" t="s">
        <v>10</v>
      </c>
    </row>
    <row r="1452" ht="15.75" customHeight="1">
      <c r="A1452" s="1">
        <v>2820.0</v>
      </c>
      <c r="B1452" s="3">
        <v>155.0</v>
      </c>
      <c r="C1452" s="7" t="s">
        <v>1467</v>
      </c>
      <c r="D1452" s="8" t="str">
        <f>IFERROR(__xludf.DUMMYFUNCTION("GOOGLETRANSLATE(C1452, ""en"", ""pt"")"),"ameaça, perigo")</f>
        <v>ameaça, perigo</v>
      </c>
      <c r="E1452" s="8" t="str">
        <f>IFERROR(__xludf.DUMMYFUNCTION("GOOGLETRANSLATE(C1452, ""en"", ""es"")"),"amenaza, peligro")</f>
        <v>amenaza, peligro</v>
      </c>
      <c r="F1452" s="8" t="str">
        <f>IFERROR(__xludf.DUMMYFUNCTION("GOOGLETRANSLATE(C1452, ""en"", ""fr"")"),"menace, danger")</f>
        <v>menace, danger</v>
      </c>
      <c r="G1452" s="8" t="str">
        <f>IFERROR(__xludf.DUMMYFUNCTION("GOOGLETRANSLATE(C1452, ""en"", ""de"")"),"Bedrohung, Gefahr")</f>
        <v>Bedrohung, Gefahr</v>
      </c>
      <c r="H1452" s="8" t="str">
        <f>IFERROR(__xludf.DUMMYFUNCTION("GOOGLETRANSLATE(C1452, ""en"", ""ru"")"),"угроза, опасность")</f>
        <v>угроза, опасность</v>
      </c>
      <c r="I1452" s="8" t="str">
        <f>IFERROR(__xludf.DUMMYFUNCTION("GOOGLETRANSLATE(C1452, ""en"", ""ar"")"),"تهديد، خطر")</f>
        <v>تهديد، خطر</v>
      </c>
      <c r="J1452" s="8"/>
      <c r="K1452" s="7" t="str">
        <f>IFERROR(__xludf.DUMMYFUNCTION("CONCAT(REGEXREPLACE(C1452,""[ ,]+"",""_""),"".mp3"")"),"menace_danger.mp3")</f>
        <v>menace_danger.mp3</v>
      </c>
      <c r="M1452" s="4" t="s">
        <v>10</v>
      </c>
    </row>
    <row r="1453" ht="15.75" customHeight="1">
      <c r="A1453" s="1">
        <v>2821.0</v>
      </c>
      <c r="B1453" s="3">
        <v>155.0</v>
      </c>
      <c r="C1453" s="7" t="s">
        <v>1468</v>
      </c>
      <c r="D1453" s="8" t="str">
        <f>IFERROR(__xludf.DUMMYFUNCTION("GOOGLETRANSLATE(C1453, ""en"", ""pt"")"),"míope, mente fechada")</f>
        <v>míope, mente fechada</v>
      </c>
      <c r="E1453" s="8" t="str">
        <f>IFERROR(__xludf.DUMMYFUNCTION("GOOGLETRANSLATE(C1453, ""en"", ""es"")"),"miope, de mente estrecha")</f>
        <v>miope, de mente estrecha</v>
      </c>
      <c r="F1453" s="8" t="str">
        <f>IFERROR(__xludf.DUMMYFUNCTION("GOOGLETRANSLATE(C1453, ""en"", ""fr"")"),"myope, étroit d'esprit")</f>
        <v>myope, étroit d'esprit</v>
      </c>
      <c r="G1453" s="8" t="str">
        <f>IFERROR(__xludf.DUMMYFUNCTION("GOOGLETRANSLATE(C1453, ""en"", ""de"")"),"kurzsichtig, engstirnig")</f>
        <v>kurzsichtig, engstirnig</v>
      </c>
      <c r="H1453" s="8" t="str">
        <f>IFERROR(__xludf.DUMMYFUNCTION("GOOGLETRANSLATE(C1453, ""en"", ""ru"")"),"близорукий, ограниченный")</f>
        <v>близорукий, ограниченный</v>
      </c>
      <c r="I1453" s="8" t="str">
        <f>IFERROR(__xludf.DUMMYFUNCTION("GOOGLETRANSLATE(C1453, ""en"", ""ar"")"),"قصير النظر، ضيق الأفق")</f>
        <v>قصير النظر، ضيق الأفق</v>
      </c>
      <c r="J1453" s="8"/>
      <c r="K1453" s="7" t="str">
        <f>IFERROR(__xludf.DUMMYFUNCTION("CONCAT(REGEXREPLACE(C1453,""[ ,]+"",""_""),"".mp3"")"),"myopic_narrow_minded.mp3")</f>
        <v>myopic_narrow_minded.mp3</v>
      </c>
      <c r="M1453" s="4" t="s">
        <v>10</v>
      </c>
    </row>
    <row r="1454" ht="15.75" customHeight="1">
      <c r="A1454" s="1">
        <v>2822.0</v>
      </c>
      <c r="B1454" s="3">
        <v>155.0</v>
      </c>
      <c r="C1454" s="7" t="s">
        <v>1469</v>
      </c>
      <c r="D1454" s="8" t="str">
        <f>IFERROR(__xludf.DUMMYFUNCTION("GOOGLETRANSLATE(C1454, ""en"", ""pt"")"),"mitigar, diminuir")</f>
        <v>mitigar, diminuir</v>
      </c>
      <c r="E1454" s="8" t="str">
        <f>IFERROR(__xludf.DUMMYFUNCTION("GOOGLETRANSLATE(C1454, ""en"", ""es"")"),"mitigar, disminuir")</f>
        <v>mitigar, disminuir</v>
      </c>
      <c r="F1454" s="8" t="str">
        <f>IFERROR(__xludf.DUMMYFUNCTION("GOOGLETRANSLATE(C1454, ""en"", ""fr"")"),"atténuer, diminuer")</f>
        <v>atténuer, diminuer</v>
      </c>
      <c r="G1454" s="8" t="str">
        <f>IFERROR(__xludf.DUMMYFUNCTION("GOOGLETRANSLATE(C1454, ""en"", ""de"")"),"mildern, verringern")</f>
        <v>mildern, verringern</v>
      </c>
      <c r="H1454" s="8" t="str">
        <f>IFERROR(__xludf.DUMMYFUNCTION("GOOGLETRANSLATE(C1454, ""en"", ""ru"")"),"смягчить, уменьшить")</f>
        <v>смягчить, уменьшить</v>
      </c>
      <c r="I1454" s="8" t="str">
        <f>IFERROR(__xludf.DUMMYFUNCTION("GOOGLETRANSLATE(C1454, ""en"", ""ar"")"),"التخفيف، التقليل")</f>
        <v>التخفيف، التقليل</v>
      </c>
      <c r="J1454" s="8"/>
      <c r="K1454" s="7" t="str">
        <f>IFERROR(__xludf.DUMMYFUNCTION("CONCAT(REGEXREPLACE(C1454,""[ ,]+"",""_""),"".mp3"")"),"mitigate_lessen.mp3")</f>
        <v>mitigate_lessen.mp3</v>
      </c>
      <c r="M1454" s="4" t="s">
        <v>10</v>
      </c>
    </row>
    <row r="1455" ht="15.75" customHeight="1">
      <c r="A1455" s="1">
        <v>2823.0</v>
      </c>
      <c r="B1455" s="3">
        <v>155.0</v>
      </c>
      <c r="C1455" s="7" t="s">
        <v>1470</v>
      </c>
      <c r="D1455" s="8" t="str">
        <f>IFERROR(__xludf.DUMMYFUNCTION("GOOGLETRANSLATE(C1455, ""en"", ""pt"")"),"banal, entediante")</f>
        <v>banal, entediante</v>
      </c>
      <c r="E1455" s="8" t="str">
        <f>IFERROR(__xludf.DUMMYFUNCTION("GOOGLETRANSLATE(C1455, ""en"", ""es"")"),"mundano, aburrido")</f>
        <v>mundano, aburrido</v>
      </c>
      <c r="F1455" s="8" t="str">
        <f>IFERROR(__xludf.DUMMYFUNCTION("GOOGLETRANSLATE(C1455, ""en"", ""fr"")"),"banal, ennuyeux")</f>
        <v>banal, ennuyeux</v>
      </c>
      <c r="G1455" s="8" t="str">
        <f>IFERROR(__xludf.DUMMYFUNCTION("GOOGLETRANSLATE(C1455, ""en"", ""de"")"),"alltäglich, langweilig")</f>
        <v>alltäglich, langweilig</v>
      </c>
      <c r="H1455" s="8" t="str">
        <f>IFERROR(__xludf.DUMMYFUNCTION("GOOGLETRANSLATE(C1455, ""en"", ""ru"")"),"обыденный, скучный")</f>
        <v>обыденный, скучный</v>
      </c>
      <c r="I1455" s="8" t="str">
        <f>IFERROR(__xludf.DUMMYFUNCTION("GOOGLETRANSLATE(C1455, ""en"", ""ar"")"),"عادي، ممل")</f>
        <v>عادي، ممل</v>
      </c>
      <c r="J1455" s="8"/>
      <c r="K1455" s="7" t="str">
        <f>IFERROR(__xludf.DUMMYFUNCTION("CONCAT(REGEXREPLACE(C1455,""[ ,]+"",""_""),"".mp3"")"),"mundane_dull.mp3")</f>
        <v>mundane_dull.mp3</v>
      </c>
      <c r="M1455" s="4" t="s">
        <v>10</v>
      </c>
    </row>
    <row r="1456" ht="15.75" customHeight="1">
      <c r="A1456" s="1">
        <v>2824.0</v>
      </c>
      <c r="B1456" s="3">
        <v>155.0</v>
      </c>
      <c r="C1456" s="7" t="s">
        <v>1471</v>
      </c>
      <c r="D1456" s="8" t="str">
        <f>IFERROR(__xludf.DUMMYFUNCTION("GOOGLETRANSLATE(C1456, ""en"", ""pt"")"),"fibra, coragem")</f>
        <v>fibra, coragem</v>
      </c>
      <c r="E1456" s="8" t="str">
        <f>IFERROR(__xludf.DUMMYFUNCTION("GOOGLETRANSLATE(C1456, ""en"", ""es"")"),"temple, coraje")</f>
        <v>temple, coraje</v>
      </c>
      <c r="F1456" s="8" t="str">
        <f>IFERROR(__xludf.DUMMYFUNCTION("GOOGLETRANSLATE(C1456, ""en"", ""fr"")"),"courage, bravoure")</f>
        <v>courage, bravoure</v>
      </c>
      <c r="G1456" s="8" t="str">
        <f>IFERROR(__xludf.DUMMYFUNCTION("GOOGLETRANSLATE(C1456, ""en"", ""de"")"),"Tapferkeit, Mut")</f>
        <v>Tapferkeit, Mut</v>
      </c>
      <c r="H1456" s="8" t="str">
        <f>IFERROR(__xludf.DUMMYFUNCTION("GOOGLETRANSLATE(C1456, ""en"", ""ru"")"),"стойкость, мужество")</f>
        <v>стойкость, мужество</v>
      </c>
      <c r="I1456" s="8" t="str">
        <f>IFERROR(__xludf.DUMMYFUNCTION("GOOGLETRANSLATE(C1456, ""en"", ""ar"")"),"الشجاعة، الجرأة")</f>
        <v>الشجاعة، الجرأة</v>
      </c>
      <c r="J1456" s="8"/>
      <c r="K1456" s="7" t="str">
        <f>IFERROR(__xludf.DUMMYFUNCTION("CONCAT(REGEXREPLACE(C1456,""[ ,]+"",""_""),"".mp3"")"),"mettle_courage.mp3")</f>
        <v>mettle_courage.mp3</v>
      </c>
      <c r="M1456" s="4" t="s">
        <v>10</v>
      </c>
    </row>
    <row r="1457" ht="15.75" customHeight="1">
      <c r="A1457" s="1">
        <v>2825.0</v>
      </c>
      <c r="B1457" s="3">
        <v>155.0</v>
      </c>
      <c r="C1457" s="7" t="s">
        <v>1472</v>
      </c>
      <c r="D1457" s="8" t="str">
        <f>IFERROR(__xludf.DUMMYFUNCTION("GOOGLETRANSLATE(C1457, ""en"", ""pt"")"),"indiferente, despreocupado")</f>
        <v>indiferente, despreocupado</v>
      </c>
      <c r="E1457" s="8" t="str">
        <f>IFERROR(__xludf.DUMMYFUNCTION("GOOGLETRANSLATE(C1457, ""en"", ""es"")"),"indiferente, despreocupado")</f>
        <v>indiferente, despreocupado</v>
      </c>
      <c r="F1457" s="8" t="str">
        <f>IFERROR(__xludf.DUMMYFUNCTION("GOOGLETRANSLATE(C1457, ""en"", ""fr"")"),"nonchalant, indifférent")</f>
        <v>nonchalant, indifférent</v>
      </c>
      <c r="G1457" s="8" t="str">
        <f>IFERROR(__xludf.DUMMYFUNCTION("GOOGLETRANSLATE(C1457, ""en"", ""de"")"),"gelassen, unbesorgt")</f>
        <v>gelassen, unbesorgt</v>
      </c>
      <c r="H1457" s="8" t="str">
        <f>IFERROR(__xludf.DUMMYFUNCTION("GOOGLETRANSLATE(C1457, ""en"", ""ru"")"),"безразличный, равнодушный")</f>
        <v>безразличный, равнодушный</v>
      </c>
      <c r="I1457" s="8" t="str">
        <f>IFERROR(__xludf.DUMMYFUNCTION("GOOGLETRANSLATE(C1457, ""en"", ""ar"")"),"غير مبالٍ، غير مكترث")</f>
        <v>غير مبالٍ، غير مكترث</v>
      </c>
      <c r="J1457" s="8"/>
      <c r="K1457" s="7" t="str">
        <f>IFERROR(__xludf.DUMMYFUNCTION("CONCAT(REGEXREPLACE(C1457,""[ ,]+"",""_""),"".mp3"")"),"nonchalant_unconcerned.mp3")</f>
        <v>nonchalant_unconcerned.mp3</v>
      </c>
      <c r="M1457" s="4" t="s">
        <v>10</v>
      </c>
    </row>
    <row r="1458" ht="15.75" customHeight="1">
      <c r="A1458" s="1">
        <v>2826.0</v>
      </c>
      <c r="B1458" s="3">
        <v>155.0</v>
      </c>
      <c r="C1458" s="7" t="s">
        <v>1473</v>
      </c>
      <c r="D1458" s="8" t="str">
        <f>IFERROR(__xludf.DUMMYFUNCTION("GOOGLETRANSLATE(C1458, ""en"", ""pt"")"),"narcisismo, amor próprio")</f>
        <v>narcisismo, amor próprio</v>
      </c>
      <c r="E1458" s="8" t="str">
        <f>IFERROR(__xludf.DUMMYFUNCTION("GOOGLETRANSLATE(C1458, ""en"", ""es"")"),"narcisismo, amor propio")</f>
        <v>narcisismo, amor propio</v>
      </c>
      <c r="F1458" s="8" t="str">
        <f>IFERROR(__xludf.DUMMYFUNCTION("GOOGLETRANSLATE(C1458, ""en"", ""fr"")"),"narcissisme, amour de soi")</f>
        <v>narcissisme, amour de soi</v>
      </c>
      <c r="G1458" s="8" t="str">
        <f>IFERROR(__xludf.DUMMYFUNCTION("GOOGLETRANSLATE(C1458, ""en"", ""de"")"),"Narzissmus, Selbstliebe")</f>
        <v>Narzissmus, Selbstliebe</v>
      </c>
      <c r="H1458" s="8" t="str">
        <f>IFERROR(__xludf.DUMMYFUNCTION("GOOGLETRANSLATE(C1458, ""en"", ""ru"")"),"нарциссизм, любовь к себе")</f>
        <v>нарциссизм, любовь к себе</v>
      </c>
      <c r="I1458" s="8" t="str">
        <f>IFERROR(__xludf.DUMMYFUNCTION("GOOGLETRANSLATE(C1458, ""en"", ""ar"")"),"النرجسية، حب الذات")</f>
        <v>النرجسية، حب الذات</v>
      </c>
      <c r="J1458" s="8"/>
      <c r="K1458" s="7" t="str">
        <f>IFERROR(__xludf.DUMMYFUNCTION("CONCAT(REGEXREPLACE(C1458,""[ ,]+"",""_""),"".mp3"")"),"narcissism_self_love.mp3")</f>
        <v>narcissism_self_love.mp3</v>
      </c>
      <c r="M1458" s="4" t="s">
        <v>10</v>
      </c>
    </row>
    <row r="1459" ht="15.75" customHeight="1">
      <c r="A1459" s="1">
        <v>2827.0</v>
      </c>
      <c r="B1459" s="3">
        <v>155.0</v>
      </c>
      <c r="C1459" s="7" t="s">
        <v>1474</v>
      </c>
      <c r="D1459" s="8" t="str">
        <f>IFERROR(__xludf.DUMMYFUNCTION("GOOGLETRANSLATE(C1459, ""en"", ""pt"")"),"nauseante, abominável")</f>
        <v>nauseante, abominável</v>
      </c>
      <c r="E1459" s="8" t="str">
        <f>IFERROR(__xludf.DUMMYFUNCTION("GOOGLETRANSLATE(C1459, ""en"", ""es"")"),"nauseabundo, abominable")</f>
        <v>nauseabundo, abominable</v>
      </c>
      <c r="F1459" s="8" t="str">
        <f>IFERROR(__xludf.DUMMYFUNCTION("GOOGLETRANSLATE(C1459, ""en"", ""fr"")"),"nauséabond, abominable")</f>
        <v>nauséabond, abominable</v>
      </c>
      <c r="G1459" s="8" t="str">
        <f>IFERROR(__xludf.DUMMYFUNCTION("GOOGLETRANSLATE(C1459, ""en"", ""de"")"),"ekelhaft, abscheulich")</f>
        <v>ekelhaft, abscheulich</v>
      </c>
      <c r="H1459" s="8" t="str">
        <f>IFERROR(__xludf.DUMMYFUNCTION("GOOGLETRANSLATE(C1459, ""en"", ""ru"")"),"тошнотворный, отвратительный")</f>
        <v>тошнотворный, отвратительный</v>
      </c>
      <c r="I1459" s="8" t="str">
        <f>IFERROR(__xludf.DUMMYFUNCTION("GOOGLETRANSLATE(C1459, ""en"", ""ar"")"),"مثير للغثيان، بغيض")</f>
        <v>مثير للغثيان، بغيض</v>
      </c>
      <c r="J1459" s="8"/>
      <c r="K1459" s="7" t="str">
        <f>IFERROR(__xludf.DUMMYFUNCTION("CONCAT(REGEXREPLACE(C1459,""[ ,]+"",""_""),"".mp3"")"),"nauseous_abominable.mp3")</f>
        <v>nauseous_abominable.mp3</v>
      </c>
      <c r="M1459" s="4" t="s">
        <v>10</v>
      </c>
    </row>
    <row r="1460" ht="15.75" customHeight="1">
      <c r="A1460" s="1">
        <v>2828.0</v>
      </c>
      <c r="B1460" s="3">
        <v>155.0</v>
      </c>
      <c r="C1460" s="7" t="s">
        <v>1475</v>
      </c>
      <c r="D1460" s="8" t="str">
        <f>IFERROR(__xludf.DUMMYFUNCTION("GOOGLETRANSLATE(C1460, ""en"", ""pt"")"),"meticuloso, cuidadoso")</f>
        <v>meticuloso, cuidadoso</v>
      </c>
      <c r="E1460" s="8" t="str">
        <f>IFERROR(__xludf.DUMMYFUNCTION("GOOGLETRANSLATE(C1460, ""en"", ""es"")"),"meticuloso, cuidadoso")</f>
        <v>meticuloso, cuidadoso</v>
      </c>
      <c r="F1460" s="8" t="str">
        <f>IFERROR(__xludf.DUMMYFUNCTION("GOOGLETRANSLATE(C1460, ""en"", ""fr"")"),"méticuleux, attentif")</f>
        <v>méticuleux, attentif</v>
      </c>
      <c r="G1460" s="8" t="str">
        <f>IFERROR(__xludf.DUMMYFUNCTION("GOOGLETRANSLATE(C1460, ""en"", ""de"")"),"akribisch, sorgfältig")</f>
        <v>akribisch, sorgfältig</v>
      </c>
      <c r="H1460" s="8" t="str">
        <f>IFERROR(__xludf.DUMMYFUNCTION("GOOGLETRANSLATE(C1460, ""en"", ""ru"")"),"скрупулезный, внимательный")</f>
        <v>скрупулезный, внимательный</v>
      </c>
      <c r="I1460" s="8" t="str">
        <f>IFERROR(__xludf.DUMMYFUNCTION("GOOGLETRANSLATE(C1460, ""en"", ""ar"")"),"دقيق، حريص")</f>
        <v>دقيق، حريص</v>
      </c>
      <c r="J1460" s="8"/>
      <c r="K1460" s="7" t="str">
        <f>IFERROR(__xludf.DUMMYFUNCTION("CONCAT(REGEXREPLACE(C1460,""[ ,]+"",""_""),"".mp3"")"),"meticulous_careful.mp3")</f>
        <v>meticulous_careful.mp3</v>
      </c>
      <c r="M1460" s="4" t="s">
        <v>10</v>
      </c>
    </row>
    <row r="1461" ht="15.75" customHeight="1">
      <c r="A1461" s="1">
        <v>2829.0</v>
      </c>
      <c r="B1461" s="3">
        <v>155.0</v>
      </c>
      <c r="C1461" s="7" t="s">
        <v>1476</v>
      </c>
      <c r="D1461" s="8" t="str">
        <f>IFERROR(__xludf.DUMMYFUNCTION("GOOGLETRANSLATE(C1461, ""en"", ""pt"")"),"macabro, horripilante")</f>
        <v>macabro, horripilante</v>
      </c>
      <c r="E1461" s="8" t="str">
        <f>IFERROR(__xludf.DUMMYFUNCTION("GOOGLETRANSLATE(C1461, ""en"", ""es"")"),"macabro, espantoso")</f>
        <v>macabro, espantoso</v>
      </c>
      <c r="F1461" s="8" t="str">
        <f>IFERROR(__xludf.DUMMYFUNCTION("GOOGLETRANSLATE(C1461, ""en"", ""fr"")"),"macabre, horrible")</f>
        <v>macabre, horrible</v>
      </c>
      <c r="G1461" s="8" t="str">
        <f>IFERROR(__xludf.DUMMYFUNCTION("GOOGLETRANSLATE(C1461, ""en"", ""de"")"),"makaber, grausam")</f>
        <v>makaber, grausam</v>
      </c>
      <c r="H1461" s="8" t="str">
        <f>IFERROR(__xludf.DUMMYFUNCTION("GOOGLETRANSLATE(C1461, ""en"", ""ru"")"),"мрачный, ужасный")</f>
        <v>мрачный, ужасный</v>
      </c>
      <c r="I1461" s="8" t="str">
        <f>IFERROR(__xludf.DUMMYFUNCTION("GOOGLETRANSLATE(C1461, ""en"", ""ar"")"),"مروع، بشع")</f>
        <v>مروع، بشع</v>
      </c>
      <c r="J1461" s="8"/>
      <c r="K1461" s="7" t="str">
        <f>IFERROR(__xludf.DUMMYFUNCTION("CONCAT(REGEXREPLACE(C1461,""[ ,]+"",""_""),"".mp3"")"),"macabre_gruesome.mp3")</f>
        <v>macabre_gruesome.mp3</v>
      </c>
      <c r="M1461" s="4" t="s">
        <v>10</v>
      </c>
    </row>
    <row r="1462" ht="15.75" customHeight="1">
      <c r="A1462" s="1">
        <v>2830.0</v>
      </c>
      <c r="B1462" s="3">
        <v>155.0</v>
      </c>
      <c r="C1462" s="7" t="s">
        <v>1477</v>
      </c>
      <c r="D1462" s="8" t="str">
        <f>IFERROR(__xludf.DUMMYFUNCTION("GOOGLETRANSLATE(C1462, ""en"", ""pt"")"),"fingir estar doente, simular doença")</f>
        <v>fingir estar doente, simular doença</v>
      </c>
      <c r="E1462" s="8" t="str">
        <f>IFERROR(__xludf.DUMMYFUNCTION("GOOGLETRANSLATE(C1462, ""en"", ""es"")"),"Simular, fingir estar enfermo")</f>
        <v>Simular, fingir estar enfermo</v>
      </c>
      <c r="F1462" s="8" t="str">
        <f>IFERROR(__xludf.DUMMYFUNCTION("GOOGLETRANSLATE(C1462, ""en"", ""fr"")"),"simuler une maladie, faire semblant d'être malade")</f>
        <v>simuler une maladie, faire semblant d'être malade</v>
      </c>
      <c r="G1462" s="8" t="str">
        <f>IFERROR(__xludf.DUMMYFUNCTION("GOOGLETRANSLATE(C1462, ""en"", ""de"")"),"Simulieren, Krankheit vortäuschen")</f>
        <v>Simulieren, Krankheit vortäuschen</v>
      </c>
      <c r="H1462" s="8" t="str">
        <f>IFERROR(__xludf.DUMMYFUNCTION("GOOGLETRANSLATE(C1462, ""en"", ""ru"")"),"симулянт, притворяться больным")</f>
        <v>симулянт, притворяться больным</v>
      </c>
      <c r="I1462" s="8" t="str">
        <f>IFERROR(__xludf.DUMMYFUNCTION("GOOGLETRANSLATE(C1462, ""en"", ""ar"")"),"التظاهر بالمرض")</f>
        <v>التظاهر بالمرض</v>
      </c>
      <c r="J1462" s="8"/>
      <c r="K1462" s="7" t="str">
        <f>IFERROR(__xludf.DUMMYFUNCTION("CONCAT(REGEXREPLACE(C1462,""[ ,]+"",""_""),"".mp3"")"),"malinger_pretend_to_be_ill.mp3")</f>
        <v>malinger_pretend_to_be_ill.mp3</v>
      </c>
      <c r="M1462" s="4" t="s">
        <v>10</v>
      </c>
    </row>
    <row r="1463" ht="15.75" customHeight="1">
      <c r="A1463" s="1">
        <v>2831.0</v>
      </c>
      <c r="B1463" s="3">
        <v>155.0</v>
      </c>
      <c r="C1463" s="7" t="s">
        <v>1478</v>
      </c>
      <c r="D1463" s="8" t="str">
        <f>IFERROR(__xludf.DUMMYFUNCTION("GOOGLETRANSLATE(C1463, ""en"", ""pt"")"),"modicum, pequena quantidade")</f>
        <v>modicum, pequena quantidade</v>
      </c>
      <c r="E1463" s="8" t="str">
        <f>IFERROR(__xludf.DUMMYFUNCTION("GOOGLETRANSLATE(C1463, ""en"", ""es"")"),"mínimo, pequeña cantidad")</f>
        <v>mínimo, pequeña cantidad</v>
      </c>
      <c r="F1463" s="8" t="str">
        <f>IFERROR(__xludf.DUMMYFUNCTION("GOOGLETRANSLATE(C1463, ""en"", ""fr"")"),"modicum, petite quantité")</f>
        <v>modicum, petite quantité</v>
      </c>
      <c r="G1463" s="8" t="str">
        <f>IFERROR(__xludf.DUMMYFUNCTION("GOOGLETRANSLATE(C1463, ""en"", ""de"")"),"geringfügig, kleine Menge")</f>
        <v>geringfügig, kleine Menge</v>
      </c>
      <c r="H1463" s="8" t="str">
        <f>IFERROR(__xludf.DUMMYFUNCTION("GOOGLETRANSLATE(C1463, ""en"", ""ru"")"),"небольшое количество")</f>
        <v>небольшое количество</v>
      </c>
      <c r="I1463" s="8" t="str">
        <f>IFERROR(__xludf.DUMMYFUNCTION("GOOGLETRANSLATE(C1463, ""en"", ""ar"")"),"كمية صغيرة")</f>
        <v>كمية صغيرة</v>
      </c>
      <c r="J1463" s="8"/>
      <c r="K1463" s="7" t="str">
        <f>IFERROR(__xludf.DUMMYFUNCTION("CONCAT(REGEXREPLACE(C1463,""[ ,]+"",""_""),"".mp3"")"),"modicum_small_amount.mp3")</f>
        <v>modicum_small_amount.mp3</v>
      </c>
      <c r="M1463" s="4" t="s">
        <v>10</v>
      </c>
    </row>
    <row r="1464" ht="15.75" customHeight="1">
      <c r="A1464" s="1">
        <v>2832.0</v>
      </c>
      <c r="B1464" s="3">
        <v>155.0</v>
      </c>
      <c r="C1464" s="7" t="s">
        <v>1479</v>
      </c>
      <c r="D1464" s="8" t="str">
        <f>IFERROR(__xludf.DUMMYFUNCTION("GOOGLETRANSLATE(C1464, ""en"", ""pt"")"),"profano, profanar")</f>
        <v>profano, profanar</v>
      </c>
      <c r="E1464" s="8" t="str">
        <f>IFERROR(__xludf.DUMMYFUNCTION("GOOGLETRANSLATE(C1464, ""en"", ""es"")"),"profano, profanar")</f>
        <v>profano, profanar</v>
      </c>
      <c r="F1464" s="8" t="str">
        <f>IFERROR(__xludf.DUMMYFUNCTION("GOOGLETRANSLATE(C1464, ""en"", ""fr"")"),"profane, profaner")</f>
        <v>profane, profaner</v>
      </c>
      <c r="G1464" s="8" t="str">
        <f>IFERROR(__xludf.DUMMYFUNCTION("GOOGLETRANSLATE(C1464, ""en"", ""de"")"),"profanieren, entweihen")</f>
        <v>profanieren, entweihen</v>
      </c>
      <c r="H1464" s="8" t="str">
        <f>IFERROR(__xludf.DUMMYFUNCTION("GOOGLETRANSLATE(C1464, ""en"", ""ru"")"),"кощунственный, оскверняющий")</f>
        <v>кощунственный, оскверняющий</v>
      </c>
      <c r="I1464" s="8" t="str">
        <f>IFERROR(__xludf.DUMMYFUNCTION("GOOGLETRANSLATE(C1464, ""en"", ""ar"")"),"مُدنِّس، مُدنِّس")</f>
        <v>مُدنِّس، مُدنِّس</v>
      </c>
      <c r="J1464" s="8"/>
      <c r="K1464" s="7" t="str">
        <f>IFERROR(__xludf.DUMMYFUNCTION("CONCAT(REGEXREPLACE(C1464,""[ ,]+"",""_""),"".mp3"")"),"profane_desecrate.mp3")</f>
        <v>profane_desecrate.mp3</v>
      </c>
      <c r="M1464" s="4" t="s">
        <v>10</v>
      </c>
    </row>
    <row r="1465" ht="15.75" customHeight="1">
      <c r="A1465" s="1">
        <v>2833.0</v>
      </c>
      <c r="B1465" s="3">
        <v>155.0</v>
      </c>
      <c r="C1465" s="7" t="s">
        <v>1480</v>
      </c>
      <c r="D1465" s="8" t="str">
        <f>IFERROR(__xludf.DUMMYFUNCTION("GOOGLETRANSLATE(C1465, ""en"", ""pt"")"),"conciso, sucinto")</f>
        <v>conciso, sucinto</v>
      </c>
      <c r="E1465" s="8" t="str">
        <f>IFERROR(__xludf.DUMMYFUNCTION("GOOGLETRANSLATE(C1465, ""en"", ""es"")"),"conciso, breve")</f>
        <v>conciso, breve</v>
      </c>
      <c r="F1465" s="8" t="str">
        <f>IFERROR(__xludf.DUMMYFUNCTION("GOOGLETRANSLATE(C1465, ""en"", ""fr"")"),"concis et percutant")</f>
        <v>concis et percutant</v>
      </c>
      <c r="G1465" s="8" t="str">
        <f>IFERROR(__xludf.DUMMYFUNCTION("GOOGLETRANSLATE(C1465, ""en"", ""de"")"),"prägnant, kurz und bündig")</f>
        <v>prägnant, kurz und bündig</v>
      </c>
      <c r="H1465" s="8" t="str">
        <f>IFERROR(__xludf.DUMMYFUNCTION("GOOGLETRANSLATE(C1465, ""en"", ""ru"")"),"лаконичный, краткий")</f>
        <v>лаконичный, краткий</v>
      </c>
      <c r="I1465" s="8" t="str">
        <f>IFERROR(__xludf.DUMMYFUNCTION("GOOGLETRANSLATE(C1465, ""en"", ""ar"")"),"موجز، مختصر")</f>
        <v>موجز، مختصر</v>
      </c>
      <c r="J1465" s="8"/>
      <c r="K1465" s="7" t="str">
        <f>IFERROR(__xludf.DUMMYFUNCTION("CONCAT(REGEXREPLACE(C1465,""[ ,]+"",""_""),"".mp3"")"),"pithy_concise.mp3")</f>
        <v>pithy_concise.mp3</v>
      </c>
      <c r="M1465" s="4" t="s">
        <v>10</v>
      </c>
    </row>
    <row r="1466" ht="15.75" customHeight="1">
      <c r="A1466" s="1">
        <v>2834.0</v>
      </c>
      <c r="B1466" s="3">
        <v>155.0</v>
      </c>
      <c r="C1466" s="7" t="s">
        <v>1481</v>
      </c>
      <c r="D1466" s="8" t="str">
        <f>IFERROR(__xludf.DUMMYFUNCTION("GOOGLETRANSLATE(C1466, ""en"", ""pt"")"),"pragmático, prático")</f>
        <v>pragmático, prático</v>
      </c>
      <c r="E1466" s="8" t="str">
        <f>IFERROR(__xludf.DUMMYFUNCTION("GOOGLETRANSLATE(C1466, ""en"", ""es"")"),"pragmático, práctico")</f>
        <v>pragmático, práctico</v>
      </c>
      <c r="F1466" s="8" t="str">
        <f>IFERROR(__xludf.DUMMYFUNCTION("GOOGLETRANSLATE(C1466, ""en"", ""fr"")"),"pragmatique, pratique")</f>
        <v>pragmatique, pratique</v>
      </c>
      <c r="G1466" s="8" t="str">
        <f>IFERROR(__xludf.DUMMYFUNCTION("GOOGLETRANSLATE(C1466, ""en"", ""de"")"),"pragmatisch, praktisch")</f>
        <v>pragmatisch, praktisch</v>
      </c>
      <c r="H1466" s="8" t="str">
        <f>IFERROR(__xludf.DUMMYFUNCTION("GOOGLETRANSLATE(C1466, ""en"", ""ru"")"),"прагматичный, практичный")</f>
        <v>прагматичный, практичный</v>
      </c>
      <c r="I1466" s="8" t="str">
        <f>IFERROR(__xludf.DUMMYFUNCTION("GOOGLETRANSLATE(C1466, ""en"", ""ar"")"),"عملي، براغماتي")</f>
        <v>عملي، براغماتي</v>
      </c>
      <c r="J1466" s="8"/>
      <c r="K1466" s="7" t="str">
        <f>IFERROR(__xludf.DUMMYFUNCTION("CONCAT(REGEXREPLACE(C1466,""[ ,]+"",""_""),"".mp3"")"),"pragmatic_practical.mp3")</f>
        <v>pragmatic_practical.mp3</v>
      </c>
      <c r="M1466" s="4" t="s">
        <v>10</v>
      </c>
    </row>
    <row r="1467" ht="15.75" customHeight="1">
      <c r="A1467" s="1">
        <v>2835.0</v>
      </c>
      <c r="B1467" s="3">
        <v>155.0</v>
      </c>
      <c r="C1467" s="7" t="s">
        <v>1482</v>
      </c>
      <c r="D1467" s="8" t="str">
        <f>IFERROR(__xludf.DUMMYFUNCTION("GOOGLETRANSLATE(C1467, ""en"", ""pt"")"),"pernicioso, prejudicial")</f>
        <v>pernicioso, prejudicial</v>
      </c>
      <c r="E1467" s="8" t="str">
        <f>IFERROR(__xludf.DUMMYFUNCTION("GOOGLETRANSLATE(C1467, ""en"", ""es"")"),"pernicioso, dañino")</f>
        <v>pernicioso, dañino</v>
      </c>
      <c r="F1467" s="8" t="str">
        <f>IFERROR(__xludf.DUMMYFUNCTION("GOOGLETRANSLATE(C1467, ""en"", ""fr"")"),"pernicieux, nuisible")</f>
        <v>pernicieux, nuisible</v>
      </c>
      <c r="G1467" s="8" t="str">
        <f>IFERROR(__xludf.DUMMYFUNCTION("GOOGLETRANSLATE(C1467, ""en"", ""de"")"),"schädlich, gesundheitsschädlich")</f>
        <v>schädlich, gesundheitsschädlich</v>
      </c>
      <c r="H1467" s="8" t="str">
        <f>IFERROR(__xludf.DUMMYFUNCTION("GOOGLETRANSLATE(C1467, ""en"", ""ru"")"),"пагубный, вредный")</f>
        <v>пагубный, вредный</v>
      </c>
      <c r="I1467" s="8" t="str">
        <f>IFERROR(__xludf.DUMMYFUNCTION("GOOGLETRANSLATE(C1467, ""en"", ""ar"")"),"ضار، مؤذٍ")</f>
        <v>ضار، مؤذٍ</v>
      </c>
      <c r="J1467" s="8"/>
      <c r="K1467" s="7" t="str">
        <f>IFERROR(__xludf.DUMMYFUNCTION("CONCAT(REGEXREPLACE(C1467,""[ ,]+"",""_""),"".mp3"")"),"pernicious_injurious.mp3")</f>
        <v>pernicious_injurious.mp3</v>
      </c>
      <c r="M1467" s="4" t="s">
        <v>10</v>
      </c>
    </row>
    <row r="1468" ht="15.75" customHeight="1">
      <c r="A1468" s="1">
        <v>2836.0</v>
      </c>
      <c r="B1468" s="3">
        <v>155.0</v>
      </c>
      <c r="C1468" s="7" t="s">
        <v>1483</v>
      </c>
      <c r="D1468" s="8" t="str">
        <f>IFERROR(__xludf.DUMMYFUNCTION("GOOGLETRANSLATE(C1468, ""en"", ""pt"")"),"perverso, teimoso")</f>
        <v>perverso, teimoso</v>
      </c>
      <c r="E1468" s="8" t="str">
        <f>IFERROR(__xludf.DUMMYFUNCTION("GOOGLETRANSLATE(C1468, ""en"", ""es"")"),"perverso, terco")</f>
        <v>perverso, terco</v>
      </c>
      <c r="F1468" s="8" t="str">
        <f>IFERROR(__xludf.DUMMYFUNCTION("GOOGLETRANSLATE(C1468, ""en"", ""fr"")"),"pervers, obstiné")</f>
        <v>pervers, obstiné</v>
      </c>
      <c r="G1468" s="8" t="str">
        <f>IFERROR(__xludf.DUMMYFUNCTION("GOOGLETRANSLATE(C1468, ""en"", ""de"")"),"pervers, stur")</f>
        <v>pervers, stur</v>
      </c>
      <c r="H1468" s="8" t="str">
        <f>IFERROR(__xludf.DUMMYFUNCTION("GOOGLETRANSLATE(C1468, ""en"", ""ru"")"),"извращенный, упрямый")</f>
        <v>извращенный, упрямый</v>
      </c>
      <c r="I1468" s="8" t="str">
        <f>IFERROR(__xludf.DUMMYFUNCTION("GOOGLETRANSLATE(C1468, ""en"", ""ar"")"),"عنيد، منحرف")</f>
        <v>عنيد، منحرف</v>
      </c>
      <c r="J1468" s="8"/>
      <c r="K1468" s="7" t="str">
        <f>IFERROR(__xludf.DUMMYFUNCTION("CONCAT(REGEXREPLACE(C1468,""[ ,]+"",""_""),"".mp3"")"),"perverse_stubborn.mp3")</f>
        <v>perverse_stubborn.mp3</v>
      </c>
      <c r="M1468" s="4" t="s">
        <v>10</v>
      </c>
    </row>
    <row r="1469" ht="15.75" customHeight="1">
      <c r="A1469" s="1">
        <v>2837.0</v>
      </c>
      <c r="B1469" s="3">
        <v>155.0</v>
      </c>
      <c r="C1469" s="7" t="s">
        <v>1484</v>
      </c>
      <c r="D1469" s="8" t="str">
        <f>IFERROR(__xludf.DUMMYFUNCTION("GOOGLETRANSLATE(C1469, ""en"", ""pt"")"),"ponderar, pensar")</f>
        <v>ponderar, pensar</v>
      </c>
      <c r="E1469" s="8" t="str">
        <f>IFERROR(__xludf.DUMMYFUNCTION("GOOGLETRANSLATE(C1469, ""en"", ""es"")"),"reflexiona, piensa")</f>
        <v>reflexiona, piensa</v>
      </c>
      <c r="F1469" s="8" t="str">
        <f>IFERROR(__xludf.DUMMYFUNCTION("GOOGLETRANSLATE(C1469, ""en"", ""fr"")"),"réfléchir, penser")</f>
        <v>réfléchir, penser</v>
      </c>
      <c r="G1469" s="8" t="str">
        <f>IFERROR(__xludf.DUMMYFUNCTION("GOOGLETRANSLATE(C1469, ""en"", ""de"")"),"nachdenken, grübeln")</f>
        <v>nachdenken, grübeln</v>
      </c>
      <c r="H1469" s="8" t="str">
        <f>IFERROR(__xludf.DUMMYFUNCTION("GOOGLETRANSLATE(C1469, ""en"", ""ru"")"),"размышлять, думать")</f>
        <v>размышлять, думать</v>
      </c>
      <c r="I1469" s="8" t="str">
        <f>IFERROR(__xludf.DUMMYFUNCTION("GOOGLETRANSLATE(C1469, ""en"", ""ar"")"),"تأمل، فكر")</f>
        <v>تأمل، فكر</v>
      </c>
      <c r="J1469" s="8"/>
      <c r="K1469" s="7" t="str">
        <f>IFERROR(__xludf.DUMMYFUNCTION("CONCAT(REGEXREPLACE(C1469,""[ ,]+"",""_""),"".mp3"")"),"ponder_think.mp3")</f>
        <v>ponder_think.mp3</v>
      </c>
      <c r="M1469" s="4" t="s">
        <v>10</v>
      </c>
    </row>
    <row r="1470" ht="15.75" customHeight="1">
      <c r="A1470" s="1">
        <v>2838.0</v>
      </c>
      <c r="B1470" s="3">
        <v>155.0</v>
      </c>
      <c r="C1470" s="7" t="s">
        <v>1485</v>
      </c>
      <c r="D1470" s="8" t="str">
        <f>IFERROR(__xludf.DUMMYFUNCTION("GOOGLETRANSLATE(C1470, ""en"", ""pt"")"),"escassez")</f>
        <v>escassez</v>
      </c>
      <c r="E1470" s="8" t="str">
        <f>IFERROR(__xludf.DUMMYFUNCTION("GOOGLETRANSLATE(C1470, ""en"", ""es"")"),"escasez, falta")</f>
        <v>escasez, falta</v>
      </c>
      <c r="F1470" s="8" t="str">
        <f>IFERROR(__xludf.DUMMYFUNCTION("GOOGLETRANSLATE(C1470, ""en"", ""fr"")"),"rareté, pénurie")</f>
        <v>rareté, pénurie</v>
      </c>
      <c r="G1470" s="8" t="str">
        <f>IFERROR(__xludf.DUMMYFUNCTION("GOOGLETRANSLATE(C1470, ""en"", ""de"")"),"Mangel, Knappheit")</f>
        <v>Mangel, Knappheit</v>
      </c>
      <c r="H1470" s="8" t="str">
        <f>IFERROR(__xludf.DUMMYFUNCTION("GOOGLETRANSLATE(C1470, ""en"", ""ru"")"),"нехватка, дефицит")</f>
        <v>нехватка, дефицит</v>
      </c>
      <c r="I1470" s="8" t="str">
        <f>IFERROR(__xludf.DUMMYFUNCTION("GOOGLETRANSLATE(C1470, ""en"", ""ar"")"),"ندرة، شح")</f>
        <v>ندرة، شح</v>
      </c>
      <c r="J1470" s="8"/>
      <c r="K1470" s="7" t="str">
        <f>IFERROR(__xludf.DUMMYFUNCTION("CONCAT(REGEXREPLACE(C1470,""[ ,]+"",""_""),"".mp3"")"),"paucity_scarcity.mp3")</f>
        <v>paucity_scarcity.mp3</v>
      </c>
      <c r="M1470" s="4" t="s">
        <v>10</v>
      </c>
    </row>
    <row r="1471" ht="15.75" customHeight="1">
      <c r="A1471" s="1">
        <v>2839.0</v>
      </c>
      <c r="B1471" s="3">
        <v>155.0</v>
      </c>
      <c r="C1471" s="7" t="s">
        <v>1486</v>
      </c>
      <c r="D1471" s="8" t="str">
        <f>IFERROR(__xludf.DUMMYFUNCTION("GOOGLETRANSLATE(C1471, ""en"", ""pt"")"),"paroquial, de mente fechada")</f>
        <v>paroquial, de mente fechada</v>
      </c>
      <c r="E1471" s="8" t="str">
        <f>IFERROR(__xludf.DUMMYFUNCTION("GOOGLETRANSLATE(C1471, ""en"", ""es"")"),"parroquial, de mente estrecha")</f>
        <v>parroquial, de mente estrecha</v>
      </c>
      <c r="F1471" s="8" t="str">
        <f>IFERROR(__xludf.DUMMYFUNCTION("GOOGLETRANSLATE(C1471, ""en"", ""fr"")"),"provincial, étroit d'esprit")</f>
        <v>provincial, étroit d'esprit</v>
      </c>
      <c r="G1471" s="8" t="str">
        <f>IFERROR(__xludf.DUMMYFUNCTION("GOOGLETRANSLATE(C1471, ""en"", ""de"")"),"engstirnig, provinziell")</f>
        <v>engstirnig, provinziell</v>
      </c>
      <c r="H1471" s="8" t="str">
        <f>IFERROR(__xludf.DUMMYFUNCTION("GOOGLETRANSLATE(C1471, ""en"", ""ru"")"),"провинциальный, ограниченный")</f>
        <v>провинциальный, ограниченный</v>
      </c>
      <c r="I1471" s="8" t="str">
        <f>IFERROR(__xludf.DUMMYFUNCTION("GOOGLETRANSLATE(C1471, ""en"", ""ar"")"),"ضيق الأفق، محدود التفكير")</f>
        <v>ضيق الأفق، محدود التفكير</v>
      </c>
      <c r="J1471" s="8"/>
      <c r="K1471" s="7" t="str">
        <f>IFERROR(__xludf.DUMMYFUNCTION("CONCAT(REGEXREPLACE(C1471,""[ ,]+"",""_""),"".mp3"")"),"parochial_narrow_minded.mp3")</f>
        <v>parochial_narrow_minded.mp3</v>
      </c>
      <c r="M1471" s="4" t="s">
        <v>10</v>
      </c>
    </row>
    <row r="1472" ht="15.75" customHeight="1">
      <c r="A1472" s="1">
        <v>2840.0</v>
      </c>
      <c r="B1472" s="3">
        <v>155.0</v>
      </c>
      <c r="C1472" s="7" t="s">
        <v>1487</v>
      </c>
      <c r="D1472" s="8" t="str">
        <f>IFERROR(__xludf.DUMMYFUNCTION("GOOGLETRANSLATE(C1472, ""en"", ""pt"")"),"muralha, muro defensivo")</f>
        <v>muralha, muro defensivo</v>
      </c>
      <c r="E1472" s="8" t="str">
        <f>IFERROR(__xludf.DUMMYFUNCTION("GOOGLETRANSLATE(C1472, ""en"", ""es"")"),"muralla, muro defensivo")</f>
        <v>muralla, muro defensivo</v>
      </c>
      <c r="F1472" s="8" t="str">
        <f>IFERROR(__xludf.DUMMYFUNCTION("GOOGLETRANSLATE(C1472, ""en"", ""fr"")"),"rempart, mur défensif")</f>
        <v>rempart, mur défensif</v>
      </c>
      <c r="G1472" s="8" t="str">
        <f>IFERROR(__xludf.DUMMYFUNCTION("GOOGLETRANSLATE(C1472, ""en"", ""de"")"),"Wall, Verteidigungsmauer")</f>
        <v>Wall, Verteidigungsmauer</v>
      </c>
      <c r="H1472" s="8" t="str">
        <f>IFERROR(__xludf.DUMMYFUNCTION("GOOGLETRANSLATE(C1472, ""en"", ""ru"")"),"крепостной вал, оборонительная стена")</f>
        <v>крепостной вал, оборонительная стена</v>
      </c>
      <c r="I1472" s="8" t="str">
        <f>IFERROR(__xludf.DUMMYFUNCTION("GOOGLETRANSLATE(C1472, ""en"", ""ar"")"),"سور دفاعي")</f>
        <v>سور دفاعي</v>
      </c>
      <c r="J1472" s="8"/>
      <c r="K1472" s="7" t="str">
        <f>IFERROR(__xludf.DUMMYFUNCTION("CONCAT(REGEXREPLACE(C1472,""[ ,]+"",""_""),"".mp3"")"),"rampart_defensive_wall.mp3")</f>
        <v>rampart_defensive_wall.mp3</v>
      </c>
      <c r="M1472" s="4" t="s">
        <v>10</v>
      </c>
    </row>
    <row r="1473" ht="15.75" customHeight="1">
      <c r="A1473" s="1">
        <v>2841.0</v>
      </c>
      <c r="B1473" s="3">
        <v>155.0</v>
      </c>
      <c r="C1473" s="7" t="s">
        <v>1488</v>
      </c>
      <c r="D1473" s="8" t="str">
        <f>IFERROR(__xludf.DUMMYFUNCTION("GOOGLETRANSLATE(C1473, ""en"", ""pt"")"),"robusto, forte")</f>
        <v>robusto, forte</v>
      </c>
      <c r="E1473" s="8" t="str">
        <f>IFERROR(__xludf.DUMMYFUNCTION("GOOGLETRANSLATE(C1473, ""en"", ""es"")"),"robusto, fuerte")</f>
        <v>robusto, fuerte</v>
      </c>
      <c r="F1473" s="8" t="str">
        <f>IFERROR(__xludf.DUMMYFUNCTION("GOOGLETRANSLATE(C1473, ""en"", ""fr"")"),"robuste, fort")</f>
        <v>robuste, fort</v>
      </c>
      <c r="G1473" s="8" t="str">
        <f>IFERROR(__xludf.DUMMYFUNCTION("GOOGLETRANSLATE(C1473, ""en"", ""de"")"),"robust, stark")</f>
        <v>robust, stark</v>
      </c>
      <c r="H1473" s="8" t="str">
        <f>IFERROR(__xludf.DUMMYFUNCTION("GOOGLETRANSLATE(C1473, ""en"", ""ru"")"),"крепкий, сильный")</f>
        <v>крепкий, сильный</v>
      </c>
      <c r="I1473" s="8" t="str">
        <f>IFERROR(__xludf.DUMMYFUNCTION("GOOGLETRANSLATE(C1473, ""en"", ""ar"")"),"قوي، متين")</f>
        <v>قوي، متين</v>
      </c>
      <c r="J1473" s="8"/>
      <c r="K1473" s="7" t="str">
        <f>IFERROR(__xludf.DUMMYFUNCTION("CONCAT(REGEXREPLACE(C1473,""[ ,]+"",""_""),"".mp3"")"),"robust_strong.mp3")</f>
        <v>robust_strong.mp3</v>
      </c>
      <c r="M1473" s="4" t="s">
        <v>10</v>
      </c>
    </row>
    <row r="1474" ht="15.75" customHeight="1">
      <c r="A1474" s="1">
        <v>2842.0</v>
      </c>
      <c r="B1474" s="3">
        <v>155.0</v>
      </c>
      <c r="C1474" s="7" t="s">
        <v>1489</v>
      </c>
      <c r="D1474" s="8" t="str">
        <f>IFERROR(__xludf.DUMMYFUNCTION("GOOGLETRANSLATE(C1474, ""en"", ""pt"")"),"arrasar, destruir completamente")</f>
        <v>arrasar, destruir completamente</v>
      </c>
      <c r="E1474" s="8" t="str">
        <f>IFERROR(__xludf.DUMMYFUNCTION("GOOGLETRANSLATE(C1474, ""en"", ""es"")"),"arrasar, destruir por completo")</f>
        <v>arrasar, destruir por completo</v>
      </c>
      <c r="F1474" s="8" t="str">
        <f>IFERROR(__xludf.DUMMYFUNCTION("GOOGLETRANSLATE(C1474, ""en"", ""fr"")"),"raser, détruire complètement")</f>
        <v>raser, détruire complètement</v>
      </c>
      <c r="G1474" s="8" t="str">
        <f>IFERROR(__xludf.DUMMYFUNCTION("GOOGLETRANSLATE(C1474, ""en"", ""de"")"),"dem Erdboden gleichmachen, vollständig zerstören")</f>
        <v>dem Erdboden gleichmachen, vollständig zerstören</v>
      </c>
      <c r="H1474" s="8" t="str">
        <f>IFERROR(__xludf.DUMMYFUNCTION("GOOGLETRANSLATE(C1474, ""en"", ""ru"")"),"сравнять с землей, уничтожить полностью")</f>
        <v>сравнять с землей, уничтожить полностью</v>
      </c>
      <c r="I1474" s="8" t="str">
        <f>IFERROR(__xludf.DUMMYFUNCTION("GOOGLETRANSLATE(C1474, ""en"", ""ar"")"),"هدم، تدمير كامل")</f>
        <v>هدم، تدمير كامل</v>
      </c>
      <c r="J1474" s="8"/>
      <c r="K1474" s="7" t="str">
        <f>IFERROR(__xludf.DUMMYFUNCTION("CONCAT(REGEXREPLACE(C1474,""[ ,]+"",""_""),"".mp3"")"),"raze_destroy_completely.mp3")</f>
        <v>raze_destroy_completely.mp3</v>
      </c>
      <c r="M1474" s="4" t="s">
        <v>10</v>
      </c>
    </row>
    <row r="1475" ht="15.75" customHeight="1">
      <c r="A1475" s="1">
        <v>2843.0</v>
      </c>
      <c r="B1475" s="3">
        <v>155.0</v>
      </c>
      <c r="C1475" s="7" t="s">
        <v>1490</v>
      </c>
      <c r="D1475" s="8" t="str">
        <f>IFERROR(__xludf.DUMMYFUNCTION("GOOGLETRANSLATE(C1475, ""en"", ""pt"")"),"represália, retaliação")</f>
        <v>represália, retaliação</v>
      </c>
      <c r="E1475" s="8" t="str">
        <f>IFERROR(__xludf.DUMMYFUNCTION("GOOGLETRANSLATE(C1475, ""en"", ""es"")"),"represalia, retaliación")</f>
        <v>represalia, retaliación</v>
      </c>
      <c r="F1475" s="8" t="str">
        <f>IFERROR(__xludf.DUMMYFUNCTION("GOOGLETRANSLATE(C1475, ""en"", ""fr"")"),"représailles, représailles")</f>
        <v>représailles, représailles</v>
      </c>
      <c r="G1475" s="8" t="str">
        <f>IFERROR(__xludf.DUMMYFUNCTION("GOOGLETRANSLATE(C1475, ""en"", ""de"")"),"Vergeltung, Gegenmaßnahme")</f>
        <v>Vergeltung, Gegenmaßnahme</v>
      </c>
      <c r="H1475" s="8" t="str">
        <f>IFERROR(__xludf.DUMMYFUNCTION("GOOGLETRANSLATE(C1475, ""en"", ""ru"")"),"возмездие, ответная реакция")</f>
        <v>возмездие, ответная реакция</v>
      </c>
      <c r="I1475" s="8" t="str">
        <f>IFERROR(__xludf.DUMMYFUNCTION("GOOGLETRANSLATE(C1475, ""en"", ""ar"")"),"الانتقام، الرد")</f>
        <v>الانتقام، الرد</v>
      </c>
      <c r="J1475" s="8"/>
      <c r="K1475" s="7" t="str">
        <f>IFERROR(__xludf.DUMMYFUNCTION("CONCAT(REGEXREPLACE(C1475,""[ ,]+"",""_""),"".mp3"")"),"reprisal_retaliation.mp3")</f>
        <v>reprisal_retaliation.mp3</v>
      </c>
      <c r="M1475" s="4" t="s">
        <v>10</v>
      </c>
    </row>
    <row r="1476" ht="15.75" customHeight="1">
      <c r="A1476" s="1">
        <v>2844.0</v>
      </c>
      <c r="B1476" s="3">
        <v>155.0</v>
      </c>
      <c r="C1476" s="7" t="s">
        <v>1491</v>
      </c>
      <c r="D1476" s="8" t="str">
        <f>IFERROR(__xludf.DUMMYFUNCTION("GOOGLETRANSLATE(C1476, ""en"", ""pt"")"),"rancor, amargura")</f>
        <v>rancor, amargura</v>
      </c>
      <c r="E1476" s="8" t="str">
        <f>IFERROR(__xludf.DUMMYFUNCTION("GOOGLETRANSLATE(C1476, ""en"", ""es"")"),"rencor, amargura")</f>
        <v>rencor, amargura</v>
      </c>
      <c r="F1476" s="8" t="str">
        <f>IFERROR(__xludf.DUMMYFUNCTION("GOOGLETRANSLATE(C1476, ""en"", ""fr"")"),"rancœur, amertume")</f>
        <v>rancœur, amertume</v>
      </c>
      <c r="G1476" s="8" t="str">
        <f>IFERROR(__xludf.DUMMYFUNCTION("GOOGLETRANSLATE(C1476, ""en"", ""de"")"),"Groll, Bitterkeit")</f>
        <v>Groll, Bitterkeit</v>
      </c>
      <c r="H1476" s="8" t="str">
        <f>IFERROR(__xludf.DUMMYFUNCTION("GOOGLETRANSLATE(C1476, ""en"", ""ru"")"),"злоба, горечь")</f>
        <v>злоба, горечь</v>
      </c>
      <c r="I1476" s="8" t="str">
        <f>IFERROR(__xludf.DUMMYFUNCTION("GOOGLETRANSLATE(C1476, ""en"", ""ar"")"),"ضغينة، مرارة")</f>
        <v>ضغينة، مرارة</v>
      </c>
      <c r="J1476" s="8"/>
      <c r="K1476" s="7" t="str">
        <f>IFERROR(__xludf.DUMMYFUNCTION("CONCAT(REGEXREPLACE(C1476,""[ ,]+"",""_""),"".mp3"")"),"rancour_bitterness.mp3")</f>
        <v>rancour_bitterness.mp3</v>
      </c>
      <c r="M1476" s="4" t="s">
        <v>10</v>
      </c>
    </row>
    <row r="1477" ht="15.75" customHeight="1">
      <c r="A1477" s="1">
        <v>2845.0</v>
      </c>
      <c r="B1477" s="3">
        <v>155.0</v>
      </c>
      <c r="C1477" s="7" t="s">
        <v>1492</v>
      </c>
      <c r="D1477" s="8" t="str">
        <f>IFERROR(__xludf.DUMMYFUNCTION("GOOGLETRANSLATE(C1477, ""en"", ""pt"")"),"impiedoso, impiedoso")</f>
        <v>impiedoso, impiedoso</v>
      </c>
      <c r="E1477" s="8" t="str">
        <f>IFERROR(__xludf.DUMMYFUNCTION("GOOGLETRANSLATE(C1477, ""en"", ""es"")"),"despiadado, implacable")</f>
        <v>despiadado, implacable</v>
      </c>
      <c r="F1477" s="8" t="str">
        <f>IFERROR(__xludf.DUMMYFUNCTION("GOOGLETRANSLATE(C1477, ""en"", ""fr"")"),"impitoyable, sans pitié")</f>
        <v>impitoyable, sans pitié</v>
      </c>
      <c r="G1477" s="8" t="str">
        <f>IFERROR(__xludf.DUMMYFUNCTION("GOOGLETRANSLATE(C1477, ""en"", ""de"")"),"rücksichtslos, unbarmherzig")</f>
        <v>rücksichtslos, unbarmherzig</v>
      </c>
      <c r="H1477" s="8" t="str">
        <f>IFERROR(__xludf.DUMMYFUNCTION("GOOGLETRANSLATE(C1477, ""en"", ""ru"")"),"безжалостный, беспощадный")</f>
        <v>безжалостный, беспощадный</v>
      </c>
      <c r="I1477" s="8" t="str">
        <f>IFERROR(__xludf.DUMMYFUNCTION("GOOGLETRANSLATE(C1477, ""en"", ""ar"")"),"قاسٍ، لا يرحم")</f>
        <v>قاسٍ، لا يرحم</v>
      </c>
      <c r="J1477" s="8"/>
      <c r="K1477" s="7" t="str">
        <f>IFERROR(__xludf.DUMMYFUNCTION("CONCAT(REGEXREPLACE(C1477,""[ ,]+"",""_""),"".mp3"")"),"ruthless_pitiless.mp3")</f>
        <v>ruthless_pitiless.mp3</v>
      </c>
      <c r="M1477" s="4" t="s">
        <v>10</v>
      </c>
    </row>
    <row r="1478" ht="15.75" customHeight="1">
      <c r="A1478" s="1">
        <v>2846.0</v>
      </c>
      <c r="B1478" s="3">
        <v>155.0</v>
      </c>
      <c r="C1478" s="7" t="s">
        <v>1493</v>
      </c>
      <c r="D1478" s="8" t="str">
        <f>IFERROR(__xludf.DUMMYFUNCTION("GOOGLETRANSLATE(C1478, ""en"", ""pt"")"),"reabastecer, encher novamente")</f>
        <v>reabastecer, encher novamente</v>
      </c>
      <c r="E1478" s="8" t="str">
        <f>IFERROR(__xludf.DUMMYFUNCTION("GOOGLETRANSLATE(C1478, ""en"", ""es"")"),"reabastecer, volver a llenar")</f>
        <v>reabastecer, volver a llenar</v>
      </c>
      <c r="F1478" s="8" t="str">
        <f>IFERROR(__xludf.DUMMYFUNCTION("GOOGLETRANSLATE(C1478, ""en"", ""fr"")"),"Remplir, remplir à nouveau")</f>
        <v>Remplir, remplir à nouveau</v>
      </c>
      <c r="G1478" s="8" t="str">
        <f>IFERROR(__xludf.DUMMYFUNCTION("GOOGLETRANSLATE(C1478, ""en"", ""de"")"),"wieder auffüllen, erneut auffüllen")</f>
        <v>wieder auffüllen, erneut auffüllen</v>
      </c>
      <c r="H1478" s="8" t="str">
        <f>IFERROR(__xludf.DUMMYFUNCTION("GOOGLETRANSLATE(C1478, ""en"", ""ru"")"),"пополнить, снова наполнить")</f>
        <v>пополнить, снова наполнить</v>
      </c>
      <c r="I1478" s="8" t="str">
        <f>IFERROR(__xludf.DUMMYFUNCTION("GOOGLETRANSLATE(C1478, ""en"", ""ar"")"),"أعد التعبئة، واملأ الخزان مرة أخرى")</f>
        <v>أعد التعبئة، واملأ الخزان مرة أخرى</v>
      </c>
      <c r="J1478" s="8"/>
      <c r="K1478" s="7" t="str">
        <f>IFERROR(__xludf.DUMMYFUNCTION("CONCAT(REGEXREPLACE(C1478,""[ ,]+"",""_""),"".mp3"")"),"replenish_fill_up_again.mp3")</f>
        <v>replenish_fill_up_again.mp3</v>
      </c>
      <c r="M1478" s="4" t="s">
        <v>10</v>
      </c>
    </row>
    <row r="1479" ht="15.75" customHeight="1">
      <c r="A1479" s="1">
        <v>2847.0</v>
      </c>
      <c r="B1479" s="3">
        <v>155.0</v>
      </c>
      <c r="C1479" s="7" t="s">
        <v>1494</v>
      </c>
      <c r="D1479" s="8" t="str">
        <f>IFERROR(__xludf.DUMMYFUNCTION("GOOGLETRANSLATE(C1479, ""en"", ""pt"")"),"flexível, maleável")</f>
        <v>flexível, maleável</v>
      </c>
      <c r="E1479" s="8" t="str">
        <f>IFERROR(__xludf.DUMMYFUNCTION("GOOGLETRANSLATE(C1479, ""en"", ""es"")"),"flexible y maleable")</f>
        <v>flexible y maleable</v>
      </c>
      <c r="F1479" s="8" t="str">
        <f>IFERROR(__xludf.DUMMYFUNCTION("GOOGLETRANSLATE(C1479, ""en"", ""fr"")"),"souple, flexible")</f>
        <v>souple, flexible</v>
      </c>
      <c r="G1479" s="8" t="str">
        <f>IFERROR(__xludf.DUMMYFUNCTION("GOOGLETRANSLATE(C1479, ""en"", ""de"")"),"geschmeidig, flexibel")</f>
        <v>geschmeidig, flexibel</v>
      </c>
      <c r="H1479" s="8" t="str">
        <f>IFERROR(__xludf.DUMMYFUNCTION("GOOGLETRANSLATE(C1479, ""en"", ""ru"")"),"гибкий, эластичный")</f>
        <v>гибкий, эластичный</v>
      </c>
      <c r="I1479" s="8" t="str">
        <f>IFERROR(__xludf.DUMMYFUNCTION("GOOGLETRANSLATE(C1479, ""en"", ""ar"")"),"مرن، لين")</f>
        <v>مرن، لين</v>
      </c>
      <c r="J1479" s="8"/>
      <c r="K1479" s="7" t="str">
        <f>IFERROR(__xludf.DUMMYFUNCTION("CONCAT(REGEXREPLACE(C1479,""[ ,]+"",""_""),"".mp3"")"),"supple_flexible.mp3")</f>
        <v>supple_flexible.mp3</v>
      </c>
      <c r="M1479" s="4" t="s">
        <v>10</v>
      </c>
    </row>
    <row r="1480" ht="15.75" customHeight="1">
      <c r="A1480" s="1">
        <v>2848.0</v>
      </c>
      <c r="B1480" s="3">
        <v>155.0</v>
      </c>
      <c r="C1480" s="7" t="s">
        <v>1495</v>
      </c>
      <c r="D1480" s="8" t="str">
        <f>IFERROR(__xludf.DUMMYFUNCTION("GOOGLETRANSLATE(C1480, ""en"", ""pt"")"),"calúnia, difamação")</f>
        <v>calúnia, difamação</v>
      </c>
      <c r="E1480" s="8" t="str">
        <f>IFERROR(__xludf.DUMMYFUNCTION("GOOGLETRANSLATE(C1480, ""en"", ""es"")"),"calumnia, difamación")</f>
        <v>calumnia, difamación</v>
      </c>
      <c r="F1480" s="8" t="str">
        <f>IFERROR(__xludf.DUMMYFUNCTION("GOOGLETRANSLATE(C1480, ""en"", ""fr"")"),"calomnier, diffamer")</f>
        <v>calomnier, diffamer</v>
      </c>
      <c r="G1480" s="8" t="str">
        <f>IFERROR(__xludf.DUMMYFUNCTION("GOOGLETRANSLATE(C1480, ""en"", ""de"")"),"Verleumdung, Diffamierung")</f>
        <v>Verleumdung, Diffamierung</v>
      </c>
      <c r="H1480" s="8" t="str">
        <f>IFERROR(__xludf.DUMMYFUNCTION("GOOGLETRANSLATE(C1480, ""en"", ""ru"")"),"клевета, диффамация")</f>
        <v>клевета, диффамация</v>
      </c>
      <c r="I1480" s="8" t="str">
        <f>IFERROR(__xludf.DUMMYFUNCTION("GOOGLETRANSLATE(C1480, ""en"", ""ar"")"),"التشهير، القذف")</f>
        <v>التشهير، القذف</v>
      </c>
      <c r="J1480" s="8"/>
      <c r="K1480" s="7" t="str">
        <f>IFERROR(__xludf.DUMMYFUNCTION("CONCAT(REGEXREPLACE(C1480,""[ ,]+"",""_""),"".mp3"")"),"slander_defame.mp3")</f>
        <v>slander_defame.mp3</v>
      </c>
      <c r="M1480" s="4" t="s">
        <v>10</v>
      </c>
    </row>
    <row r="1481" ht="15.75" customHeight="1">
      <c r="A1481" s="1">
        <v>2849.0</v>
      </c>
      <c r="B1481" s="3">
        <v>155.0</v>
      </c>
      <c r="C1481" s="7" t="s">
        <v>1496</v>
      </c>
      <c r="D1481" s="8" t="str">
        <f>IFERROR(__xludf.DUMMYFUNCTION("GOOGLETRANSLATE(C1481, ""en"", ""pt"")"),"esbelta, escassa")</f>
        <v>esbelta, escassa</v>
      </c>
      <c r="E1481" s="8" t="str">
        <f>IFERROR(__xludf.DUMMYFUNCTION("GOOGLETRANSLATE(C1481, ""en"", ""es"")"),"esbelta, escasa")</f>
        <v>esbelta, escasa</v>
      </c>
      <c r="F1481" s="8" t="str">
        <f>IFERROR(__xludf.DUMMYFUNCTION("GOOGLETRANSLATE(C1481, ""en"", ""fr"")"),"mince, maigre")</f>
        <v>mince, maigre</v>
      </c>
      <c r="G1481" s="8" t="str">
        <f>IFERROR(__xludf.DUMMYFUNCTION("GOOGLETRANSLATE(C1481, ""en"", ""de"")"),"schlank, spärlich")</f>
        <v>schlank, spärlich</v>
      </c>
      <c r="H1481" s="8" t="str">
        <f>IFERROR(__xludf.DUMMYFUNCTION("GOOGLETRANSLATE(C1481, ""en"", ""ru"")"),"стройная, скудная")</f>
        <v>стройная, скудная</v>
      </c>
      <c r="I1481" s="8" t="str">
        <f>IFERROR(__xludf.DUMMYFUNCTION("GOOGLETRANSLATE(C1481, ""en"", ""ar"")"),"نحيف، قليل الوزن")</f>
        <v>نحيف، قليل الوزن</v>
      </c>
      <c r="J1481" s="8"/>
      <c r="K1481" s="7" t="str">
        <f>IFERROR(__xludf.DUMMYFUNCTION("CONCAT(REGEXREPLACE(C1481,""[ ,]+"",""_""),"".mp3"")"),"slender_scanty.mp3")</f>
        <v>slender_scanty.mp3</v>
      </c>
      <c r="M1481" s="4" t="s">
        <v>10</v>
      </c>
    </row>
    <row r="1482" ht="15.75" customHeight="1">
      <c r="A1482" s="1">
        <v>2850.0</v>
      </c>
      <c r="B1482" s="3">
        <v>155.0</v>
      </c>
      <c r="C1482" s="7" t="s">
        <v>1497</v>
      </c>
      <c r="D1482" s="8" t="str">
        <f>IFERROR(__xludf.DUMMYFUNCTION("GOOGLETRANSLATE(C1482, ""en"", ""pt"")"),"conjectura, palpite")</f>
        <v>conjectura, palpite</v>
      </c>
      <c r="E1482" s="8" t="str">
        <f>IFERROR(__xludf.DUMMYFUNCTION("GOOGLETRANSLATE(C1482, ""en"", ""es"")"),"conjeturar, adivinar")</f>
        <v>conjeturar, adivinar</v>
      </c>
      <c r="F1482" s="8" t="str">
        <f>IFERROR(__xludf.DUMMYFUNCTION("GOOGLETRANSLATE(C1482, ""en"", ""fr"")"),"supposition, deviner")</f>
        <v>supposition, deviner</v>
      </c>
      <c r="G1482" s="8" t="str">
        <f>IFERROR(__xludf.DUMMYFUNCTION("GOOGLETRANSLATE(C1482, ""en"", ""de"")"),"Vermutung, Rate")</f>
        <v>Vermutung, Rate</v>
      </c>
      <c r="H1482" s="8" t="str">
        <f>IFERROR(__xludf.DUMMYFUNCTION("GOOGLETRANSLATE(C1482, ""en"", ""ru"")"),"предполагать, догадываться")</f>
        <v>предполагать, догадываться</v>
      </c>
      <c r="I1482" s="8" t="str">
        <f>IFERROR(__xludf.DUMMYFUNCTION("GOOGLETRANSLATE(C1482, ""en"", ""ar"")"),"تخمين، افتراض")</f>
        <v>تخمين، افتراض</v>
      </c>
      <c r="J1482" s="8"/>
      <c r="K1482" s="7" t="str">
        <f>IFERROR(__xludf.DUMMYFUNCTION("CONCAT(REGEXREPLACE(C1482,""[ ,]+"",""_""),"".mp3"")"),"surmise_guess.mp3")</f>
        <v>surmise_guess.mp3</v>
      </c>
      <c r="M1482" s="4" t="s">
        <v>10</v>
      </c>
    </row>
    <row r="1483" ht="15.75" customHeight="1">
      <c r="A1483" s="1">
        <v>2851.0</v>
      </c>
      <c r="B1483" s="3">
        <v>155.0</v>
      </c>
      <c r="C1483" s="7" t="s">
        <v>1498</v>
      </c>
      <c r="D1483" s="8" t="str">
        <f>IFERROR(__xludf.DUMMYFUNCTION("GOOGLETRANSLATE(C1483, ""en"", ""pt"")"),"sedição, rebelião")</f>
        <v>sedição, rebelião</v>
      </c>
      <c r="E1483" s="8" t="str">
        <f>IFERROR(__xludf.DUMMYFUNCTION("GOOGLETRANSLATE(C1483, ""en"", ""es"")"),"sedición, rebelión")</f>
        <v>sedición, rebelión</v>
      </c>
      <c r="F1483" s="8" t="str">
        <f>IFERROR(__xludf.DUMMYFUNCTION("GOOGLETRANSLATE(C1483, ""en"", ""fr"")"),"sédition, rébellion")</f>
        <v>sédition, rébellion</v>
      </c>
      <c r="G1483" s="8" t="str">
        <f>IFERROR(__xludf.DUMMYFUNCTION("GOOGLETRANSLATE(C1483, ""en"", ""de"")"),"Aufruhr, Rebellion")</f>
        <v>Aufruhr, Rebellion</v>
      </c>
      <c r="H1483" s="8" t="str">
        <f>IFERROR(__xludf.DUMMYFUNCTION("GOOGLETRANSLATE(C1483, ""en"", ""ru"")"),"мятеж, восстание")</f>
        <v>мятеж, восстание</v>
      </c>
      <c r="I1483" s="8" t="str">
        <f>IFERROR(__xludf.DUMMYFUNCTION("GOOGLETRANSLATE(C1483, ""en"", ""ar"")"),"فتنة، تمرد")</f>
        <v>فتنة، تمرد</v>
      </c>
      <c r="J1483" s="8"/>
      <c r="K1483" s="7" t="str">
        <f>IFERROR(__xludf.DUMMYFUNCTION("CONCAT(REGEXREPLACE(C1483,""[ ,]+"",""_""),"".mp3"")"),"sedition_rebellion.mp3")</f>
        <v>sedition_rebellion.mp3</v>
      </c>
      <c r="M1483" s="4" t="s">
        <v>10</v>
      </c>
    </row>
    <row r="1484" ht="15.75" customHeight="1">
      <c r="A1484" s="1">
        <v>2852.0</v>
      </c>
      <c r="B1484" s="3">
        <v>155.0</v>
      </c>
      <c r="C1484" s="7" t="s">
        <v>1499</v>
      </c>
      <c r="D1484" s="8" t="str">
        <f>IFERROR(__xludf.DUMMYFUNCTION("GOOGLETRANSLATE(C1484, ""en"", ""pt"")"),"arrogante, presunçoso")</f>
        <v>arrogante, presunçoso</v>
      </c>
      <c r="E1484" s="8" t="str">
        <f>IFERROR(__xludf.DUMMYFUNCTION("GOOGLETRANSLATE(C1484, ""en"", ""es"")"),"altivo, arrogante")</f>
        <v>altivo, arrogante</v>
      </c>
      <c r="F1484" s="8" t="str">
        <f>IFERROR(__xludf.DUMMYFUNCTION("GOOGLETRANSLATE(C1484, ""en"", ""fr"")"),"hautain, arrogant")</f>
        <v>hautain, arrogant</v>
      </c>
      <c r="G1484" s="8" t="str">
        <f>IFERROR(__xludf.DUMMYFUNCTION("GOOGLETRANSLATE(C1484, ""en"", ""de"")"),"überheblich, arrogant")</f>
        <v>überheblich, arrogant</v>
      </c>
      <c r="H1484" s="8" t="str">
        <f>IFERROR(__xludf.DUMMYFUNCTION("GOOGLETRANSLATE(C1484, ""en"", ""ru"")"),"высокомерный, надменный")</f>
        <v>высокомерный, надменный</v>
      </c>
      <c r="I1484" s="8" t="str">
        <f>IFERROR(__xludf.DUMMYFUNCTION("GOOGLETRANSLATE(C1484, ""en"", ""ar"")"),"متعجرف، متكبر")</f>
        <v>متعجرف، متكبر</v>
      </c>
      <c r="J1484" s="8"/>
      <c r="K1484" s="7" t="str">
        <f>IFERROR(__xludf.DUMMYFUNCTION("CONCAT(REGEXREPLACE(C1484,""[ ,]+"",""_""),"".mp3"")"),"supercilious_arrogant.mp3")</f>
        <v>supercilious_arrogant.mp3</v>
      </c>
      <c r="M1484" s="4" t="s">
        <v>10</v>
      </c>
    </row>
    <row r="1485" ht="15.75" customHeight="1">
      <c r="A1485" s="1">
        <v>2853.0</v>
      </c>
      <c r="B1485" s="3">
        <v>155.0</v>
      </c>
      <c r="C1485" s="7" t="s">
        <v>1500</v>
      </c>
      <c r="D1485" s="8" t="str">
        <f>IFERROR(__xludf.DUMMYFUNCTION("GOOGLETRANSLATE(C1485, ""en"", ""pt"")"),"furtivo, secreto")</f>
        <v>furtivo, secreto</v>
      </c>
      <c r="E1485" s="8" t="str">
        <f>IFERROR(__xludf.DUMMYFUNCTION("GOOGLETRANSLATE(C1485, ""en"", ""es"")"),"subrepticio, secreto")</f>
        <v>subrepticio, secreto</v>
      </c>
      <c r="F1485" s="8" t="str">
        <f>IFERROR(__xludf.DUMMYFUNCTION("GOOGLETRANSLATE(C1485, ""en"", ""fr"")"),"clandestin, secret")</f>
        <v>clandestin, secret</v>
      </c>
      <c r="G1485" s="8" t="str">
        <f>IFERROR(__xludf.DUMMYFUNCTION("GOOGLETRANSLATE(C1485, ""en"", ""de"")"),"heimlich, geheim")</f>
        <v>heimlich, geheim</v>
      </c>
      <c r="H1485" s="8" t="str">
        <f>IFERROR(__xludf.DUMMYFUNCTION("GOOGLETRANSLATE(C1485, ""en"", ""ru"")"),"скрытный, тайный")</f>
        <v>скрытный, тайный</v>
      </c>
      <c r="I1485" s="8" t="str">
        <f>IFERROR(__xludf.DUMMYFUNCTION("GOOGLETRANSLATE(C1485, ""en"", ""ar"")"),"خفي، سري")</f>
        <v>خفي، سري</v>
      </c>
      <c r="J1485" s="8"/>
      <c r="K1485" s="7" t="str">
        <f>IFERROR(__xludf.DUMMYFUNCTION("CONCAT(REGEXREPLACE(C1485,""[ ,]+"",""_""),"".mp3"")"),"surreptitious_secret.mp3")</f>
        <v>surreptitious_secret.mp3</v>
      </c>
      <c r="M1485" s="4" t="s">
        <v>10</v>
      </c>
    </row>
    <row r="1486" ht="15.75" customHeight="1">
      <c r="A1486" s="1">
        <v>2854.0</v>
      </c>
      <c r="B1486" s="3">
        <v>155.0</v>
      </c>
      <c r="C1486" s="7" t="s">
        <v>1501</v>
      </c>
      <c r="D1486" s="8" t="str">
        <f>IFERROR(__xludf.DUMMYFUNCTION("GOOGLETRANSLATE(C1486, ""en"", ""pt"")"),"equivalente, igual")</f>
        <v>equivalente, igual</v>
      </c>
      <c r="E1486" s="8" t="str">
        <f>IFERROR(__xludf.DUMMYFUNCTION("GOOGLETRANSLATE(C1486, ""en"", ""es"")"),"equivalente, igual")</f>
        <v>equivalente, igual</v>
      </c>
      <c r="F1486" s="8" t="str">
        <f>IFERROR(__xludf.DUMMYFUNCTION("GOOGLETRANSLATE(C1486, ""en"", ""fr"")"),"équivalent, égal")</f>
        <v>équivalent, égal</v>
      </c>
      <c r="G1486" s="8" t="str">
        <f>IFERROR(__xludf.DUMMYFUNCTION("GOOGLETRANSLATE(C1486, ""en"", ""de"")"),"gleichbedeutend, gleichwertig")</f>
        <v>gleichbedeutend, gleichwertig</v>
      </c>
      <c r="H1486" s="8" t="str">
        <f>IFERROR(__xludf.DUMMYFUNCTION("GOOGLETRANSLATE(C1486, ""en"", ""ru"")"),"равнозначный, равный")</f>
        <v>равнозначный, равный</v>
      </c>
      <c r="I1486" s="8" t="str">
        <f>IFERROR(__xludf.DUMMYFUNCTION("GOOGLETRANSLATE(C1486, ""en"", ""ar"")"),"مكافئ، متساوٍ")</f>
        <v>مكافئ، متساوٍ</v>
      </c>
      <c r="J1486" s="8"/>
      <c r="K1486" s="7" t="str">
        <f>IFERROR(__xludf.DUMMYFUNCTION("CONCAT(REGEXREPLACE(C1486,""[ ,]+"",""_""),"".mp3"")"),"tantamount_equal.mp3")</f>
        <v>tantamount_equal.mp3</v>
      </c>
      <c r="M1486" s="4" t="s">
        <v>10</v>
      </c>
    </row>
    <row r="1487" ht="15.75" customHeight="1">
      <c r="A1487" s="1">
        <v>2855.0</v>
      </c>
      <c r="B1487" s="3">
        <v>155.0</v>
      </c>
      <c r="C1487" s="7" t="s">
        <v>1502</v>
      </c>
      <c r="D1487" s="8" t="str">
        <f>IFERROR(__xludf.DUMMYFUNCTION("GOOGLETRANSLATE(C1487, ""en"", ""pt"")"),"sucumbir, ceder")</f>
        <v>sucumbir, ceder</v>
      </c>
      <c r="E1487" s="8" t="str">
        <f>IFERROR(__xludf.DUMMYFUNCTION("GOOGLETRANSLATE(C1487, ""en"", ""es"")"),"sucumbir, ceder")</f>
        <v>sucumbir, ceder</v>
      </c>
      <c r="F1487" s="8" t="str">
        <f>IFERROR(__xludf.DUMMYFUNCTION("GOOGLETRANSLATE(C1487, ""en"", ""fr"")"),"succomber, céder")</f>
        <v>succomber, céder</v>
      </c>
      <c r="G1487" s="8" t="str">
        <f>IFERROR(__xludf.DUMMYFUNCTION("GOOGLETRANSLATE(C1487, ""en"", ""de"")"),"erliegen, nachgeben")</f>
        <v>erliegen, nachgeben</v>
      </c>
      <c r="H1487" s="8" t="str">
        <f>IFERROR(__xludf.DUMMYFUNCTION("GOOGLETRANSLATE(C1487, ""en"", ""ru"")"),"поддаться, уступить")</f>
        <v>поддаться, уступить</v>
      </c>
      <c r="I1487" s="8" t="str">
        <f>IFERROR(__xludf.DUMMYFUNCTION("GOOGLETRANSLATE(C1487, ""en"", ""ar"")"),"استسلم، انصاع")</f>
        <v>استسلم، انصاع</v>
      </c>
      <c r="J1487" s="8"/>
      <c r="K1487" s="7" t="str">
        <f>IFERROR(__xludf.DUMMYFUNCTION("CONCAT(REGEXREPLACE(C1487,""[ ,]+"",""_""),"".mp3"")"),"succumb_yield.mp3")</f>
        <v>succumb_yield.mp3</v>
      </c>
      <c r="M1487" s="4" t="s">
        <v>10</v>
      </c>
    </row>
    <row r="1488" ht="15.75" customHeight="1">
      <c r="A1488" s="1">
        <v>2856.0</v>
      </c>
      <c r="B1488" s="3">
        <v>155.0</v>
      </c>
      <c r="C1488" s="7" t="s">
        <v>1503</v>
      </c>
      <c r="D1488" s="8" t="str">
        <f>IFERROR(__xludf.DUMMYFUNCTION("GOOGLETRANSLATE(C1488, ""en"", ""pt"")"),"conciso, sucinto")</f>
        <v>conciso, sucinto</v>
      </c>
      <c r="E1488" s="8" t="str">
        <f>IFERROR(__xludf.DUMMYFUNCTION("GOOGLETRANSLATE(C1488, ""en"", ""es"")"),"breve, conciso")</f>
        <v>breve, conciso</v>
      </c>
      <c r="F1488" s="8" t="str">
        <f>IFERROR(__xludf.DUMMYFUNCTION("GOOGLETRANSLATE(C1488, ""en"", ""fr"")"),"concis et bref")</f>
        <v>concis et bref</v>
      </c>
      <c r="G1488" s="8" t="str">
        <f>IFERROR(__xludf.DUMMYFUNCTION("GOOGLETRANSLATE(C1488, ""en"", ""de"")"),"kurz und bündig")</f>
        <v>kurz und bündig</v>
      </c>
      <c r="H1488" s="8" t="str">
        <f>IFERROR(__xludf.DUMMYFUNCTION("GOOGLETRANSLATE(C1488, ""en"", ""ru"")"),"лаконичный, краткий")</f>
        <v>лаконичный, краткий</v>
      </c>
      <c r="I1488" s="8" t="str">
        <f>IFERROR(__xludf.DUMMYFUNCTION("GOOGLETRANSLATE(C1488, ""en"", ""ar"")"),"موجز، مختصر")</f>
        <v>موجز، مختصر</v>
      </c>
      <c r="J1488" s="8"/>
      <c r="K1488" s="7" t="str">
        <f>IFERROR(__xludf.DUMMYFUNCTION("CONCAT(REGEXREPLACE(C1488,""[ ,]+"",""_""),"".mp3"")"),"terse_concise.mp3")</f>
        <v>terse_concise.mp3</v>
      </c>
      <c r="M1488" s="4" t="s">
        <v>10</v>
      </c>
    </row>
    <row r="1489" ht="15.75" customHeight="1">
      <c r="A1489" s="1">
        <v>2857.0</v>
      </c>
      <c r="B1489" s="3">
        <v>155.0</v>
      </c>
      <c r="C1489" s="7" t="s">
        <v>1504</v>
      </c>
      <c r="D1489" s="8" t="str">
        <f>IFERROR(__xludf.DUMMYFUNCTION("GOOGLETRANSLATE(C1489, ""en"", ""pt"")"),"socorro, ajuda")</f>
        <v>socorro, ajuda</v>
      </c>
      <c r="E1489" s="8" t="str">
        <f>IFERROR(__xludf.DUMMYFUNCTION("GOOGLETRANSLATE(C1489, ""en"", ""es"")"),"socorro, ayuda")</f>
        <v>socorro, ayuda</v>
      </c>
      <c r="F1489" s="8" t="str">
        <f>IFERROR(__xludf.DUMMYFUNCTION("GOOGLETRANSLATE(C1489, ""en"", ""fr"")"),"secours, aide")</f>
        <v>secours, aide</v>
      </c>
      <c r="G1489" s="8" t="str">
        <f>IFERROR(__xludf.DUMMYFUNCTION("GOOGLETRANSLATE(C1489, ""en"", ""de"")"),"Hilfe, Beistand")</f>
        <v>Hilfe, Beistand</v>
      </c>
      <c r="H1489" s="8" t="str">
        <f>IFERROR(__xludf.DUMMYFUNCTION("GOOGLETRANSLATE(C1489, ""en"", ""ru"")"),"помощь, содействие")</f>
        <v>помощь, содействие</v>
      </c>
      <c r="I1489" s="8" t="str">
        <f>IFERROR(__xludf.DUMMYFUNCTION("GOOGLETRANSLATE(C1489, ""en"", ""ar"")"),"العون والمساعدة")</f>
        <v>العون والمساعدة</v>
      </c>
      <c r="J1489" s="8"/>
      <c r="K1489" s="7" t="str">
        <f>IFERROR(__xludf.DUMMYFUNCTION("CONCAT(REGEXREPLACE(C1489,""[ ,]+"",""_""),"".mp3"")"),"succour_aid.mp3")</f>
        <v>succour_aid.mp3</v>
      </c>
      <c r="M1489" s="4" t="s">
        <v>10</v>
      </c>
    </row>
    <row r="1490" ht="15.75" customHeight="1">
      <c r="A1490" s="1">
        <v>2858.0</v>
      </c>
      <c r="B1490" s="3">
        <v>155.0</v>
      </c>
      <c r="C1490" s="7" t="s">
        <v>1505</v>
      </c>
      <c r="D1490" s="8" t="str">
        <f>IFERROR(__xludf.DUMMYFUNCTION("GOOGLETRANSLATE(C1490, ""en"", ""pt"")"),"repreender, censurar")</f>
        <v>repreender, censurar</v>
      </c>
      <c r="E1490" s="8" t="str">
        <f>IFERROR(__xludf.DUMMYFUNCTION("GOOGLETRANSLATE(C1490, ""en"", ""es"")"),"reprender, regañar")</f>
        <v>reprender, regañar</v>
      </c>
      <c r="F1490" s="8" t="str">
        <f>IFERROR(__xludf.DUMMYFUNCTION("GOOGLETRANSLATE(C1490, ""en"", ""fr"")"),"réprimander, gronder")</f>
        <v>réprimander, gronder</v>
      </c>
      <c r="G1490" s="8" t="str">
        <f>IFERROR(__xludf.DUMMYFUNCTION("GOOGLETRANSLATE(C1490, ""en"", ""de"")"),"tadeln, schimpfen")</f>
        <v>tadeln, schimpfen</v>
      </c>
      <c r="H1490" s="8" t="str">
        <f>IFERROR(__xludf.DUMMYFUNCTION("GOOGLETRANSLATE(C1490, ""en"", ""ru"")"),"упрекать, ругать")</f>
        <v>упрекать, ругать</v>
      </c>
      <c r="I1490" s="8" t="str">
        <f>IFERROR(__xludf.DUMMYFUNCTION("GOOGLETRANSLATE(C1490, ""en"", ""ar"")"),"توبيخ، توبيخ")</f>
        <v>توبيخ، توبيخ</v>
      </c>
      <c r="J1490" s="8"/>
      <c r="K1490" s="7" t="str">
        <f>IFERROR(__xludf.DUMMYFUNCTION("CONCAT(REGEXREPLACE(C1490,""[ ,]+"",""_""),"".mp3"")"),"upbraid_scold.mp3")</f>
        <v>upbraid_scold.mp3</v>
      </c>
      <c r="M1490" s="4" t="s">
        <v>10</v>
      </c>
    </row>
    <row r="1491" ht="15.75" customHeight="1">
      <c r="A1491" s="1">
        <v>2859.0</v>
      </c>
      <c r="B1491" s="3">
        <v>155.0</v>
      </c>
      <c r="C1491" s="7" t="s">
        <v>1506</v>
      </c>
      <c r="D1491" s="8" t="str">
        <f>IFERROR(__xludf.DUMMYFUNCTION("GOOGLETRANSLATE(C1491, ""en"", ""pt"")"),"competir, disputar")</f>
        <v>competir, disputar</v>
      </c>
      <c r="E1491" s="8" t="str">
        <f>IFERROR(__xludf.DUMMYFUNCTION("GOOGLETRANSLATE(C1491, ""en"", ""es"")"),"competir, disputar")</f>
        <v>competir, disputar</v>
      </c>
      <c r="F1491" s="8" t="str">
        <f>IFERROR(__xludf.DUMMYFUNCTION("GOOGLETRANSLATE(C1491, ""en"", ""fr"")"),"vie, compétition")</f>
        <v>vie, compétition</v>
      </c>
      <c r="G1491" s="8" t="str">
        <f>IFERROR(__xludf.DUMMYFUNCTION("GOOGLETRANSLATE(C1491, ""en"", ""de"")"),"wetteifern, konkurrieren")</f>
        <v>wetteifern, konkurrieren</v>
      </c>
      <c r="H1491" s="8" t="str">
        <f>IFERROR(__xludf.DUMMYFUNCTION("GOOGLETRANSLATE(C1491, ""en"", ""ru"")"),"соревноваться, конкурировать")</f>
        <v>соревноваться, конкурировать</v>
      </c>
      <c r="I1491" s="8" t="str">
        <f>IFERROR(__xludf.DUMMYFUNCTION("GOOGLETRANSLATE(C1491, ""en"", ""ar"")"),"تنافس، تنافس")</f>
        <v>تنافس، تنافس</v>
      </c>
      <c r="J1491" s="8"/>
      <c r="K1491" s="7" t="str">
        <f>IFERROR(__xludf.DUMMYFUNCTION("CONCAT(REGEXREPLACE(C1491,""[ ,]+"",""_""),"".mp3"")"),"vie_compete.mp3")</f>
        <v>vie_compete.mp3</v>
      </c>
      <c r="M1491" s="4" t="s">
        <v>10</v>
      </c>
    </row>
    <row r="1492" ht="15.75" customHeight="1">
      <c r="A1492" s="1">
        <v>2860.0</v>
      </c>
      <c r="B1492" s="3">
        <v>155.0</v>
      </c>
      <c r="C1492" s="7" t="s">
        <v>1507</v>
      </c>
      <c r="D1492" s="8" t="str">
        <f>IFERROR(__xludf.DUMMYFUNCTION("GOOGLETRANSLATE(C1492, ""en"", ""pt"")"),"veracidade, verdade")</f>
        <v>veracidade, verdade</v>
      </c>
      <c r="E1492" s="8" t="str">
        <f>IFERROR(__xludf.DUMMYFUNCTION("GOOGLETRANSLATE(C1492, ""en"", ""es"")"),"verdad, veracidad")</f>
        <v>verdad, veracidad</v>
      </c>
      <c r="F1492" s="8" t="str">
        <f>IFERROR(__xludf.DUMMYFUNCTION("GOOGLETRANSLATE(C1492, ""en"", ""fr"")"),"vérité, vérité")</f>
        <v>vérité, vérité</v>
      </c>
      <c r="G1492" s="8" t="str">
        <f>IFERROR(__xludf.DUMMYFUNCTION("GOOGLETRANSLATE(C1492, ""en"", ""de"")"),"Wahrheit")</f>
        <v>Wahrheit</v>
      </c>
      <c r="H1492" s="8" t="str">
        <f>IFERROR(__xludf.DUMMYFUNCTION("GOOGLETRANSLATE(C1492, ""en"", ""ru"")"),"правдивость, истина")</f>
        <v>правдивость, истина</v>
      </c>
      <c r="I1492" s="8" t="str">
        <f>IFERROR(__xludf.DUMMYFUNCTION("GOOGLETRANSLATE(C1492, ""en"", ""ar"")"),"الحقيقة، الصدق")</f>
        <v>الحقيقة، الصدق</v>
      </c>
      <c r="J1492" s="8"/>
      <c r="K1492" s="7" t="str">
        <f>IFERROR(__xludf.DUMMYFUNCTION("CONCAT(REGEXREPLACE(C1492,""[ ,]+"",""_""),"".mp3"")"),"verity_truth.mp3")</f>
        <v>verity_truth.mp3</v>
      </c>
      <c r="M1492" s="4" t="s">
        <v>10</v>
      </c>
    </row>
    <row r="1493" ht="15.75" customHeight="1">
      <c r="A1493" s="1">
        <v>2861.0</v>
      </c>
      <c r="B1493" s="3">
        <v>155.0</v>
      </c>
      <c r="C1493" s="7" t="s">
        <v>1508</v>
      </c>
      <c r="D1493" s="8" t="str">
        <f>IFERROR(__xludf.DUMMYFUNCTION("GOOGLETRANSLATE(C1493, ""en"", ""pt"")"),"desenfreado, imoral")</f>
        <v>desenfreado, imoral</v>
      </c>
      <c r="E1493" s="8" t="str">
        <f>IFERROR(__xludf.DUMMYFUNCTION("GOOGLETRANSLATE(C1493, ""en"", ""es"")"),"desenfrenado, inmoral")</f>
        <v>desenfrenado, inmoral</v>
      </c>
      <c r="F1493" s="8" t="str">
        <f>IFERROR(__xludf.DUMMYFUNCTION("GOOGLETRANSLATE(C1493, ""en"", ""fr"")"),"débauché, immoral")</f>
        <v>débauché, immoral</v>
      </c>
      <c r="G1493" s="8" t="str">
        <f>IFERROR(__xludf.DUMMYFUNCTION("GOOGLETRANSLATE(C1493, ""en"", ""de"")"),"zügellos, unmoralisch")</f>
        <v>zügellos, unmoralisch</v>
      </c>
      <c r="H1493" s="8" t="str">
        <f>IFERROR(__xludf.DUMMYFUNCTION("GOOGLETRANSLATE(C1493, ""en"", ""ru"")"),"распутный, аморальный")</f>
        <v>распутный, аморальный</v>
      </c>
      <c r="I1493" s="8" t="str">
        <f>IFERROR(__xludf.DUMMYFUNCTION("GOOGLETRANSLATE(C1493, ""en"", ""ar"")"),"طائش، غير أخلاقي")</f>
        <v>طائش، غير أخلاقي</v>
      </c>
      <c r="J1493" s="8"/>
      <c r="K1493" s="7" t="str">
        <f>IFERROR(__xludf.DUMMYFUNCTION("CONCAT(REGEXREPLACE(C1493,""[ ,]+"",""_""),"".mp3"")"),"wanton_immoral.mp3")</f>
        <v>wanton_immoral.mp3</v>
      </c>
      <c r="M1493" s="4" t="s">
        <v>10</v>
      </c>
    </row>
    <row r="1494" ht="15.75" customHeight="1">
      <c r="A1494" s="1">
        <v>2862.0</v>
      </c>
      <c r="B1494" s="3">
        <v>155.0</v>
      </c>
      <c r="C1494" s="7" t="s">
        <v>1509</v>
      </c>
      <c r="D1494" s="8" t="str">
        <f>IFERROR(__xludf.DUMMYFUNCTION("GOOGLETRANSLATE(C1494, ""en"", ""pt"")"),"destroços, destruir")</f>
        <v>destroços, destruir</v>
      </c>
      <c r="E1494" s="8" t="str">
        <f>IFERROR(__xludf.DUMMYFUNCTION("GOOGLETRANSLATE(C1494, ""en"", ""es"")"),"destrozar, destruir")</f>
        <v>destrozar, destruir</v>
      </c>
      <c r="F1494" s="8" t="str">
        <f>IFERROR(__xludf.DUMMYFUNCTION("GOOGLETRANSLATE(C1494, ""en"", ""fr"")"),"épave, détruire")</f>
        <v>épave, détruire</v>
      </c>
      <c r="G1494" s="8" t="str">
        <f>IFERROR(__xludf.DUMMYFUNCTION("GOOGLETRANSLATE(C1494, ""en"", ""de"")"),"zerstören, vernichten")</f>
        <v>zerstören, vernichten</v>
      </c>
      <c r="H1494" s="8" t="str">
        <f>IFERROR(__xludf.DUMMYFUNCTION("GOOGLETRANSLATE(C1494, ""en"", ""ru"")"),"разрушить, уничтожить")</f>
        <v>разрушить, уничтожить</v>
      </c>
      <c r="I1494" s="8" t="str">
        <f>IFERROR(__xludf.DUMMYFUNCTION("GOOGLETRANSLATE(C1494, ""en"", ""ar"")"),"حطم، دمّر")</f>
        <v>حطم، دمّر</v>
      </c>
      <c r="J1494" s="8"/>
      <c r="K1494" s="7" t="str">
        <f>IFERROR(__xludf.DUMMYFUNCTION("CONCAT(REGEXREPLACE(C1494,""[ ,]+"",""_""),"".mp3"")"),"wreck_destroy.mp3")</f>
        <v>wreck_destroy.mp3</v>
      </c>
      <c r="M1494" s="4" t="s">
        <v>10</v>
      </c>
    </row>
    <row r="1495" ht="15.75" customHeight="1">
      <c r="A1495" s="1">
        <v>2863.0</v>
      </c>
      <c r="B1495" s="3">
        <v>155.0</v>
      </c>
      <c r="C1495" s="7" t="s">
        <v>1510</v>
      </c>
      <c r="D1495" s="8" t="str">
        <f>IFERROR(__xludf.DUMMYFUNCTION("GOOGLETRANSLATE(C1495, ""en"", ""pt"")"),"não quero, hábito")</f>
        <v>não quero, hábito</v>
      </c>
      <c r="E1495" s="8" t="str">
        <f>IFERROR(__xludf.DUMMYFUNCTION("GOOGLETRANSLATE(C1495, ""en"", ""es"")"),"costumbre, hábito")</f>
        <v>costumbre, hábito</v>
      </c>
      <c r="F1495" s="8" t="str">
        <f>IFERROR(__xludf.DUMMYFUNCTION("GOOGLETRANSLATE(C1495, ""en"", ""fr"")"),"ne veut pas, habitude")</f>
        <v>ne veut pas, habitude</v>
      </c>
      <c r="G1495" s="8" t="str">
        <f>IFERROR(__xludf.DUMMYFUNCTION("GOOGLETRANSLATE(C1495, ""en"", ""de"")"),"wollen, Gewohnheit")</f>
        <v>wollen, Gewohnheit</v>
      </c>
      <c r="H1495" s="8" t="str">
        <f>IFERROR(__xludf.DUMMYFUNCTION("GOOGLETRANSLATE(C1495, ""en"", ""ru"")"),"не будет, привычка")</f>
        <v>не будет, привычка</v>
      </c>
      <c r="I1495" s="8" t="str">
        <f>IFERROR(__xludf.DUMMYFUNCTION("GOOGLETRANSLATE(C1495, ""en"", ""ar"")"),"لن أفعل، عادة")</f>
        <v>لن أفعل، عادة</v>
      </c>
      <c r="J1495" s="8"/>
      <c r="K1495" s="7" t="str">
        <f>IFERROR(__xludf.DUMMYFUNCTION("CONCAT(REGEXREPLACE(C1495,""[ ,]+"",""_""),"".mp3"")"),"wont_habit.mp3")</f>
        <v>wont_habit.mp3</v>
      </c>
      <c r="M1495" s="4" t="s">
        <v>10</v>
      </c>
    </row>
    <row r="1496" ht="15.75" customHeight="1">
      <c r="A1496" s="1">
        <v>2864.0</v>
      </c>
      <c r="B1496" s="3">
        <v>155.0</v>
      </c>
      <c r="C1496" s="7" t="s">
        <v>1511</v>
      </c>
      <c r="D1496" s="8" t="str">
        <f>IFERROR(__xludf.DUMMYFUNCTION("GOOGLETRANSLATE(C1496, ""en"", ""pt"")"),"desmame, separar")</f>
        <v>desmame, separar</v>
      </c>
      <c r="E1496" s="8" t="str">
        <f>IFERROR(__xludf.DUMMYFUNCTION("GOOGLETRANSLATE(C1496, ""en"", ""es"")"),"destete, separar")</f>
        <v>destete, separar</v>
      </c>
      <c r="F1496" s="8" t="str">
        <f>IFERROR(__xludf.DUMMYFUNCTION("GOOGLETRANSLATE(C1496, ""en"", ""fr"")"),"sevrage, séparer")</f>
        <v>sevrage, séparer</v>
      </c>
      <c r="G1496" s="8" t="str">
        <f>IFERROR(__xludf.DUMMYFUNCTION("GOOGLETRANSLATE(C1496, ""en"", ""de"")"),"entwöhnen, trennen")</f>
        <v>entwöhnen, trennen</v>
      </c>
      <c r="H1496" s="8" t="str">
        <f>IFERROR(__xludf.DUMMYFUNCTION("GOOGLETRANSLATE(C1496, ""en"", ""ru"")"),"отлучение от груди, раздельное обучение")</f>
        <v>отлучение от груди, раздельное обучение</v>
      </c>
      <c r="I1496" s="8" t="str">
        <f>IFERROR(__xludf.DUMMYFUNCTION("GOOGLETRANSLATE(C1496, ""en"", ""ar"")"),"الفطام، الفصل")</f>
        <v>الفطام، الفصل</v>
      </c>
      <c r="J1496" s="8"/>
      <c r="K1496" s="7" t="str">
        <f>IFERROR(__xludf.DUMMYFUNCTION("CONCAT(REGEXREPLACE(C1496,""[ ,]+"",""_""),"".mp3"")"),"wean_separate.mp3")</f>
        <v>wean_separate.mp3</v>
      </c>
      <c r="M1496" s="4" t="s">
        <v>10</v>
      </c>
    </row>
    <row r="1497" ht="15.75" customHeight="1">
      <c r="A1497" s="1">
        <v>2865.0</v>
      </c>
      <c r="B1497" s="3">
        <v>155.0</v>
      </c>
      <c r="C1497" s="7" t="s">
        <v>1512</v>
      </c>
      <c r="D1497" s="8" t="str">
        <f>IFERROR(__xludf.DUMMYFUNCTION("GOOGLETRANSLATE(C1497, ""en"", ""pt"")"),"obstinado, teimoso")</f>
        <v>obstinado, teimoso</v>
      </c>
      <c r="E1497" s="8" t="str">
        <f>IFERROR(__xludf.DUMMYFUNCTION("GOOGLETRANSLATE(C1497, ""en"", ""es"")"),"obstinado, testarudo")</f>
        <v>obstinado, testarudo</v>
      </c>
      <c r="F1497" s="8" t="str">
        <f>IFERROR(__xludf.DUMMYFUNCTION("GOOGLETRANSLATE(C1497, ""en"", ""fr"")"),"volontaire, obstiné")</f>
        <v>volontaire, obstiné</v>
      </c>
      <c r="G1497" s="8" t="str">
        <f>IFERROR(__xludf.DUMMYFUNCTION("GOOGLETRANSLATE(C1497, ""en"", ""de"")"),"eigensinnig, hartnäckig")</f>
        <v>eigensinnig, hartnäckig</v>
      </c>
      <c r="H1497" s="8" t="str">
        <f>IFERROR(__xludf.DUMMYFUNCTION("GOOGLETRANSLATE(C1497, ""en"", ""ru"")"),"своенравный, упрямый")</f>
        <v>своенравный, упрямый</v>
      </c>
      <c r="I1497" s="8" t="str">
        <f>IFERROR(__xludf.DUMMYFUNCTION("GOOGLETRANSLATE(C1497, ""en"", ""ar"")"),"عنيد، متشبث برأيه")</f>
        <v>عنيد، متشبث برأيه</v>
      </c>
      <c r="J1497" s="8"/>
      <c r="K1497" s="7" t="str">
        <f>IFERROR(__xludf.DUMMYFUNCTION("CONCAT(REGEXREPLACE(C1497,""[ ,]+"",""_""),"".mp3"")"),"wilful_obstinate.mp3")</f>
        <v>wilful_obstinate.mp3</v>
      </c>
      <c r="M1497" s="4" t="s">
        <v>10</v>
      </c>
    </row>
    <row r="1498" ht="15.75" customHeight="1">
      <c r="A1498" s="1">
        <v>2866.0</v>
      </c>
      <c r="B1498" s="3">
        <v>155.0</v>
      </c>
      <c r="C1498" s="7" t="s">
        <v>1513</v>
      </c>
      <c r="D1498" s="8" t="str">
        <f>IFERROR(__xludf.DUMMYFUNCTION("GOOGLETRANSLATE(C1498, ""en"", ""pt"")"),"cauteloso, cuidadoso")</f>
        <v>cauteloso, cuidadoso</v>
      </c>
      <c r="E1498" s="8" t="str">
        <f>IFERROR(__xludf.DUMMYFUNCTION("GOOGLETRANSLATE(C1498, ""en"", ""es"")"),"cauteloso, cuidadoso")</f>
        <v>cauteloso, cuidadoso</v>
      </c>
      <c r="F1498" s="8" t="str">
        <f>IFERROR(__xludf.DUMMYFUNCTION("GOOGLETRANSLATE(C1498, ""en"", ""fr"")"),"méfiant, prudent")</f>
        <v>méfiant, prudent</v>
      </c>
      <c r="G1498" s="8" t="str">
        <f>IFERROR(__xludf.DUMMYFUNCTION("GOOGLETRANSLATE(C1498, ""en"", ""de"")"),"vorsichtig")</f>
        <v>vorsichtig</v>
      </c>
      <c r="H1498" s="8" t="str">
        <f>IFERROR(__xludf.DUMMYFUNCTION("GOOGLETRANSLATE(C1498, ""en"", ""ru"")"),"осторожный, осмотрительный")</f>
        <v>осторожный, осмотрительный</v>
      </c>
      <c r="I1498" s="8" t="str">
        <f>IFERROR(__xludf.DUMMYFUNCTION("GOOGLETRANSLATE(C1498, ""en"", ""ar"")"),"حذر، متأنٍ")</f>
        <v>حذر، متأنٍ</v>
      </c>
      <c r="J1498" s="8"/>
      <c r="K1498" s="7" t="str">
        <f>IFERROR(__xludf.DUMMYFUNCTION("CONCAT(REGEXREPLACE(C1498,""[ ,]+"",""_""),"".mp3"")"),"wary_careful.mp3")</f>
        <v>wary_careful.mp3</v>
      </c>
      <c r="M1498" s="4" t="s">
        <v>10</v>
      </c>
    </row>
    <row r="1499" ht="15.75" customHeight="1">
      <c r="A1499" s="1">
        <v>2867.0</v>
      </c>
      <c r="B1499" s="3">
        <v>155.0</v>
      </c>
      <c r="C1499" s="7" t="s">
        <v>1514</v>
      </c>
      <c r="D1499" s="8" t="str">
        <f>IFERROR(__xludf.DUMMYFUNCTION("GOOGLETRANSLATE(C1499, ""en"", ""pt"")"),"ira, raiva")</f>
        <v>ira, raiva</v>
      </c>
      <c r="E1499" s="8" t="str">
        <f>IFERROR(__xludf.DUMMYFUNCTION("GOOGLETRANSLATE(C1499, ""en"", ""es"")"),"ira, enojo")</f>
        <v>ira, enojo</v>
      </c>
      <c r="F1499" s="8" t="str">
        <f>IFERROR(__xludf.DUMMYFUNCTION("GOOGLETRANSLATE(C1499, ""en"", ""fr"")"),"colère, colère")</f>
        <v>colère, colère</v>
      </c>
      <c r="G1499" s="8" t="str">
        <f>IFERROR(__xludf.DUMMYFUNCTION("GOOGLETRANSLATE(C1499, ""en"", ""de"")"),"Zorn, Wut")</f>
        <v>Zorn, Wut</v>
      </c>
      <c r="H1499" s="8" t="str">
        <f>IFERROR(__xludf.DUMMYFUNCTION("GOOGLETRANSLATE(C1499, ""en"", ""ru"")"),"гнев, ярость")</f>
        <v>гнев, ярость</v>
      </c>
      <c r="I1499" s="8" t="str">
        <f>IFERROR(__xludf.DUMMYFUNCTION("GOOGLETRANSLATE(C1499, ""en"", ""ar"")"),"الغضب، السخط")</f>
        <v>الغضب، السخط</v>
      </c>
      <c r="J1499" s="8"/>
      <c r="K1499" s="7" t="str">
        <f>IFERROR(__xludf.DUMMYFUNCTION("CONCAT(REGEXREPLACE(C1499,""[ ,]+"",""_""),"".mp3"")"),"wrath_anger.mp3")</f>
        <v>wrath_anger.mp3</v>
      </c>
      <c r="M1499" s="4" t="s">
        <v>10</v>
      </c>
    </row>
    <row r="1500" ht="15.75" customHeight="1">
      <c r="A1500" s="1">
        <v>2868.0</v>
      </c>
      <c r="B1500" s="3">
        <v>155.0</v>
      </c>
      <c r="C1500" s="7" t="s">
        <v>1515</v>
      </c>
      <c r="D1500" s="8" t="str">
        <f>IFERROR(__xludf.DUMMYFUNCTION("GOOGLETRANSLATE(C1500, ""en"", ""pt"")"),"emboscada, roubo")</f>
        <v>emboscada, roubo</v>
      </c>
      <c r="E1500" s="8" t="str">
        <f>IFERROR(__xludf.DUMMYFUNCTION("GOOGLETRANSLATE(C1500, ""en"", ""es"")"),"emboscada, robo")</f>
        <v>emboscada, robo</v>
      </c>
      <c r="F1500" s="8" t="str">
        <f>IFERROR(__xludf.DUMMYFUNCTION("GOOGLETRANSLATE(C1500, ""en"", ""fr"")"),"escarmouche, vol")</f>
        <v>escarmouche, vol</v>
      </c>
      <c r="G1500" s="8" t="str">
        <f>IFERROR(__xludf.DUMMYFUNCTION("GOOGLETRANSLATE(C1500, ""en"", ""de"")"),"auflauern, ausrauben")</f>
        <v>auflauern, ausrauben</v>
      </c>
      <c r="H1500" s="8" t="str">
        <f>IFERROR(__xludf.DUMMYFUNCTION("GOOGLETRANSLATE(C1500, ""en"", ""ru"")"),"подстерегать, грабить")</f>
        <v>подстерегать, грабить</v>
      </c>
      <c r="I1500" s="8" t="str">
        <f>IFERROR(__xludf.DUMMYFUNCTION("GOOGLETRANSLATE(C1500, ""en"", ""ar"")"),"نصب كمين، سرقة")</f>
        <v>نصب كمين، سرقة</v>
      </c>
      <c r="J1500" s="8"/>
      <c r="K1500" s="7" t="str">
        <f>IFERROR(__xludf.DUMMYFUNCTION("CONCAT(REGEXREPLACE(C1500,""[ ,]+"",""_""),"".mp3"")"),"way-lay_rob.mp3")</f>
        <v>way-lay_rob.mp3</v>
      </c>
      <c r="M1500" s="4" t="s">
        <v>10</v>
      </c>
    </row>
    <row r="1501" ht="15.75" customHeight="1">
      <c r="A1501" s="1">
        <v>2869.0</v>
      </c>
      <c r="B1501" s="3">
        <v>155.0</v>
      </c>
      <c r="C1501" s="7" t="s">
        <v>1516</v>
      </c>
      <c r="D1501" s="8" t="str">
        <f>IFERROR(__xludf.DUMMYFUNCTION("GOOGLETRANSLATE(C1501, ""en"", ""pt"")"),"entusiasmo, vigor")</f>
        <v>entusiasmo, vigor</v>
      </c>
      <c r="E1501" s="8" t="str">
        <f>IFERROR(__xludf.DUMMYFUNCTION("GOOGLETRANSLATE(C1501, ""en"", ""es"")"),"entusiasmo, vitalidad")</f>
        <v>entusiasmo, vitalidad</v>
      </c>
      <c r="F1501" s="8" t="str">
        <f>IFERROR(__xludf.DUMMYFUNCTION("GOOGLETRANSLATE(C1501, ""en"", ""fr"")"),"enthousiasme, entrain")</f>
        <v>enthousiasme, entrain</v>
      </c>
      <c r="G1501" s="8" t="str">
        <f>IFERROR(__xludf.DUMMYFUNCTION("GOOGLETRANSLATE(C1501, ""en"", ""de"")"),"Begeisterung, Enthusiasmus")</f>
        <v>Begeisterung, Enthusiasmus</v>
      </c>
      <c r="H1501" s="8" t="str">
        <f>IFERROR(__xludf.DUMMYFUNCTION("GOOGLETRANSLATE(C1501, ""en"", ""ru"")"),"задор, энтузиазм")</f>
        <v>задор, энтузиазм</v>
      </c>
      <c r="I1501" s="8" t="str">
        <f>IFERROR(__xludf.DUMMYFUNCTION("GOOGLETRANSLATE(C1501, ""en"", ""ar"")"),"الحماس والنشاط")</f>
        <v>الحماس والنشاط</v>
      </c>
      <c r="J1501" s="8"/>
      <c r="K1501" s="7" t="str">
        <f>IFERROR(__xludf.DUMMYFUNCTION("CONCAT(REGEXREPLACE(C1501,""[ ,]+"",""_""),"".mp3"")"),"zest_enthusiasm.mp3")</f>
        <v>zest_enthusiasm.mp3</v>
      </c>
      <c r="M1501" s="4" t="s">
        <v>10</v>
      </c>
    </row>
    <row r="1502" ht="15.75" customHeight="1">
      <c r="A1502" s="1">
        <v>2870.0</v>
      </c>
      <c r="B1502" s="3">
        <v>155.0</v>
      </c>
      <c r="C1502" s="7" t="s">
        <v>1517</v>
      </c>
      <c r="D1502" s="8" t="str">
        <f>IFERROR(__xludf.DUMMYFUNCTION("GOOGLETRANSLATE(C1502, ""en"", ""pt"")"),"bandido, ladrão")</f>
        <v>bandido, ladrão</v>
      </c>
      <c r="E1502" s="8" t="str">
        <f>IFERROR(__xludf.DUMMYFUNCTION("GOOGLETRANSLATE(C1502, ""en"", ""es"")"),"bandido, ladrón")</f>
        <v>bandido, ladrón</v>
      </c>
      <c r="F1502" s="8" t="str">
        <f>IFERROR(__xludf.DUMMYFUNCTION("GOOGLETRANSLATE(C1502, ""en"", ""fr"")"),"brigand, voleur")</f>
        <v>brigand, voleur</v>
      </c>
      <c r="G1502" s="8" t="str">
        <f>IFERROR(__xludf.DUMMYFUNCTION("GOOGLETRANSLATE(C1502, ""en"", ""de"")"),"Bandit, Räuber")</f>
        <v>Bandit, Räuber</v>
      </c>
      <c r="H1502" s="8" t="str">
        <f>IFERROR(__xludf.DUMMYFUNCTION("GOOGLETRANSLATE(C1502, ""en"", ""ru"")"),"разбойник, грабитель")</f>
        <v>разбойник, грабитель</v>
      </c>
      <c r="I1502" s="8" t="str">
        <f>IFERROR(__xludf.DUMMYFUNCTION("GOOGLETRANSLATE(C1502, ""en"", ""ar"")"),"قاطع طريق، سارق")</f>
        <v>قاطع طريق، سارق</v>
      </c>
      <c r="J1502" s="8"/>
      <c r="K1502" s="7" t="str">
        <f>IFERROR(__xludf.DUMMYFUNCTION("CONCAT(REGEXREPLACE(C1502,""[ ,]+"",""_""),"".mp3"")"),"brigand_robber.mp3")</f>
        <v>brigand_robber.mp3</v>
      </c>
      <c r="M1502" s="4" t="s">
        <v>10</v>
      </c>
    </row>
    <row r="1503" ht="15.75" customHeight="1">
      <c r="A1503" s="1">
        <v>2871.0</v>
      </c>
      <c r="B1503" s="3">
        <v>155.0</v>
      </c>
      <c r="C1503" s="7" t="s">
        <v>1518</v>
      </c>
      <c r="D1503" s="8" t="str">
        <f>IFERROR(__xludf.DUMMYFUNCTION("GOOGLETRANSLATE(C1503, ""en"", ""pt"")"),"insensível, cruel")</f>
        <v>insensível, cruel</v>
      </c>
      <c r="E1503" s="8" t="str">
        <f>IFERROR(__xludf.DUMMYFUNCTION("GOOGLETRANSLATE(C1503, ""en"", ""es"")"),"insensible, despiadado")</f>
        <v>insensible, despiadado</v>
      </c>
      <c r="F1503" s="8" t="str">
        <f>IFERROR(__xludf.DUMMYFUNCTION("GOOGLETRANSLATE(C1503, ""en"", ""fr"")"),"insensible, sans cœur")</f>
        <v>insensible, sans cœur</v>
      </c>
      <c r="G1503" s="8" t="str">
        <f>IFERROR(__xludf.DUMMYFUNCTION("GOOGLETRANSLATE(C1503, ""en"", ""de"")"),"gefühllos, herzlos")</f>
        <v>gefühllos, herzlos</v>
      </c>
      <c r="H1503" s="8" t="str">
        <f>IFERROR(__xludf.DUMMYFUNCTION("GOOGLETRANSLATE(C1503, ""en"", ""ru"")"),"бессердечный, бессердечный")</f>
        <v>бессердечный, бессердечный</v>
      </c>
      <c r="I1503" s="8" t="str">
        <f>IFERROR(__xludf.DUMMYFUNCTION("GOOGLETRANSLATE(C1503, ""en"", ""ar"")"),"قاسي القلب، عديم الرحمة")</f>
        <v>قاسي القلب، عديم الرحمة</v>
      </c>
      <c r="J1503" s="8"/>
      <c r="K1503" s="7" t="str">
        <f>IFERROR(__xludf.DUMMYFUNCTION("CONCAT(REGEXREPLACE(C1503,""[ ,]+"",""_""),"".mp3"")"),"callous_heartless.mp3")</f>
        <v>callous_heartless.mp3</v>
      </c>
      <c r="M1503" s="4" t="s">
        <v>10</v>
      </c>
    </row>
    <row r="1504" ht="15.75" customHeight="1">
      <c r="A1504" s="1">
        <v>2872.0</v>
      </c>
      <c r="B1504" s="3">
        <v>155.0</v>
      </c>
      <c r="C1504" s="7" t="s">
        <v>1519</v>
      </c>
      <c r="D1504" s="8" t="str">
        <f>IFERROR(__xludf.DUMMYFUNCTION("GOOGLETRANSLATE(C1504, ""en"", ""pt"")"),"castigar, repreender")</f>
        <v>castigar, repreender</v>
      </c>
      <c r="E1504" s="8" t="str">
        <f>IFERROR(__xludf.DUMMYFUNCTION("GOOGLETRANSLATE(C1504, ""en"", ""es"")"),"castigar, reprender")</f>
        <v>castigar, reprender</v>
      </c>
      <c r="F1504" s="8" t="str">
        <f>IFERROR(__xludf.DUMMYFUNCTION("GOOGLETRANSLATE(C1504, ""en"", ""fr"")"),"réprimander, gronder")</f>
        <v>réprimander, gronder</v>
      </c>
      <c r="G1504" s="8" t="str">
        <f>IFERROR(__xludf.DUMMYFUNCTION("GOOGLETRANSLATE(C1504, ""en"", ""de"")"),"tadeln, rügen")</f>
        <v>tadeln, rügen</v>
      </c>
      <c r="H1504" s="8" t="str">
        <f>IFERROR(__xludf.DUMMYFUNCTION("GOOGLETRANSLATE(C1504, ""en"", ""ru"")"),"наказывать, выносить выговор")</f>
        <v>наказывать, выносить выговор</v>
      </c>
      <c r="I1504" s="8" t="str">
        <f>IFERROR(__xludf.DUMMYFUNCTION("GOOGLETRANSLATE(C1504, ""en"", ""ar"")"),"توبيخ، توبيخ")</f>
        <v>توبيخ، توبيخ</v>
      </c>
      <c r="J1504" s="8"/>
      <c r="K1504" s="7" t="str">
        <f>IFERROR(__xludf.DUMMYFUNCTION("CONCAT(REGEXREPLACE(C1504,""[ ,]+"",""_""),"".mp3"")"),"castigate_reprimand.mp3")</f>
        <v>castigate_reprimand.mp3</v>
      </c>
      <c r="M1504" s="4" t="s">
        <v>10</v>
      </c>
    </row>
    <row r="1505" ht="15.75" customHeight="1">
      <c r="A1505" s="1">
        <v>2873.0</v>
      </c>
      <c r="B1505" s="3">
        <v>155.0</v>
      </c>
      <c r="C1505" s="7" t="s">
        <v>1520</v>
      </c>
      <c r="D1505" s="8" t="str">
        <f>IFERROR(__xludf.DUMMYFUNCTION("GOOGLETRANSLATE(C1505, ""en"", ""pt"")"),"meio-fio, controle")</f>
        <v>meio-fio, controle</v>
      </c>
      <c r="E1505" s="8" t="str">
        <f>IFERROR(__xludf.DUMMYFUNCTION("GOOGLETRANSLATE(C1505, ""en"", ""es"")"),"bordillo, control")</f>
        <v>bordillo, control</v>
      </c>
      <c r="F1505" s="8" t="str">
        <f>IFERROR(__xludf.DUMMYFUNCTION("GOOGLETRANSLATE(C1505, ""en"", ""fr"")"),"frein, contrôle")</f>
        <v>frein, contrôle</v>
      </c>
      <c r="G1505" s="8" t="str">
        <f>IFERROR(__xludf.DUMMYFUNCTION("GOOGLETRANSLATE(C1505, ""en"", ""de"")"),"Eindämmung, Kontrolle")</f>
        <v>Eindämmung, Kontrolle</v>
      </c>
      <c r="H1505" s="8" t="str">
        <f>IFERROR(__xludf.DUMMYFUNCTION("GOOGLETRANSLATE(C1505, ""en"", ""ru"")"),"бордюр, контроль")</f>
        <v>бордюр, контроль</v>
      </c>
      <c r="I1505" s="8" t="str">
        <f>IFERROR(__xludf.DUMMYFUNCTION("GOOGLETRANSLATE(C1505, ""en"", ""ar"")"),"الرصيف، السيطرة")</f>
        <v>الرصيف، السيطرة</v>
      </c>
      <c r="J1505" s="8"/>
      <c r="K1505" s="7" t="str">
        <f>IFERROR(__xludf.DUMMYFUNCTION("CONCAT(REGEXREPLACE(C1505,""[ ,]+"",""_""),"".mp3"")"),"curb_control.mp3")</f>
        <v>curb_control.mp3</v>
      </c>
      <c r="M1505" s="4" t="s">
        <v>10</v>
      </c>
    </row>
    <row r="1506" ht="15.75" customHeight="1">
      <c r="A1506" s="1">
        <v>2874.0</v>
      </c>
      <c r="B1506" s="3">
        <v>155.0</v>
      </c>
      <c r="C1506" s="7" t="s">
        <v>1521</v>
      </c>
      <c r="D1506" s="8" t="str">
        <f>IFERROR(__xludf.DUMMYFUNCTION("GOOGLETRANSLATE(C1506, ""en"", ""pt"")"),"desenterrar, exumar")</f>
        <v>desenterrar, exumar</v>
      </c>
      <c r="E1506" s="8" t="str">
        <f>IFERROR(__xludf.DUMMYFUNCTION("GOOGLETRANSLATE(C1506, ""en"", ""es"")"),"desenterrar, exhumar")</f>
        <v>desenterrar, exhumar</v>
      </c>
      <c r="F1506" s="8" t="str">
        <f>IFERROR(__xludf.DUMMYFUNCTION("GOOGLETRANSLATE(C1506, ""en"", ""fr"")"),"déterrer, exhumer")</f>
        <v>déterrer, exhumer</v>
      </c>
      <c r="G1506" s="8" t="str">
        <f>IFERROR(__xludf.DUMMYFUNCTION("GOOGLETRANSLATE(C1506, ""en"", ""de"")"),"Ausgraben, exhumieren")</f>
        <v>Ausgraben, exhumieren</v>
      </c>
      <c r="H1506" s="8" t="str">
        <f>IFERROR(__xludf.DUMMYFUNCTION("GOOGLETRANSLATE(C1506, ""en"", ""ru"")"),"эксгумировать, выкопать")</f>
        <v>эксгумировать, выкопать</v>
      </c>
      <c r="I1506" s="8" t="str">
        <f>IFERROR(__xludf.DUMMYFUNCTION("GOOGLETRANSLATE(C1506, ""en"", ""ar"")"),"استخراج الجثث، نبش القبور")</f>
        <v>استخراج الجثث، نبش القبور</v>
      </c>
      <c r="J1506" s="8"/>
      <c r="K1506" s="7" t="str">
        <f>IFERROR(__xludf.DUMMYFUNCTION("CONCAT(REGEXREPLACE(C1506,""[ ,]+"",""_""),"".mp3"")"),"disinter_exhume.mp3")</f>
        <v>disinter_exhume.mp3</v>
      </c>
      <c r="M1506" s="4" t="s">
        <v>10</v>
      </c>
    </row>
    <row r="1507" ht="15.75" customHeight="1">
      <c r="A1507" s="1">
        <v>2875.0</v>
      </c>
      <c r="B1507" s="3">
        <v>155.0</v>
      </c>
      <c r="C1507" s="7" t="s">
        <v>1522</v>
      </c>
      <c r="D1507" s="8" t="str">
        <f>IFERROR(__xludf.DUMMYFUNCTION("GOOGLETRANSLATE(C1507, ""en"", ""pt"")"),"epítome, conciso")</f>
        <v>epítome, conciso</v>
      </c>
      <c r="E1507" s="8" t="str">
        <f>IFERROR(__xludf.DUMMYFUNCTION("GOOGLETRANSLATE(C1507, ""en"", ""es"")"),"epítome, conciso")</f>
        <v>epítome, conciso</v>
      </c>
      <c r="F1507" s="8" t="str">
        <f>IFERROR(__xludf.DUMMYFUNCTION("GOOGLETRANSLATE(C1507, ""en"", ""fr"")"),"épitome, concis")</f>
        <v>épitome, concis</v>
      </c>
      <c r="G1507" s="8" t="str">
        <f>IFERROR(__xludf.DUMMYFUNCTION("GOOGLETRANSLATE(C1507, ""en"", ""de"")"),"Inbegriff, prägnant")</f>
        <v>Inbegriff, prägnant</v>
      </c>
      <c r="H1507" s="8" t="str">
        <f>IFERROR(__xludf.DUMMYFUNCTION("GOOGLETRANSLATE(C1507, ""en"", ""ru"")"),"краткое и лаконичное изложение")</f>
        <v>краткое и лаконичное изложение</v>
      </c>
      <c r="I1507" s="8" t="str">
        <f>IFERROR(__xludf.DUMMYFUNCTION("GOOGLETRANSLATE(C1507, ""en"", ""ar"")"),"خلاصة، موجز")</f>
        <v>خلاصة، موجز</v>
      </c>
      <c r="J1507" s="8"/>
      <c r="K1507" s="7" t="str">
        <f>IFERROR(__xludf.DUMMYFUNCTION("CONCAT(REGEXREPLACE(C1507,""[ ,]+"",""_""),"".mp3"")"),"epitome_concise.mp3")</f>
        <v>epitome_concise.mp3</v>
      </c>
      <c r="M1507" s="4" t="s">
        <v>10</v>
      </c>
    </row>
    <row r="1508" ht="15.75" customHeight="1">
      <c r="A1508" s="1">
        <v>2876.0</v>
      </c>
      <c r="B1508" s="3">
        <v>155.0</v>
      </c>
      <c r="C1508" s="7" t="s">
        <v>1523</v>
      </c>
      <c r="D1508" s="8" t="str">
        <f>IFERROR(__xludf.DUMMYFUNCTION("GOOGLETRANSLATE(C1508, ""en"", ""pt"")"),"efeminado, cansado")</f>
        <v>efeminado, cansado</v>
      </c>
      <c r="E1508" s="8" t="str">
        <f>IFERROR(__xludf.DUMMYFUNCTION("GOOGLETRANSLATE(C1508, ""en"", ""es"")"),"débil, cansado")</f>
        <v>débil, cansado</v>
      </c>
      <c r="F1508" s="8" t="str">
        <f>IFERROR(__xludf.DUMMYFUNCTION("GOOGLETRANSLATE(C1508, ""en"", ""fr"")"),"efféminé, fatigué")</f>
        <v>efféminé, fatigué</v>
      </c>
      <c r="G1508" s="8" t="str">
        <f>IFERROR(__xludf.DUMMYFUNCTION("GOOGLETRANSLATE(C1508, ""en"", ""de"")"),"abgemagert, müde")</f>
        <v>abgemagert, müde</v>
      </c>
      <c r="H1508" s="8" t="str">
        <f>IFERROR(__xludf.DUMMYFUNCTION("GOOGLETRANSLATE(C1508, ""en"", ""ru"")"),"изнеженный, усталый")</f>
        <v>изнеженный, усталый</v>
      </c>
      <c r="I1508" s="8" t="str">
        <f>IFERROR(__xludf.DUMMYFUNCTION("GOOGLETRANSLATE(C1508, ""en"", ""ar"")"),"ضعيف، متعب")</f>
        <v>ضعيف، متعب</v>
      </c>
      <c r="J1508" s="8"/>
      <c r="K1508" s="7" t="str">
        <f>IFERROR(__xludf.DUMMYFUNCTION("CONCAT(REGEXREPLACE(C1508,""[ ,]+"",""_""),"".mp3"")"),"effete_tired.mp3")</f>
        <v>effete_tired.mp3</v>
      </c>
      <c r="M1508" s="4" t="s">
        <v>10</v>
      </c>
    </row>
    <row r="1509" ht="15.75" customHeight="1">
      <c r="A1509" s="1">
        <v>2877.0</v>
      </c>
      <c r="B1509" s="3">
        <v>155.0</v>
      </c>
      <c r="C1509" s="7" t="s">
        <v>1524</v>
      </c>
      <c r="D1509" s="8" t="str">
        <f>IFERROR(__xludf.DUMMYFUNCTION("GOOGLETRANSLATE(C1509, ""en"", ""pt"")"),"evidenciar, mostrar")</f>
        <v>evidenciar, mostrar</v>
      </c>
      <c r="E1509" s="8" t="str">
        <f>IFERROR(__xludf.DUMMYFUNCTION("GOOGLETRANSLATE(C1509, ""en"", ""es"")"),"evidenciar, mostrar")</f>
        <v>evidenciar, mostrar</v>
      </c>
      <c r="F1509" s="8" t="str">
        <f>IFERROR(__xludf.DUMMYFUNCTION("GOOGLETRANSLATE(C1509, ""en"", ""fr"")"),"manifester, montrer")</f>
        <v>manifester, montrer</v>
      </c>
      <c r="G1509" s="8" t="str">
        <f>IFERROR(__xludf.DUMMYFUNCTION("GOOGLETRANSLATE(C1509, ""en"", ""de"")"),"beweisen, zeigen")</f>
        <v>beweisen, zeigen</v>
      </c>
      <c r="H1509" s="8" t="str">
        <f>IFERROR(__xludf.DUMMYFUNCTION("GOOGLETRANSLATE(C1509, ""en"", ""ru"")"),"доказательство, показать")</f>
        <v>доказательство, показать</v>
      </c>
      <c r="I1509" s="8" t="str">
        <f>IFERROR(__xludf.DUMMYFUNCTION("GOOGLETRANSLATE(C1509, ""en"", ""ar"")"),"أظهر، أظهر")</f>
        <v>أظهر، أظهر</v>
      </c>
      <c r="J1509" s="8"/>
      <c r="K1509" s="7" t="str">
        <f>IFERROR(__xludf.DUMMYFUNCTION("CONCAT(REGEXREPLACE(C1509,""[ ,]+"",""_""),"".mp3"")"),"evince_show.mp3")</f>
        <v>evince_show.mp3</v>
      </c>
      <c r="M1509" s="4" t="s">
        <v>10</v>
      </c>
    </row>
    <row r="1510" ht="15.75" customHeight="1">
      <c r="A1510" s="1">
        <v>2878.0</v>
      </c>
      <c r="B1510" s="3">
        <v>155.0</v>
      </c>
      <c r="C1510" s="7" t="s">
        <v>1525</v>
      </c>
      <c r="D1510" s="8" t="str">
        <f>IFERROR(__xludf.DUMMYFUNCTION("GOOGLETRANSLATE(C1510, ""en"", ""pt"")"),"hirsuto, peludo")</f>
        <v>hirsuto, peludo</v>
      </c>
      <c r="E1510" s="8" t="str">
        <f>IFERROR(__xludf.DUMMYFUNCTION("GOOGLETRANSLATE(C1510, ""en"", ""es"")"),"hirsuto, peludo")</f>
        <v>hirsuto, peludo</v>
      </c>
      <c r="F1510" s="8" t="str">
        <f>IFERROR(__xludf.DUMMYFUNCTION("GOOGLETRANSLATE(C1510, ""en"", ""fr"")"),"hirsute, poilu")</f>
        <v>hirsute, poilu</v>
      </c>
      <c r="G1510" s="8" t="str">
        <f>IFERROR(__xludf.DUMMYFUNCTION("GOOGLETRANSLATE(C1510, ""en"", ""de"")"),"behaart, haarig")</f>
        <v>behaart, haarig</v>
      </c>
      <c r="H1510" s="8" t="str">
        <f>IFERROR(__xludf.DUMMYFUNCTION("GOOGLETRANSLATE(C1510, ""en"", ""ru"")"),"волосатый, волосатый")</f>
        <v>волосатый, волосатый</v>
      </c>
      <c r="I1510" s="8" t="str">
        <f>IFERROR(__xludf.DUMMYFUNCTION("GOOGLETRANSLATE(C1510, ""en"", ""ar"")"),"كثيف الشعر، مشعر")</f>
        <v>كثيف الشعر، مشعر</v>
      </c>
      <c r="J1510" s="8"/>
      <c r="K1510" s="7" t="str">
        <f>IFERROR(__xludf.DUMMYFUNCTION("CONCAT(REGEXREPLACE(C1510,""[ ,]+"",""_""),"".mp3"")"),"hirsute_hairy.mp3")</f>
        <v>hirsute_hairy.mp3</v>
      </c>
      <c r="M1510" s="4" t="s">
        <v>10</v>
      </c>
    </row>
    <row r="1511" ht="15.75" customHeight="1">
      <c r="A1511" s="1">
        <v>2879.0</v>
      </c>
      <c r="B1511" s="3">
        <v>155.0</v>
      </c>
      <c r="C1511" s="7" t="s">
        <v>1526</v>
      </c>
      <c r="D1511" s="8" t="str">
        <f>IFERROR(__xludf.DUMMYFUNCTION("GOOGLETRANSLATE(C1511, ""en"", ""pt"")"),"assalto, roubo")</f>
        <v>assalto, roubo</v>
      </c>
      <c r="E1511" s="8" t="str">
        <f>IFERROR(__xludf.DUMMYFUNCTION("GOOGLETRANSLATE(C1511, ""en"", ""es"")"),"robo, hurto")</f>
        <v>robo, hurto</v>
      </c>
      <c r="F1511" s="8" t="str">
        <f>IFERROR(__xludf.DUMMYFUNCTION("GOOGLETRANSLATE(C1511, ""en"", ""fr"")"),"braquage, vol")</f>
        <v>braquage, vol</v>
      </c>
      <c r="G1511" s="8" t="str">
        <f>IFERROR(__xludf.DUMMYFUNCTION("GOOGLETRANSLATE(C1511, ""en"", ""de"")"),"Raubüberfall")</f>
        <v>Raubüberfall</v>
      </c>
      <c r="H1511" s="8" t="str">
        <f>IFERROR(__xludf.DUMMYFUNCTION("GOOGLETRANSLATE(C1511, ""en"", ""ru"")"),"ограбление, кража")</f>
        <v>ограбление, кража</v>
      </c>
      <c r="I1511" s="8" t="str">
        <f>IFERROR(__xludf.DUMMYFUNCTION("GOOGLETRANSLATE(C1511, ""en"", ""ar"")"),"سرقة، سطو")</f>
        <v>سرقة، سطو</v>
      </c>
      <c r="J1511" s="8"/>
      <c r="K1511" s="7" t="str">
        <f>IFERROR(__xludf.DUMMYFUNCTION("CONCAT(REGEXREPLACE(C1511,""[ ,]+"",""_""),"".mp3"")"),"heist_robbery.mp3")</f>
        <v>heist_robbery.mp3</v>
      </c>
      <c r="M1511" s="4" t="s">
        <v>10</v>
      </c>
    </row>
    <row r="1512" ht="15.75" customHeight="1">
      <c r="A1512" s="1">
        <v>2880.0</v>
      </c>
      <c r="B1512" s="3">
        <v>155.0</v>
      </c>
      <c r="C1512" s="7" t="s">
        <v>1527</v>
      </c>
      <c r="D1512" s="8" t="str">
        <f>IFERROR(__xludf.DUMMYFUNCTION("GOOGLETRANSLATE(C1512, ""en"", ""pt"")"),"tolerância, paciência")</f>
        <v>tolerância, paciência</v>
      </c>
      <c r="E1512" s="8" t="str">
        <f>IFERROR(__xludf.DUMMYFUNCTION("GOOGLETRANSLATE(C1512, ""en"", ""es"")"),"tolerancia, paciencia")</f>
        <v>tolerancia, paciencia</v>
      </c>
      <c r="F1512" s="8" t="str">
        <f>IFERROR(__xludf.DUMMYFUNCTION("GOOGLETRANSLATE(C1512, ""en"", ""fr"")"),"tolérance, patience")</f>
        <v>tolérance, patience</v>
      </c>
      <c r="G1512" s="8" t="str">
        <f>IFERROR(__xludf.DUMMYFUNCTION("GOOGLETRANSLATE(C1512, ""en"", ""de"")"),"Nachsicht, Geduld")</f>
        <v>Nachsicht, Geduld</v>
      </c>
      <c r="H1512" s="8" t="str">
        <f>IFERROR(__xludf.DUMMYFUNCTION("GOOGLETRANSLATE(C1512, ""en"", ""ru"")"),"снисхождение, терпение")</f>
        <v>снисхождение, терпение</v>
      </c>
      <c r="I1512" s="8" t="str">
        <f>IFERROR(__xludf.DUMMYFUNCTION("GOOGLETRANSLATE(C1512, ""en"", ""ar"")"),"الصبر والتسامح")</f>
        <v>الصبر والتسامح</v>
      </c>
      <c r="J1512" s="8"/>
      <c r="K1512" s="7" t="str">
        <f>IFERROR(__xludf.DUMMYFUNCTION("CONCAT(REGEXREPLACE(C1512,""[ ,]+"",""_""),"".mp3"")"),"forbearance_patience.mp3")</f>
        <v>forbearance_patience.mp3</v>
      </c>
      <c r="M1512" s="4" t="s">
        <v>10</v>
      </c>
    </row>
    <row r="1513" ht="15.75" customHeight="1">
      <c r="A1513" s="1">
        <v>2881.0</v>
      </c>
      <c r="B1513" s="3">
        <v>155.0</v>
      </c>
      <c r="C1513" s="7" t="s">
        <v>1528</v>
      </c>
      <c r="D1513" s="8" t="str">
        <f>IFERROR(__xludf.DUMMYFUNCTION("GOOGLETRANSLATE(C1513, ""en"", ""pt"")"),"crime grave, delito sério")</f>
        <v>crime grave, delito sério</v>
      </c>
      <c r="E1513" s="8" t="str">
        <f>IFERROR(__xludf.DUMMYFUNCTION("GOOGLETRANSLATE(C1513, ""en"", ""es"")"),"delito grave, crimen serio")</f>
        <v>delito grave, crimen serio</v>
      </c>
      <c r="F1513" s="8" t="str">
        <f>IFERROR(__xludf.DUMMYFUNCTION("GOOGLETRANSLATE(C1513, ""en"", ""fr"")"),"crime grave")</f>
        <v>crime grave</v>
      </c>
      <c r="G1513" s="8" t="str">
        <f>IFERROR(__xludf.DUMMYFUNCTION("GOOGLETRANSLATE(C1513, ""en"", ""de"")"),"schweres Verbrechen")</f>
        <v>schweres Verbrechen</v>
      </c>
      <c r="H1513" s="8" t="str">
        <f>IFERROR(__xludf.DUMMYFUNCTION("GOOGLETRANSLATE(C1513, ""en"", ""ru"")"),"тяжкое преступление, особо тяжкое преступление")</f>
        <v>тяжкое преступление, особо тяжкое преступление</v>
      </c>
      <c r="I1513" s="8" t="str">
        <f>IFERROR(__xludf.DUMMYFUNCTION("GOOGLETRANSLATE(C1513, ""en"", ""ar"")"),"جناية، جريمة خطيرة")</f>
        <v>جناية، جريمة خطيرة</v>
      </c>
      <c r="J1513" s="8"/>
      <c r="K1513" s="7" t="str">
        <f>IFERROR(__xludf.DUMMYFUNCTION("CONCAT(REGEXREPLACE(C1513,""[ ,]+"",""_""),"".mp3"")"),"felony_serious_crime.mp3")</f>
        <v>felony_serious_crime.mp3</v>
      </c>
      <c r="M1513" s="4" t="s">
        <v>10</v>
      </c>
    </row>
    <row r="1514" ht="15.75" customHeight="1">
      <c r="A1514" s="1">
        <v>2882.0</v>
      </c>
      <c r="B1514" s="3">
        <v>155.0</v>
      </c>
      <c r="C1514" s="7" t="s">
        <v>1529</v>
      </c>
      <c r="D1514" s="8" t="str">
        <f>IFERROR(__xludf.DUMMYFUNCTION("GOOGLETRANSLATE(C1514, ""en"", ""pt"")"),"tagarela, falador")</f>
        <v>tagarela, falador</v>
      </c>
      <c r="E1514" s="8" t="str">
        <f>IFERROR(__xludf.DUMMYFUNCTION("GOOGLETRANSLATE(C1514, ""en"", ""es"")"),"locuaz, hablador")</f>
        <v>locuaz, hablador</v>
      </c>
      <c r="F1514" s="8" t="str">
        <f>IFERROR(__xludf.DUMMYFUNCTION("GOOGLETRANSLATE(C1514, ""en"", ""fr"")"),"bavard, loquace")</f>
        <v>bavard, loquace</v>
      </c>
      <c r="G1514" s="8" t="str">
        <f>IFERROR(__xludf.DUMMYFUNCTION("GOOGLETRANSLATE(C1514, ""en"", ""de"")"),"geschwätzig, redselig")</f>
        <v>geschwätzig, redselig</v>
      </c>
      <c r="H1514" s="8" t="str">
        <f>IFERROR(__xludf.DUMMYFUNCTION("GOOGLETRANSLATE(C1514, ""en"", ""ru"")"),"болтливый, разговорчивый")</f>
        <v>болтливый, разговорчивый</v>
      </c>
      <c r="I1514" s="8" t="str">
        <f>IFERROR(__xludf.DUMMYFUNCTION("GOOGLETRANSLATE(C1514, ""en"", ""ar"")"),"ثرثار، كثير الكلام")</f>
        <v>ثرثار، كثير الكلام</v>
      </c>
      <c r="J1514" s="8"/>
      <c r="K1514" s="7" t="str">
        <f>IFERROR(__xludf.DUMMYFUNCTION("CONCAT(REGEXREPLACE(C1514,""[ ,]+"",""_""),"".mp3"")"),"garrulous_talkative.mp3")</f>
        <v>garrulous_talkative.mp3</v>
      </c>
      <c r="M1514" s="4" t="s">
        <v>10</v>
      </c>
    </row>
    <row r="1515" ht="15.75" customHeight="1">
      <c r="A1515" s="1">
        <v>2883.0</v>
      </c>
      <c r="B1515" s="3">
        <v>155.0</v>
      </c>
      <c r="C1515" s="7" t="s">
        <v>1530</v>
      </c>
      <c r="D1515" s="8" t="str">
        <f>IFERROR(__xludf.DUMMYFUNCTION("GOOGLETRANSLATE(C1515, ""en"", ""pt"")"),"loquaz, falador")</f>
        <v>loquaz, falador</v>
      </c>
      <c r="E1515" s="8" t="str">
        <f>IFERROR(__xludf.DUMMYFUNCTION("GOOGLETRANSLATE(C1515, ""en"", ""es"")"),"locuaz, hablador")</f>
        <v>locuaz, hablador</v>
      </c>
      <c r="F1515" s="8" t="str">
        <f>IFERROR(__xludf.DUMMYFUNCTION("GOOGLETRANSLATE(C1515, ""en"", ""fr"")"),"loquace, bavard")</f>
        <v>loquace, bavard</v>
      </c>
      <c r="G1515" s="8" t="str">
        <f>IFERROR(__xludf.DUMMYFUNCTION("GOOGLETRANSLATE(C1515, ""en"", ""de"")"),"gesprächig, redselig")</f>
        <v>gesprächig, redselig</v>
      </c>
      <c r="H1515" s="8" t="str">
        <f>IFERROR(__xludf.DUMMYFUNCTION("GOOGLETRANSLATE(C1515, ""en"", ""ru"")"),"болтливый, разговорчивый")</f>
        <v>болтливый, разговорчивый</v>
      </c>
      <c r="I1515" s="8" t="str">
        <f>IFERROR(__xludf.DUMMYFUNCTION("GOOGLETRANSLATE(C1515, ""en"", ""ar"")"),"فصيح، كثير الكلام")</f>
        <v>فصيح، كثير الكلام</v>
      </c>
      <c r="J1515" s="8"/>
      <c r="K1515" s="7" t="str">
        <f>IFERROR(__xludf.DUMMYFUNCTION("CONCAT(REGEXREPLACE(C1515,""[ ,]+"",""_""),"".mp3"")"),"loquacious_talkative.mp3")</f>
        <v>loquacious_talkative.mp3</v>
      </c>
      <c r="M1515" s="4" t="s">
        <v>10</v>
      </c>
    </row>
    <row r="1516" ht="15.75" customHeight="1">
      <c r="A1516" s="1">
        <v>2884.0</v>
      </c>
      <c r="B1516" s="3">
        <v>155.0</v>
      </c>
      <c r="C1516" s="7" t="s">
        <v>1531</v>
      </c>
      <c r="D1516" s="8" t="str">
        <f>IFERROR(__xludf.DUMMYFUNCTION("GOOGLETRANSLATE(C1516, ""en"", ""pt"")"),"magnânimo, generoso")</f>
        <v>magnânimo, generoso</v>
      </c>
      <c r="E1516" s="8" t="str">
        <f>IFERROR(__xludf.DUMMYFUNCTION("GOOGLETRANSLATE(C1516, ""en"", ""es"")"),"magnánimo, generoso")</f>
        <v>magnánimo, generoso</v>
      </c>
      <c r="F1516" s="8" t="str">
        <f>IFERROR(__xludf.DUMMYFUNCTION("GOOGLETRANSLATE(C1516, ""en"", ""fr"")"),"magnanime, généreux")</f>
        <v>magnanime, généreux</v>
      </c>
      <c r="G1516" s="8" t="str">
        <f>IFERROR(__xludf.DUMMYFUNCTION("GOOGLETRANSLATE(C1516, ""en"", ""de"")"),"großmütig, großzügig")</f>
        <v>großmütig, großzügig</v>
      </c>
      <c r="H1516" s="8" t="str">
        <f>IFERROR(__xludf.DUMMYFUNCTION("GOOGLETRANSLATE(C1516, ""en"", ""ru"")"),"великодушный, щедрый")</f>
        <v>великодушный, щедрый</v>
      </c>
      <c r="I1516" s="8" t="str">
        <f>IFERROR(__xludf.DUMMYFUNCTION("GOOGLETRANSLATE(C1516, ""en"", ""ar"")"),"كريم، سخيّ")</f>
        <v>كريم، سخيّ</v>
      </c>
      <c r="J1516" s="8"/>
      <c r="K1516" s="7" t="str">
        <f>IFERROR(__xludf.DUMMYFUNCTION("CONCAT(REGEXREPLACE(C1516,""[ ,]+"",""_""),"".mp3"")"),"magnanimous_generous.mp3")</f>
        <v>magnanimous_generous.mp3</v>
      </c>
      <c r="M1516" s="4" t="s">
        <v>10</v>
      </c>
    </row>
    <row r="1517" ht="15.75" customHeight="1">
      <c r="A1517" s="1">
        <v>2885.0</v>
      </c>
      <c r="B1517" s="3">
        <v>155.0</v>
      </c>
      <c r="C1517" s="7" t="s">
        <v>1532</v>
      </c>
      <c r="D1517" s="8" t="str">
        <f>IFERROR(__xludf.DUMMYFUNCTION("GOOGLETRANSLATE(C1517, ""en"", ""pt"")"),"confundir, bagunçar")</f>
        <v>confundir, bagunçar</v>
      </c>
      <c r="E1517" s="8" t="str">
        <f>IFERROR(__xludf.DUMMYFUNCTION("GOOGLETRANSLATE(C1517, ""en"", ""es"")"),"confusión, lío")</f>
        <v>confusión, lío</v>
      </c>
      <c r="F1517" s="8" t="str">
        <f>IFERROR(__xludf.DUMMYFUNCTION("GOOGLETRANSLATE(C1517, ""en"", ""fr"")"),"embrouiller, confondre")</f>
        <v>embrouiller, confondre</v>
      </c>
      <c r="G1517" s="8" t="str">
        <f>IFERROR(__xludf.DUMMYFUNCTION("GOOGLETRANSLATE(C1517, ""en"", ""de"")"),"verwirren, durcheinanderbringen")</f>
        <v>verwirren, durcheinanderbringen</v>
      </c>
      <c r="H1517" s="8" t="str">
        <f>IFERROR(__xludf.DUMMYFUNCTION("GOOGLETRANSLATE(C1517, ""en"", ""ru"")"),"запутать, сбить с толку")</f>
        <v>запутать, сбить с толку</v>
      </c>
      <c r="I1517" s="8" t="str">
        <f>IFERROR(__xludf.DUMMYFUNCTION("GOOGLETRANSLATE(C1517, ""en"", ""ar"")"),"تشويش، إرباك")</f>
        <v>تشويش، إرباك</v>
      </c>
      <c r="J1517" s="8"/>
      <c r="K1517" s="7" t="str">
        <f>IFERROR(__xludf.DUMMYFUNCTION("CONCAT(REGEXREPLACE(C1517,""[ ,]+"",""_""),"".mp3"")"),"muddle_confuse.mp3")</f>
        <v>muddle_confuse.mp3</v>
      </c>
      <c r="M1517" s="4" t="s">
        <v>10</v>
      </c>
    </row>
    <row r="1518" ht="15.75" customHeight="1">
      <c r="A1518" s="1">
        <v>2886.0</v>
      </c>
      <c r="B1518" s="3">
        <v>155.0</v>
      </c>
      <c r="C1518" s="7" t="s">
        <v>1533</v>
      </c>
      <c r="D1518" s="8" t="str">
        <f>IFERROR(__xludf.DUMMYFUNCTION("GOOGLETRANSLATE(C1518, ""en"", ""pt"")"),"mendigo, mendigo")</f>
        <v>mendigo, mendigo</v>
      </c>
      <c r="E1518" s="8" t="str">
        <f>IFERROR(__xludf.DUMMYFUNCTION("GOOGLETRANSLATE(C1518, ""en"", ""es"")"),"mendigo, mendigo")</f>
        <v>mendigo, mendigo</v>
      </c>
      <c r="F1518" s="8" t="str">
        <f>IFERROR(__xludf.DUMMYFUNCTION("GOOGLETRANSLATE(C1518, ""en"", ""fr"")"),"mendiant, mendiant")</f>
        <v>mendiant, mendiant</v>
      </c>
      <c r="G1518" s="8" t="str">
        <f>IFERROR(__xludf.DUMMYFUNCTION("GOOGLETRANSLATE(C1518, ""en"", ""de"")"),"Bettler, Bettler")</f>
        <v>Bettler, Bettler</v>
      </c>
      <c r="H1518" s="8" t="str">
        <f>IFERROR(__xludf.DUMMYFUNCTION("GOOGLETRANSLATE(C1518, ""en"", ""ru"")"),"нищий, попрошайка")</f>
        <v>нищий, попрошайка</v>
      </c>
      <c r="I1518" s="8" t="str">
        <f>IFERROR(__xludf.DUMMYFUNCTION("GOOGLETRANSLATE(C1518, ""en"", ""ar"")"),"متسول، حاج")</f>
        <v>متسول، حاج</v>
      </c>
      <c r="J1518" s="8"/>
      <c r="K1518" s="7" t="str">
        <f>IFERROR(__xludf.DUMMYFUNCTION("CONCAT(REGEXREPLACE(C1518,""[ ,]+"",""_""),"".mp3"")"),"mendicant_beggar.mp3")</f>
        <v>mendicant_beggar.mp3</v>
      </c>
      <c r="M1518" s="4" t="s">
        <v>10</v>
      </c>
    </row>
    <row r="1519" ht="15.75" customHeight="1">
      <c r="A1519" s="1">
        <v>2887.0</v>
      </c>
      <c r="B1519" s="3">
        <v>155.0</v>
      </c>
      <c r="C1519" s="7" t="s">
        <v>1534</v>
      </c>
      <c r="D1519" s="8" t="str">
        <f>IFERROR(__xludf.DUMMYFUNCTION("GOOGLETRANSLATE(C1519, ""en"", ""pt"")"),"ônus, responsabilidade")</f>
        <v>ônus, responsabilidade</v>
      </c>
      <c r="E1519" s="8" t="str">
        <f>IFERROR(__xludf.DUMMYFUNCTION("GOOGLETRANSLATE(C1519, ""en"", ""es"")"),"carga, responsabilidad")</f>
        <v>carga, responsabilidad</v>
      </c>
      <c r="F1519" s="8" t="str">
        <f>IFERROR(__xludf.DUMMYFUNCTION("GOOGLETRANSLATE(C1519, ""en"", ""fr"")"),"charge, responsabilité")</f>
        <v>charge, responsabilité</v>
      </c>
      <c r="G1519" s="8" t="str">
        <f>IFERROR(__xludf.DUMMYFUNCTION("GOOGLETRANSLATE(C1519, ""en"", ""de"")"),"Last, Verantwortung")</f>
        <v>Last, Verantwortung</v>
      </c>
      <c r="H1519" s="8" t="str">
        <f>IFERROR(__xludf.DUMMYFUNCTION("GOOGLETRANSLATE(C1519, ""en"", ""ru"")"),"бремя, ответственность")</f>
        <v>бремя, ответственность</v>
      </c>
      <c r="I1519" s="8" t="str">
        <f>IFERROR(__xludf.DUMMYFUNCTION("GOOGLETRANSLATE(C1519, ""en"", ""ar"")"),"العبء، المسؤولية")</f>
        <v>العبء، المسؤولية</v>
      </c>
      <c r="J1519" s="8"/>
      <c r="K1519" s="7" t="str">
        <f>IFERROR(__xludf.DUMMYFUNCTION("CONCAT(REGEXREPLACE(C1519,""[ ,]+"",""_""),"".mp3"")"),"onus_responsibility.mp3")</f>
        <v>onus_responsibility.mp3</v>
      </c>
      <c r="M1519" s="4" t="s">
        <v>10</v>
      </c>
    </row>
    <row r="1520" ht="15.75" customHeight="1">
      <c r="A1520" s="1">
        <v>2888.0</v>
      </c>
      <c r="B1520" s="3">
        <v>155.0</v>
      </c>
      <c r="C1520" s="7" t="s">
        <v>1535</v>
      </c>
      <c r="D1520" s="8" t="str">
        <f>IFERROR(__xludf.DUMMYFUNCTION("GOOGLETRANSLATE(C1520, ""en"", ""pt"")"),"matinê, espetáculo da tarde")</f>
        <v>matinê, espetáculo da tarde</v>
      </c>
      <c r="E1520" s="8" t="str">
        <f>IFERROR(__xludf.DUMMYFUNCTION("GOOGLETRANSLATE(C1520, ""en"", ""es"")"),"Matiné, función de la tarde")</f>
        <v>Matiné, función de la tarde</v>
      </c>
      <c r="F1520" s="8" t="str">
        <f>IFERROR(__xludf.DUMMYFUNCTION("GOOGLETRANSLATE(C1520, ""en"", ""fr"")"),"matinée, spectacle de l'après-midi")</f>
        <v>matinée, spectacle de l'après-midi</v>
      </c>
      <c r="G1520" s="8" t="str">
        <f>IFERROR(__xludf.DUMMYFUNCTION("GOOGLETRANSLATE(C1520, ""en"", ""de"")"),"Matinee, Nachmittagsvorstellung")</f>
        <v>Matinee, Nachmittagsvorstellung</v>
      </c>
      <c r="H1520" s="8" t="str">
        <f>IFERROR(__xludf.DUMMYFUNCTION("GOOGLETRANSLATE(C1520, ""en"", ""ru"")"),"дневной спектакль, дневное представление")</f>
        <v>дневной спектакль, дневное представление</v>
      </c>
      <c r="I1520" s="8" t="str">
        <f>IFERROR(__xludf.DUMMYFUNCTION("GOOGLETRANSLATE(C1520, ""en"", ""ar"")"),"عرض مسائي، عرض بعد الظهر")</f>
        <v>عرض مسائي، عرض بعد الظهر</v>
      </c>
      <c r="J1520" s="8"/>
      <c r="K1520" s="7" t="str">
        <f>IFERROR(__xludf.DUMMYFUNCTION("CONCAT(REGEXREPLACE(C1520,""[ ,]+"",""_""),"".mp3"")"),"matinee_afternoon_show.mp3")</f>
        <v>matinee_afternoon_show.mp3</v>
      </c>
      <c r="M1520" s="4" t="s">
        <v>10</v>
      </c>
    </row>
    <row r="1521" ht="15.75" customHeight="1">
      <c r="A1521" s="1">
        <v>2889.0</v>
      </c>
      <c r="B1521" s="3">
        <v>155.0</v>
      </c>
      <c r="C1521" s="7" t="s">
        <v>1536</v>
      </c>
      <c r="D1521" s="8" t="str">
        <f>IFERROR(__xludf.DUMMYFUNCTION("GOOGLETRANSLATE(C1521, ""en"", ""pt"")"),"poderoso, forte")</f>
        <v>poderoso, forte</v>
      </c>
      <c r="E1521" s="8" t="str">
        <f>IFERROR(__xludf.DUMMYFUNCTION("GOOGLETRANSLATE(C1521, ""en"", ""es"")"),"potente, poderoso")</f>
        <v>potente, poderoso</v>
      </c>
      <c r="F1521" s="8" t="str">
        <f>IFERROR(__xludf.DUMMYFUNCTION("GOOGLETRANSLATE(C1521, ""en"", ""fr"")"),"puissant, puissant")</f>
        <v>puissant, puissant</v>
      </c>
      <c r="G1521" s="8" t="str">
        <f>IFERROR(__xludf.DUMMYFUNCTION("GOOGLETRANSLATE(C1521, ""en"", ""de"")"),"mächtig, kraftvoll")</f>
        <v>mächtig, kraftvoll</v>
      </c>
      <c r="H1521" s="8" t="str">
        <f>IFERROR(__xludf.DUMMYFUNCTION("GOOGLETRANSLATE(C1521, ""en"", ""ru"")"),"мощный, сильный")</f>
        <v>мощный, сильный</v>
      </c>
      <c r="I1521" s="8" t="str">
        <f>IFERROR(__xludf.DUMMYFUNCTION("GOOGLETRANSLATE(C1521, ""en"", ""ar"")"),"قوي، جبار")</f>
        <v>قوي، جبار</v>
      </c>
      <c r="J1521" s="8"/>
      <c r="K1521" s="7" t="str">
        <f>IFERROR(__xludf.DUMMYFUNCTION("CONCAT(REGEXREPLACE(C1521,""[ ,]+"",""_""),"".mp3"")"),"puissant_powerful.mp3")</f>
        <v>puissant_powerful.mp3</v>
      </c>
      <c r="M1521" s="4" t="s">
        <v>10</v>
      </c>
    </row>
    <row r="1522" ht="15.75" customHeight="1">
      <c r="A1522" s="1">
        <v>2890.0</v>
      </c>
      <c r="B1522" s="3">
        <v>155.0</v>
      </c>
      <c r="C1522" s="7" t="s">
        <v>1537</v>
      </c>
      <c r="D1522" s="8" t="str">
        <f>IFERROR(__xludf.DUMMYFUNCTION("GOOGLETRANSLATE(C1522, ""en"", ""pt"")"),"probidade, honestidade")</f>
        <v>probidade, honestidade</v>
      </c>
      <c r="E1522" s="8" t="str">
        <f>IFERROR(__xludf.DUMMYFUNCTION("GOOGLETRANSLATE(C1522, ""en"", ""es"")"),"probidad, honestidad")</f>
        <v>probidad, honestidad</v>
      </c>
      <c r="F1522" s="8" t="str">
        <f>IFERROR(__xludf.DUMMYFUNCTION("GOOGLETRANSLATE(C1522, ""en"", ""fr"")"),"probité, honnêteté")</f>
        <v>probité, honnêteté</v>
      </c>
      <c r="G1522" s="8" t="str">
        <f>IFERROR(__xludf.DUMMYFUNCTION("GOOGLETRANSLATE(C1522, ""en"", ""de"")"),"Rechtschaffenheit, Ehrlichkeit")</f>
        <v>Rechtschaffenheit, Ehrlichkeit</v>
      </c>
      <c r="H1522" s="8" t="str">
        <f>IFERROR(__xludf.DUMMYFUNCTION("GOOGLETRANSLATE(C1522, ""en"", ""ru"")"),"честность, порядочность")</f>
        <v>честность, порядочность</v>
      </c>
      <c r="I1522" s="8" t="str">
        <f>IFERROR(__xludf.DUMMYFUNCTION("GOOGLETRANSLATE(C1522, ""en"", ""ar"")"),"النزاهة، الأمانة")</f>
        <v>النزاهة، الأمانة</v>
      </c>
      <c r="J1522" s="8"/>
      <c r="K1522" s="7" t="str">
        <f>IFERROR(__xludf.DUMMYFUNCTION("CONCAT(REGEXREPLACE(C1522,""[ ,]+"",""_""),"".mp3"")"),"probity_honesty.mp3")</f>
        <v>probity_honesty.mp3</v>
      </c>
      <c r="M1522" s="4" t="s">
        <v>10</v>
      </c>
    </row>
    <row r="1523" ht="15.75" customHeight="1">
      <c r="A1523" s="1">
        <v>2891.0</v>
      </c>
      <c r="B1523" s="3">
        <v>155.0</v>
      </c>
      <c r="C1523" s="7" t="s">
        <v>1538</v>
      </c>
      <c r="D1523" s="8" t="str">
        <f>IFERROR(__xludf.DUMMYFUNCTION("GOOGLETRANSLATE(C1523, ""en"", ""pt"")"),"atoleiro, terreno pantanoso")</f>
        <v>atoleiro, terreno pantanoso</v>
      </c>
      <c r="E1523" s="8" t="str">
        <f>IFERROR(__xludf.DUMMYFUNCTION("GOOGLETRANSLATE(C1523, ""en"", ""es"")"),"ciénaga, terreno pantanoso")</f>
        <v>ciénaga, terreno pantanoso</v>
      </c>
      <c r="F1523" s="8" t="str">
        <f>IFERROR(__xludf.DUMMYFUNCTION("GOOGLETRANSLATE(C1523, ""en"", ""fr"")"),"bourbier, terrain marécageux")</f>
        <v>bourbier, terrain marécageux</v>
      </c>
      <c r="G1523" s="8" t="str">
        <f>IFERROR(__xludf.DUMMYFUNCTION("GOOGLETRANSLATE(C1523, ""en"", ""de"")"),"Sumpfland")</f>
        <v>Sumpfland</v>
      </c>
      <c r="H1523" s="8" t="str">
        <f>IFERROR(__xludf.DUMMYFUNCTION("GOOGLETRANSLATE(C1523, ""en"", ""ru"")"),"болото, топкая земля")</f>
        <v>болото, топкая земля</v>
      </c>
      <c r="I1523" s="8" t="str">
        <f>IFERROR(__xludf.DUMMYFUNCTION("GOOGLETRANSLATE(C1523, ""en"", ""ar"")"),"مستنقع، أرض موحلة")</f>
        <v>مستنقع، أرض موحلة</v>
      </c>
      <c r="J1523" s="8"/>
      <c r="K1523" s="7" t="str">
        <f>IFERROR(__xludf.DUMMYFUNCTION("CONCAT(REGEXREPLACE(C1523,""[ ,]+"",""_""),"".mp3"")"),"quagmire_marshy_land.mp3")</f>
        <v>quagmire_marshy_land.mp3</v>
      </c>
      <c r="M1523" s="4" t="s">
        <v>10</v>
      </c>
    </row>
    <row r="1524" ht="15.75" customHeight="1">
      <c r="A1524" s="1">
        <v>2892.0</v>
      </c>
      <c r="B1524" s="3">
        <v>155.0</v>
      </c>
      <c r="C1524" s="7" t="s">
        <v>1539</v>
      </c>
      <c r="D1524" s="8" t="str">
        <f>IFERROR(__xludf.DUMMYFUNCTION("GOOGLETRANSLATE(C1524, ""en"", ""pt"")"),"sereno, calmo")</f>
        <v>sereno, calmo</v>
      </c>
      <c r="E1524" s="8" t="str">
        <f>IFERROR(__xludf.DUMMYFUNCTION("GOOGLETRANSLATE(C1524, ""en"", ""es"")"),"sereno, tranquilo")</f>
        <v>sereno, tranquilo</v>
      </c>
      <c r="F1524" s="8" t="str">
        <f>IFERROR(__xludf.DUMMYFUNCTION("GOOGLETRANSLATE(C1524, ""en"", ""fr"")"),"calme, serein")</f>
        <v>calme, serein</v>
      </c>
      <c r="G1524" s="8" t="str">
        <f>IFERROR(__xludf.DUMMYFUNCTION("GOOGLETRANSLATE(C1524, ""en"", ""de"")"),"ruhig, gelassen")</f>
        <v>ruhig, gelassen</v>
      </c>
      <c r="H1524" s="8" t="str">
        <f>IFERROR(__xludf.DUMMYFUNCTION("GOOGLETRANSLATE(C1524, ""en"", ""ru"")"),"спокойный, уравновешенный")</f>
        <v>спокойный, уравновешенный</v>
      </c>
      <c r="I1524" s="8" t="str">
        <f>IFERROR(__xludf.DUMMYFUNCTION("GOOGLETRANSLATE(C1524, ""en"", ""ar"")"),"هادئ، ساكن")</f>
        <v>هادئ، ساكن</v>
      </c>
      <c r="J1524" s="8"/>
      <c r="K1524" s="7" t="str">
        <f>IFERROR(__xludf.DUMMYFUNCTION("CONCAT(REGEXREPLACE(C1524,""[ ,]+"",""_""),"".mp3"")"),"sedate_calm.mp3")</f>
        <v>sedate_calm.mp3</v>
      </c>
      <c r="M1524" s="4" t="s">
        <v>10</v>
      </c>
    </row>
    <row r="1525" ht="15.75" customHeight="1">
      <c r="A1525" s="1">
        <v>2893.0</v>
      </c>
      <c r="B1525" s="3">
        <v>155.0</v>
      </c>
      <c r="C1525" s="7" t="s">
        <v>1540</v>
      </c>
      <c r="D1525" s="8" t="str">
        <f>IFERROR(__xludf.DUMMYFUNCTION("GOOGLETRANSLATE(C1525, ""en"", ""pt"")"),"voraz, com muita fome")</f>
        <v>voraz, com muita fome</v>
      </c>
      <c r="E1525" s="8" t="str">
        <f>IFERROR(__xludf.DUMMYFUNCTION("GOOGLETRANSLATE(C1525, ""en"", ""es"")"),"voraz, muy hambriento")</f>
        <v>voraz, muy hambriento</v>
      </c>
      <c r="F1525" s="8" t="str">
        <f>IFERROR(__xludf.DUMMYFUNCTION("GOOGLETRANSLATE(C1525, ""en"", ""fr"")"),"affamé, très affamé")</f>
        <v>affamé, très affamé</v>
      </c>
      <c r="G1525" s="8" t="str">
        <f>IFERROR(__xludf.DUMMYFUNCTION("GOOGLETRANSLATE(C1525, ""en"", ""de"")"),"ausgehungert, sehr hungrig")</f>
        <v>ausgehungert, sehr hungrig</v>
      </c>
      <c r="H1525" s="8" t="str">
        <f>IFERROR(__xludf.DUMMYFUNCTION("GOOGLETRANSLATE(C1525, ""en"", ""ru"")"),"ненасытный, очень голодный")</f>
        <v>ненасытный, очень голодный</v>
      </c>
      <c r="I1525" s="8" t="str">
        <f>IFERROR(__xludf.DUMMYFUNCTION("GOOGLETRANSLATE(C1525, ""en"", ""ar"")"),"جائع بشدة، متعطش للطعام")</f>
        <v>جائع بشدة، متعطش للطعام</v>
      </c>
      <c r="J1525" s="8"/>
      <c r="K1525" s="7" t="str">
        <f>IFERROR(__xludf.DUMMYFUNCTION("CONCAT(REGEXREPLACE(C1525,""[ ,]+"",""_""),"".mp3"")"),"ravenous_very_hungry.mp3")</f>
        <v>ravenous_very_hungry.mp3</v>
      </c>
      <c r="M1525" s="4" t="s">
        <v>10</v>
      </c>
    </row>
    <row r="1526" ht="15.75" customHeight="1">
      <c r="A1526" s="1">
        <v>2894.0</v>
      </c>
      <c r="B1526" s="3">
        <v>155.0</v>
      </c>
      <c r="C1526" s="7" t="s">
        <v>1541</v>
      </c>
      <c r="D1526" s="8" t="str">
        <f>IFERROR(__xludf.DUMMYFUNCTION("GOOGLETRANSLATE(C1526, ""en"", ""pt"")"),"detetive, investigador")</f>
        <v>detetive, investigador</v>
      </c>
      <c r="E1526" s="8" t="str">
        <f>IFERROR(__xludf.DUMMYFUNCTION("GOOGLETRANSLATE(C1526, ""en"", ""es"")"),"investigador, detective")</f>
        <v>investigador, detective</v>
      </c>
      <c r="F1526" s="8" t="str">
        <f>IFERROR(__xludf.DUMMYFUNCTION("GOOGLETRANSLATE(C1526, ""en"", ""fr"")"),"détective, enquêteur")</f>
        <v>détective, enquêteur</v>
      </c>
      <c r="G1526" s="8" t="str">
        <f>IFERROR(__xludf.DUMMYFUNCTION("GOOGLETRANSLATE(C1526, ""en"", ""de"")"),"Spürhund, Detektiv")</f>
        <v>Spürhund, Detektiv</v>
      </c>
      <c r="H1526" s="8" t="str">
        <f>IFERROR(__xludf.DUMMYFUNCTION("GOOGLETRANSLATE(C1526, ""en"", ""ru"")"),"сыщик, детектив")</f>
        <v>сыщик, детектив</v>
      </c>
      <c r="I1526" s="8" t="str">
        <f>IFERROR(__xludf.DUMMYFUNCTION("GOOGLETRANSLATE(C1526, ""en"", ""ar"")"),"محقق، مخبر")</f>
        <v>محقق، مخبر</v>
      </c>
      <c r="J1526" s="8"/>
      <c r="K1526" s="7" t="str">
        <f>IFERROR(__xludf.DUMMYFUNCTION("CONCAT(REGEXREPLACE(C1526,""[ ,]+"",""_""),"".mp3"")"),"sleuth_detective.mp3")</f>
        <v>sleuth_detective.mp3</v>
      </c>
      <c r="M1526" s="4" t="s">
        <v>10</v>
      </c>
    </row>
    <row r="1527" ht="15.75" customHeight="1">
      <c r="A1527" s="1">
        <v>2895.0</v>
      </c>
      <c r="B1527" s="3">
        <v>155.0</v>
      </c>
      <c r="C1527" s="7" t="s">
        <v>1542</v>
      </c>
      <c r="D1527" s="8" t="str">
        <f>IFERROR(__xludf.DUMMYFUNCTION("GOOGLETRANSLATE(C1527, ""en"", ""pt"")"),"impasse, impasse")</f>
        <v>impasse, impasse</v>
      </c>
      <c r="E1527" s="8" t="str">
        <f>IFERROR(__xludf.DUMMYFUNCTION("GOOGLETRANSLATE(C1527, ""en"", ""es"")"),"punto muerto, estancamiento")</f>
        <v>punto muerto, estancamiento</v>
      </c>
      <c r="F1527" s="8" t="str">
        <f>IFERROR(__xludf.DUMMYFUNCTION("GOOGLETRANSLATE(C1527, ""en"", ""fr"")"),"impasse, blocage")</f>
        <v>impasse, blocage</v>
      </c>
      <c r="G1527" s="8" t="str">
        <f>IFERROR(__xludf.DUMMYFUNCTION("GOOGLETRANSLATE(C1527, ""en"", ""de"")"),"Pattsituation, Stillstand")</f>
        <v>Pattsituation, Stillstand</v>
      </c>
      <c r="H1527" s="8" t="str">
        <f>IFERROR(__xludf.DUMMYFUNCTION("GOOGLETRANSLATE(C1527, ""en"", ""ru"")"),"тупик, безвыходная ситуация")</f>
        <v>тупик, безвыходная ситуация</v>
      </c>
      <c r="I1527" s="8" t="str">
        <f>IFERROR(__xludf.DUMMYFUNCTION("GOOGLETRANSLATE(C1527, ""en"", ""ar"")"),"مأزق، طريق مسدود")</f>
        <v>مأزق، طريق مسدود</v>
      </c>
      <c r="J1527" s="8"/>
      <c r="K1527" s="7" t="str">
        <f>IFERROR(__xludf.DUMMYFUNCTION("CONCAT(REGEXREPLACE(C1527,""[ ,]+"",""_""),"".mp3"")"),"stalemate_deadlock.mp3")</f>
        <v>stalemate_deadlock.mp3</v>
      </c>
      <c r="M1527" s="4" t="s">
        <v>10</v>
      </c>
    </row>
    <row r="1528" ht="15.75" customHeight="1">
      <c r="A1528" s="1">
        <v>2896.0</v>
      </c>
      <c r="B1528" s="3">
        <v>155.0</v>
      </c>
      <c r="C1528" s="7" t="s">
        <v>1543</v>
      </c>
      <c r="D1528" s="8" t="str">
        <f>IFERROR(__xludf.DUMMYFUNCTION("GOOGLETRANSLATE(C1528, ""en"", ""pt"")"),"impasse, bloqueio")</f>
        <v>impasse, bloqueio</v>
      </c>
      <c r="E1528" s="8" t="str">
        <f>IFERROR(__xludf.DUMMYFUNCTION("GOOGLETRANSLATE(C1528, ""en"", ""es"")"),"punto muerto, estancamiento")</f>
        <v>punto muerto, estancamiento</v>
      </c>
      <c r="F1528" s="8" t="str">
        <f>IFERROR(__xludf.DUMMYFUNCTION("GOOGLETRANSLATE(C1528, ""en"", ""fr"")"),"impasse, blocage")</f>
        <v>impasse, blocage</v>
      </c>
      <c r="G1528" s="8" t="str">
        <f>IFERROR(__xludf.DUMMYFUNCTION("GOOGLETRANSLATE(C1528, ""en"", ""de"")"),"Sackgasse, Pattsituation")</f>
        <v>Sackgasse, Pattsituation</v>
      </c>
      <c r="H1528" s="8" t="str">
        <f>IFERROR(__xludf.DUMMYFUNCTION("GOOGLETRANSLATE(C1528, ""en"", ""ru"")"),"тупик, безвыходная ситуация")</f>
        <v>тупик, безвыходная ситуация</v>
      </c>
      <c r="I1528" s="8" t="str">
        <f>IFERROR(__xludf.DUMMYFUNCTION("GOOGLETRANSLATE(C1528, ""en"", ""ar"")"),"مأزق، طريق مسدود")</f>
        <v>مأزق، طريق مسدود</v>
      </c>
      <c r="J1528" s="8"/>
      <c r="K1528" s="7" t="str">
        <f>IFERROR(__xludf.DUMMYFUNCTION("CONCAT(REGEXREPLACE(C1528,""[ ,]+"",""_""),"".mp3"")"),"impasse_deadlock.mp3")</f>
        <v>impasse_deadlock.mp3</v>
      </c>
      <c r="M1528" s="4" t="s">
        <v>10</v>
      </c>
    </row>
    <row r="1529" ht="15.75" customHeight="1">
      <c r="A1529" s="1">
        <v>2897.0</v>
      </c>
      <c r="B1529" s="3">
        <v>155.0</v>
      </c>
      <c r="C1529" s="7" t="s">
        <v>1544</v>
      </c>
      <c r="D1529" s="8" t="str">
        <f>IFERROR(__xludf.DUMMYFUNCTION("GOOGLETRANSLATE(C1529, ""en"", ""pt"")"),"apelido, alcunha")</f>
        <v>apelido, alcunha</v>
      </c>
      <c r="E1529" s="8" t="str">
        <f>IFERROR(__xludf.DUMMYFUNCTION("GOOGLETRANSLATE(C1529, ""en"", ""es"")"),"sobrenombre, apodo")</f>
        <v>sobrenombre, apodo</v>
      </c>
      <c r="F1529" s="8" t="str">
        <f>IFERROR(__xludf.DUMMYFUNCTION("GOOGLETRANSLATE(C1529, ""en"", ""fr"")"),"surnom, surnom")</f>
        <v>surnom, surnom</v>
      </c>
      <c r="G1529" s="8" t="str">
        <f>IFERROR(__xludf.DUMMYFUNCTION("GOOGLETRANSLATE(C1529, ""en"", ""de"")"),"Beiname, Spitzname")</f>
        <v>Beiname, Spitzname</v>
      </c>
      <c r="H1529" s="8" t="str">
        <f>IFERROR(__xludf.DUMMYFUNCTION("GOOGLETRANSLATE(C1529, ""en"", ""ru"")"),"прозвище, кличка")</f>
        <v>прозвище, кличка</v>
      </c>
      <c r="I1529" s="8" t="str">
        <f>IFERROR(__xludf.DUMMYFUNCTION("GOOGLETRANSLATE(C1529, ""en"", ""ar"")"),"لقب، اسم مستعار")</f>
        <v>لقب، اسم مستعار</v>
      </c>
      <c r="J1529" s="8"/>
      <c r="K1529" s="7" t="str">
        <f>IFERROR(__xludf.DUMMYFUNCTION("CONCAT(REGEXREPLACE(C1529,""[ ,]+"",""_""),"".mp3"")"),"sobriquet_nickname.mp3")</f>
        <v>sobriquet_nickname.mp3</v>
      </c>
      <c r="M1529" s="4" t="s">
        <v>10</v>
      </c>
    </row>
    <row r="1530" ht="15.75" customHeight="1">
      <c r="A1530" s="1">
        <v>2898.0</v>
      </c>
      <c r="B1530" s="3">
        <v>155.0</v>
      </c>
      <c r="C1530" s="7" t="s">
        <v>1545</v>
      </c>
      <c r="D1530" s="8" t="str">
        <f>IFERROR(__xludf.DUMMYFUNCTION("GOOGLETRANSLATE(C1530, ""en"", ""pt"")"),"queda, colapso")</f>
        <v>queda, colapso</v>
      </c>
      <c r="E1530" s="8" t="str">
        <f>IFERROR(__xludf.DUMMYFUNCTION("GOOGLETRANSLATE(C1530, ""en"", ""es"")"),"caída, colapso")</f>
        <v>caída, colapso</v>
      </c>
      <c r="F1530" s="8" t="str">
        <f>IFERROR(__xludf.DUMMYFUNCTION("GOOGLETRANSLATE(C1530, ""en"", ""fr"")"),"chute, effondrement")</f>
        <v>chute, effondrement</v>
      </c>
      <c r="G1530" s="8" t="str">
        <f>IFERROR(__xludf.DUMMYFUNCTION("GOOGLETRANSLATE(C1530, ""en"", ""de"")"),"stürzen, zusammenbrechen")</f>
        <v>stürzen, zusammenbrechen</v>
      </c>
      <c r="H1530" s="8" t="str">
        <f>IFERROR(__xludf.DUMMYFUNCTION("GOOGLETRANSLATE(C1530, ""en"", ""ru"")"),"падать, рушиться")</f>
        <v>падать, рушиться</v>
      </c>
      <c r="I1530" s="8" t="str">
        <f>IFERROR(__xludf.DUMMYFUNCTION("GOOGLETRANSLATE(C1530, ""en"", ""ar"")"),"ينهار، يتدحرج")</f>
        <v>ينهار، يتدحرج</v>
      </c>
      <c r="J1530" s="8"/>
      <c r="K1530" s="7" t="str">
        <f>IFERROR(__xludf.DUMMYFUNCTION("CONCAT(REGEXREPLACE(C1530,""[ ,]+"",""_""),"".mp3"")"),"tumble_collapse.mp3")</f>
        <v>tumble_collapse.mp3</v>
      </c>
      <c r="M1530" s="4" t="s">
        <v>10</v>
      </c>
    </row>
    <row r="1531" ht="15.75" customHeight="1">
      <c r="A1531" s="1">
        <v>2899.0</v>
      </c>
      <c r="B1531" s="3">
        <v>155.0</v>
      </c>
      <c r="C1531" s="7" t="s">
        <v>1546</v>
      </c>
      <c r="D1531" s="8" t="str">
        <f>IFERROR(__xludf.DUMMYFUNCTION("GOOGLETRANSLATE(C1531, ""en"", ""pt"")"),"minar, enfraquecer")</f>
        <v>minar, enfraquecer</v>
      </c>
      <c r="E1531" s="8" t="str">
        <f>IFERROR(__xludf.DUMMYFUNCTION("GOOGLETRANSLATE(C1531, ""en"", ""es"")"),"socavar, debilitar")</f>
        <v>socavar, debilitar</v>
      </c>
      <c r="F1531" s="8" t="str">
        <f>IFERROR(__xludf.DUMMYFUNCTION("GOOGLETRANSLATE(C1531, ""en"", ""fr"")"),"saper, affaiblir")</f>
        <v>saper, affaiblir</v>
      </c>
      <c r="G1531" s="8" t="str">
        <f>IFERROR(__xludf.DUMMYFUNCTION("GOOGLETRANSLATE(C1531, ""en"", ""de"")"),"untergraben, schwächen")</f>
        <v>untergraben, schwächen</v>
      </c>
      <c r="H1531" s="8" t="str">
        <f>IFERROR(__xludf.DUMMYFUNCTION("GOOGLETRANSLATE(C1531, ""en"", ""ru"")"),"подрывать, ослаблять")</f>
        <v>подрывать, ослаблять</v>
      </c>
      <c r="I1531" s="8" t="str">
        <f>IFERROR(__xludf.DUMMYFUNCTION("GOOGLETRANSLATE(C1531, ""en"", ""ar"")"),"تقويض، إضعاف")</f>
        <v>تقويض، إضعاف</v>
      </c>
      <c r="J1531" s="8"/>
      <c r="K1531" s="7" t="str">
        <f>IFERROR(__xludf.DUMMYFUNCTION("CONCAT(REGEXREPLACE(C1531,""[ ,]+"",""_""),"".mp3"")"),"undermine_weaken.mp3")</f>
        <v>undermine_weaken.mp3</v>
      </c>
      <c r="M1531" s="4" t="s">
        <v>10</v>
      </c>
    </row>
    <row r="1532" ht="15.75" customHeight="1">
      <c r="A1532" s="1">
        <v>2900.0</v>
      </c>
      <c r="B1532" s="3">
        <v>155.0</v>
      </c>
      <c r="C1532" s="7" t="s">
        <v>1547</v>
      </c>
      <c r="D1532" s="8" t="str">
        <f>IFERROR(__xludf.DUMMYFUNCTION("GOOGLETRANSLATE(C1532, ""en"", ""pt"")"),"vestígio, restos")</f>
        <v>vestígio, restos</v>
      </c>
      <c r="E1532" s="8" t="str">
        <f>IFERROR(__xludf.DUMMYFUNCTION("GOOGLETRANSLATE(C1532, ""en"", ""es"")"),"vestigio, restos")</f>
        <v>vestigio, restos</v>
      </c>
      <c r="F1532" s="8" t="str">
        <f>IFERROR(__xludf.DUMMYFUNCTION("GOOGLETRANSLATE(C1532, ""en"", ""fr"")"),"vestige, restes")</f>
        <v>vestige, restes</v>
      </c>
      <c r="G1532" s="8" t="str">
        <f>IFERROR(__xludf.DUMMYFUNCTION("GOOGLETRANSLATE(C1532, ""en"", ""de"")"),"Überbleibsel, Überreste")</f>
        <v>Überbleibsel, Überreste</v>
      </c>
      <c r="H1532" s="8" t="str">
        <f>IFERROR(__xludf.DUMMYFUNCTION("GOOGLETRANSLATE(C1532, ""en"", ""ru"")"),"остатки")</f>
        <v>остатки</v>
      </c>
      <c r="I1532" s="8" t="str">
        <f>IFERROR(__xludf.DUMMYFUNCTION("GOOGLETRANSLATE(C1532, ""en"", ""ar"")"),"بقايا، آثار")</f>
        <v>بقايا، آثار</v>
      </c>
      <c r="J1532" s="8"/>
      <c r="K1532" s="7" t="str">
        <f>IFERROR(__xludf.DUMMYFUNCTION("CONCAT(REGEXREPLACE(C1532,""[ ,]+"",""_""),"".mp3"")"),"vestige_remains.mp3")</f>
        <v>vestige_remains.mp3</v>
      </c>
      <c r="M1532" s="4" t="s">
        <v>10</v>
      </c>
    </row>
    <row r="1533" ht="15.75" customHeight="1">
      <c r="A1533" s="1">
        <v>2901.0</v>
      </c>
      <c r="B1533" s="3">
        <v>155.0</v>
      </c>
      <c r="C1533" s="7" t="s">
        <v>1548</v>
      </c>
      <c r="D1533" s="8" t="str">
        <f>IFERROR(__xludf.DUMMYFUNCTION("GOOGLETRANSLATE(C1533, ""en"", ""pt"")"),"vertigem, tontura")</f>
        <v>vertigem, tontura</v>
      </c>
      <c r="E1533" s="8" t="str">
        <f>IFERROR(__xludf.DUMMYFUNCTION("GOOGLETRANSLATE(C1533, ""en"", ""es"")"),"vértigo, mareo")</f>
        <v>vértigo, mareo</v>
      </c>
      <c r="F1533" s="8" t="str">
        <f>IFERROR(__xludf.DUMMYFUNCTION("GOOGLETRANSLATE(C1533, ""en"", ""fr"")"),"vertige, étourdissement")</f>
        <v>vertige, étourdissement</v>
      </c>
      <c r="G1533" s="8" t="str">
        <f>IFERROR(__xludf.DUMMYFUNCTION("GOOGLETRANSLATE(C1533, ""en"", ""de"")"),"Schwindel, Benommenheit")</f>
        <v>Schwindel, Benommenheit</v>
      </c>
      <c r="H1533" s="8" t="str">
        <f>IFERROR(__xludf.DUMMYFUNCTION("GOOGLETRANSLATE(C1533, ""en"", ""ru"")"),"головокружение, вертиго")</f>
        <v>головокружение, вертиго</v>
      </c>
      <c r="I1533" s="8" t="str">
        <f>IFERROR(__xludf.DUMMYFUNCTION("GOOGLETRANSLATE(C1533, ""en"", ""ar"")"),"الدوار، الدوخة")</f>
        <v>الدوار، الدوخة</v>
      </c>
      <c r="J1533" s="8"/>
      <c r="K1533" s="7" t="str">
        <f>IFERROR(__xludf.DUMMYFUNCTION("CONCAT(REGEXREPLACE(C1533,""[ ,]+"",""_""),"".mp3"")"),"vertigo_giddiness.mp3")</f>
        <v>vertigo_giddiness.mp3</v>
      </c>
      <c r="M1533" s="4" t="s">
        <v>10</v>
      </c>
    </row>
    <row r="1534" ht="15.75" customHeight="1">
      <c r="A1534" s="1">
        <v>2902.0</v>
      </c>
      <c r="B1534" s="3">
        <v>155.0</v>
      </c>
      <c r="C1534" s="7" t="s">
        <v>1549</v>
      </c>
      <c r="D1534" s="8" t="str">
        <f>IFERROR(__xludf.DUMMYFUNCTION("GOOGLETRANSLATE(C1534, ""en"", ""pt"")"),"túrgido, inchado")</f>
        <v>túrgido, inchado</v>
      </c>
      <c r="E1534" s="8" t="str">
        <f>IFERROR(__xludf.DUMMYFUNCTION("GOOGLETRANSLATE(C1534, ""en"", ""es"")"),"turgente, hinchado")</f>
        <v>turgente, hinchado</v>
      </c>
      <c r="F1534" s="8" t="str">
        <f>IFERROR(__xludf.DUMMYFUNCTION("GOOGLETRANSLATE(C1534, ""en"", ""fr"")"),"turgescent, gonflé")</f>
        <v>turgescent, gonflé</v>
      </c>
      <c r="G1534" s="8" t="str">
        <f>IFERROR(__xludf.DUMMYFUNCTION("GOOGLETRANSLATE(C1534, ""en"", ""de"")"),"prall, geschwollen")</f>
        <v>prall, geschwollen</v>
      </c>
      <c r="H1534" s="8" t="str">
        <f>IFERROR(__xludf.DUMMYFUNCTION("GOOGLETRANSLATE(C1534, ""en"", ""ru"")"),"набухший, опухший")</f>
        <v>набухший, опухший</v>
      </c>
      <c r="I1534" s="8" t="str">
        <f>IFERROR(__xludf.DUMMYFUNCTION("GOOGLETRANSLATE(C1534, ""en"", ""ar"")"),"منتفخ، متورم")</f>
        <v>منتفخ، متورم</v>
      </c>
      <c r="J1534" s="8"/>
      <c r="K1534" s="7" t="str">
        <f>IFERROR(__xludf.DUMMYFUNCTION("CONCAT(REGEXREPLACE(C1534,""[ ,]+"",""_""),"".mp3"")"),"turgid_swollen.mp3")</f>
        <v>turgid_swollen.mp3</v>
      </c>
      <c r="M1534" s="4" t="s">
        <v>10</v>
      </c>
    </row>
    <row r="1535" ht="15.75" customHeight="1">
      <c r="A1535" s="1">
        <v>2903.0</v>
      </c>
      <c r="B1535" s="3">
        <v>155.0</v>
      </c>
      <c r="C1535" s="7" t="s">
        <v>1550</v>
      </c>
      <c r="D1535" s="8" t="str">
        <f>IFERROR(__xludf.DUMMYFUNCTION("GOOGLETRANSLATE(C1535, ""en"", ""pt"")"),"Esquivar-se, evitar cumprir o dever")</f>
        <v>Esquivar-se, evitar cumprir o dever</v>
      </c>
      <c r="E1535" s="8" t="str">
        <f>IFERROR(__xludf.DUMMYFUNCTION("GOOGLETRANSLATE(C1535, ""en"", ""es"")"),"eludir, evitar hacer el deber")</f>
        <v>eludir, evitar hacer el deber</v>
      </c>
      <c r="F1535" s="8" t="str">
        <f>IFERROR(__xludf.DUMMYFUNCTION("GOOGLETRANSLATE(C1535, ""en"", ""fr"")"),"se dérober, éviter de faire son devoir")</f>
        <v>se dérober, éviter de faire son devoir</v>
      </c>
      <c r="G1535" s="8" t="str">
        <f>IFERROR(__xludf.DUMMYFUNCTION("GOOGLETRANSLATE(C1535, ""en"", ""de"")"),"sich drücken, die Pflicht vermeiden")</f>
        <v>sich drücken, die Pflicht vermeiden</v>
      </c>
      <c r="H1535" s="8" t="str">
        <f>IFERROR(__xludf.DUMMYFUNCTION("GOOGLETRANSLATE(C1535, ""en"", ""ru"")"),"уклоняться, избегать исполнения обязанностей")</f>
        <v>уклоняться, избегать исполнения обязанностей</v>
      </c>
      <c r="I1535" s="8" t="str">
        <f>IFERROR(__xludf.DUMMYFUNCTION("GOOGLETRANSLATE(C1535, ""en"", ""ar"")"),"التهرب من أداء الواجب")</f>
        <v>التهرب من أداء الواجب</v>
      </c>
      <c r="J1535" s="8"/>
      <c r="K1535" s="7" t="str">
        <f>IFERROR(__xludf.DUMMYFUNCTION("CONCAT(REGEXREPLACE(C1535,""[ ,]+"",""_""),"".mp3"")"),"shirk_avoid_doing_duty.mp3")</f>
        <v>shirk_avoid_doing_duty.mp3</v>
      </c>
      <c r="M1535" s="4" t="s">
        <v>10</v>
      </c>
    </row>
    <row r="1536" ht="15.75" customHeight="1">
      <c r="A1536" s="1">
        <v>2904.0</v>
      </c>
      <c r="B1536" s="3">
        <v>155.0</v>
      </c>
      <c r="C1536" s="7" t="s">
        <v>1551</v>
      </c>
      <c r="D1536" s="8" t="str">
        <f>IFERROR(__xludf.DUMMYFUNCTION("GOOGLETRANSLATE(C1536, ""en"", ""pt"")"),"tumulto, alvoroço")</f>
        <v>tumulto, alvoroço</v>
      </c>
      <c r="E1536" s="8" t="str">
        <f>IFERROR(__xludf.DUMMYFUNCTION("GOOGLETRANSLATE(C1536, ""en"", ""es"")"),"alboroto, jaleo")</f>
        <v>alboroto, jaleo</v>
      </c>
      <c r="F1536" s="8" t="str">
        <f>IFERROR(__xludf.DUMMYFUNCTION("GOOGLETRANSLATE(C1536, ""en"", ""fr"")"),"tumulte, vacarme")</f>
        <v>tumulte, vacarme</v>
      </c>
      <c r="G1536" s="8" t="str">
        <f>IFERROR(__xludf.DUMMYFUNCTION("GOOGLETRANSLATE(C1536, ""en"", ""de"")"),"Aufruhr, Getöse")</f>
        <v>Aufruhr, Getöse</v>
      </c>
      <c r="H1536" s="8" t="str">
        <f>IFERROR(__xludf.DUMMYFUNCTION("GOOGLETRANSLATE(C1536, ""en"", ""ru"")"),"шум, буйство")</f>
        <v>шум, буйство</v>
      </c>
      <c r="I1536" s="8" t="str">
        <f>IFERROR(__xludf.DUMMYFUNCTION("GOOGLETRANSLATE(C1536, ""en"", ""ar"")"),"ضجة، صخب")</f>
        <v>ضجة، صخب</v>
      </c>
      <c r="J1536" s="8"/>
      <c r="K1536" s="7" t="str">
        <f>IFERROR(__xludf.DUMMYFUNCTION("CONCAT(REGEXREPLACE(C1536,""[ ,]+"",""_""),"".mp3"")"),"rumpus_uproar.mp3")</f>
        <v>rumpus_uproar.mp3</v>
      </c>
      <c r="M1536" s="4" t="s">
        <v>10</v>
      </c>
    </row>
    <row r="1537" ht="15.75" customHeight="1">
      <c r="A1537" s="1">
        <v>2905.0</v>
      </c>
      <c r="B1537" s="3">
        <v>155.0</v>
      </c>
      <c r="C1537" s="7" t="s">
        <v>1552</v>
      </c>
      <c r="D1537" s="8" t="str">
        <f>IFERROR(__xludf.DUMMYFUNCTION("GOOGLETRANSLATE(C1537, ""en"", ""pt"")"),"contravenção, delito")</f>
        <v>contravenção, delito</v>
      </c>
      <c r="E1537" s="8" t="str">
        <f>IFERROR(__xludf.DUMMYFUNCTION("GOOGLETRANSLATE(C1537, ""en"", ""es"")"),"delito menor, infracción")</f>
        <v>delito menor, infracción</v>
      </c>
      <c r="F1537" s="8" t="str">
        <f>IFERROR(__xludf.DUMMYFUNCTION("GOOGLETRANSLATE(C1537, ""en"", ""fr"")"),"délit, infraction")</f>
        <v>délit, infraction</v>
      </c>
      <c r="G1537" s="8" t="str">
        <f>IFERROR(__xludf.DUMMYFUNCTION("GOOGLETRANSLATE(C1537, ""en"", ""de"")"),"Vergehen, Straftat")</f>
        <v>Vergehen, Straftat</v>
      </c>
      <c r="H1537" s="8" t="str">
        <f>IFERROR(__xludf.DUMMYFUNCTION("GOOGLETRANSLATE(C1537, ""en"", ""ru"")"),"мелкое правонарушение, преступление")</f>
        <v>мелкое правонарушение, преступление</v>
      </c>
      <c r="I1537" s="8" t="str">
        <f>IFERROR(__xludf.DUMMYFUNCTION("GOOGLETRANSLATE(C1537, ""en"", ""ar"")"),"جنحة، مخالفة")</f>
        <v>جنحة، مخالفة</v>
      </c>
      <c r="J1537" s="8"/>
      <c r="K1537" s="7" t="str">
        <f>IFERROR(__xludf.DUMMYFUNCTION("CONCAT(REGEXREPLACE(C1537,""[ ,]+"",""_""),"".mp3"")"),"misdemeanour_offence.mp3")</f>
        <v>misdemeanour_offence.mp3</v>
      </c>
      <c r="M1537" s="4" t="s">
        <v>10</v>
      </c>
    </row>
    <row r="1538" ht="15.75" customHeight="1">
      <c r="A1538" s="1">
        <v>2906.0</v>
      </c>
      <c r="B1538" s="3">
        <v>155.0</v>
      </c>
      <c r="C1538" s="7" t="s">
        <v>1553</v>
      </c>
      <c r="D1538" s="8" t="str">
        <f>IFERROR(__xludf.DUMMYFUNCTION("GOOGLETRANSLATE(C1538, ""en"", ""pt"")"),"obstinado, teimoso")</f>
        <v>obstinado, teimoso</v>
      </c>
      <c r="E1538" s="8" t="str">
        <f>IFERROR(__xludf.DUMMYFUNCTION("GOOGLETRANSLATE(C1538, ""en"", ""es"")"),"obstinado, testarudo")</f>
        <v>obstinado, testarudo</v>
      </c>
      <c r="F1538" s="8" t="str">
        <f>IFERROR(__xludf.DUMMYFUNCTION("GOOGLETRANSLATE(C1538, ""en"", ""fr"")"),"obstiné, têtu")</f>
        <v>obstiné, têtu</v>
      </c>
      <c r="G1538" s="8" t="str">
        <f>IFERROR(__xludf.DUMMYFUNCTION("GOOGLETRANSLATE(C1538, ""en"", ""de"")"),"hartnäckig, eigensinnig")</f>
        <v>hartnäckig, eigensinnig</v>
      </c>
      <c r="H1538" s="8" t="str">
        <f>IFERROR(__xludf.DUMMYFUNCTION("GOOGLETRANSLATE(C1538, ""en"", ""ru"")"),"упрямый, несговорчивый")</f>
        <v>упрямый, несговорчивый</v>
      </c>
      <c r="I1538" s="8" t="str">
        <f>IFERROR(__xludf.DUMMYFUNCTION("GOOGLETRANSLATE(C1538, ""en"", ""ar"")"),"عنيد، متصلب الرأي")</f>
        <v>عنيد، متصلب الرأي</v>
      </c>
      <c r="J1538" s="8"/>
      <c r="K1538" s="7" t="str">
        <f>IFERROR(__xludf.DUMMYFUNCTION("CONCAT(REGEXREPLACE(C1538,""[ ,]+"",""_""),"".mp3"")"),"obdurate_stubborn.mp3")</f>
        <v>obdurate_stubborn.mp3</v>
      </c>
      <c r="M1538" s="4" t="s">
        <v>10</v>
      </c>
    </row>
    <row r="1539" ht="15.75" customHeight="1">
      <c r="A1539" s="1">
        <v>2907.0</v>
      </c>
      <c r="B1539" s="3">
        <v>155.0</v>
      </c>
      <c r="C1539" s="7" t="s">
        <v>1554</v>
      </c>
      <c r="D1539" s="8" t="str">
        <f>IFERROR(__xludf.DUMMYFUNCTION("GOOGLETRANSLATE(C1539, ""en"", ""pt"")"),"medir, distribuir")</f>
        <v>medir, distribuir</v>
      </c>
      <c r="E1539" s="8" t="str">
        <f>IFERROR(__xludf.DUMMYFUNCTION("GOOGLETRANSLATE(C1539, ""en"", ""es"")"),"medir, distribuir")</f>
        <v>medir, distribuir</v>
      </c>
      <c r="F1539" s="8" t="str">
        <f>IFERROR(__xludf.DUMMYFUNCTION("GOOGLETRANSLATE(C1539, ""en"", ""fr"")"),"mesurer, distribuer")</f>
        <v>mesurer, distribuer</v>
      </c>
      <c r="G1539" s="8" t="str">
        <f>IFERROR(__xludf.DUMMYFUNCTION("GOOGLETRANSLATE(C1539, ""en"", ""de"")"),"mete, verteilen")</f>
        <v>mete, verteilen</v>
      </c>
      <c r="H1539" s="8" t="str">
        <f>IFERROR(__xludf.DUMMYFUNCTION("GOOGLETRANSLATE(C1539, ""en"", ""ru"")"),"раздавать")</f>
        <v>раздавать</v>
      </c>
      <c r="I1539" s="8" t="str">
        <f>IFERROR(__xludf.DUMMYFUNCTION("GOOGLETRANSLATE(C1539, ""en"", ""ar"")"),"ميت، توزيع")</f>
        <v>ميت، توزيع</v>
      </c>
      <c r="J1539" s="8"/>
      <c r="K1539" s="7" t="str">
        <f>IFERROR(__xludf.DUMMYFUNCTION("CONCAT(REGEXREPLACE(C1539,""[ ,]+"",""_""),"".mp3"")"),"mete_distribute.mp3")</f>
        <v>mete_distribute.mp3</v>
      </c>
      <c r="M1539" s="4" t="s">
        <v>10</v>
      </c>
    </row>
    <row r="1540" ht="15.75" customHeight="1">
      <c r="A1540" s="1">
        <v>2908.0</v>
      </c>
      <c r="B1540" s="3">
        <v>155.0</v>
      </c>
      <c r="C1540" s="7" t="s">
        <v>1555</v>
      </c>
      <c r="D1540" s="8" t="str">
        <f>IFERROR(__xludf.DUMMYFUNCTION("GOOGLETRANSLATE(C1540, ""en"", ""pt"")"),"nervosismo, agitação")</f>
        <v>nervosismo, agitação</v>
      </c>
      <c r="E1540" s="8" t="str">
        <f>IFERROR(__xludf.DUMMYFUNCTION("GOOGLETRANSLATE(C1540, ""en"", ""es"")"),"nerviosismo, inquietud")</f>
        <v>nerviosismo, inquietud</v>
      </c>
      <c r="F1540" s="8" t="str">
        <f>IFERROR(__xludf.DUMMYFUNCTION("GOOGLETRANSLATE(C1540, ""en"", ""fr"")"),"tremblements, nervosité")</f>
        <v>tremblements, nervosité</v>
      </c>
      <c r="G1540" s="8" t="str">
        <f>IFERROR(__xludf.DUMMYFUNCTION("GOOGLETRANSLATE(C1540, ""en"", ""de"")"),"Nervosität, Aufregung")</f>
        <v>Nervosität, Aufregung</v>
      </c>
      <c r="H1540" s="8" t="str">
        <f>IFERROR(__xludf.DUMMYFUNCTION("GOOGLETRANSLATE(C1540, ""en"", ""ru"")"),"нервозность, волнение")</f>
        <v>нервозность, волнение</v>
      </c>
      <c r="I1540" s="8" t="str">
        <f>IFERROR(__xludf.DUMMYFUNCTION("GOOGLETRANSLATE(C1540, ""en"", ""ar"")"),"توتر وعصبية")</f>
        <v>توتر وعصبية</v>
      </c>
      <c r="J1540" s="8"/>
      <c r="K1540" s="7" t="str">
        <f>IFERROR(__xludf.DUMMYFUNCTION("CONCAT(REGEXREPLACE(C1540,""[ ,]+"",""_""),"".mp3"")"),"jitters_nervousness.mp3")</f>
        <v>jitters_nervousness.mp3</v>
      </c>
      <c r="M1540" s="4" t="s">
        <v>10</v>
      </c>
    </row>
    <row r="1541" ht="15.75" customHeight="1">
      <c r="A1541" s="1">
        <v>2909.0</v>
      </c>
      <c r="B1541" s="3">
        <v>155.0</v>
      </c>
      <c r="C1541" s="7" t="s">
        <v>1556</v>
      </c>
      <c r="D1541" s="8" t="str">
        <f>IFERROR(__xludf.DUMMYFUNCTION("GOOGLETRANSLATE(C1541, ""en"", ""pt"")"),"latente, oculto")</f>
        <v>latente, oculto</v>
      </c>
      <c r="E1541" s="8" t="str">
        <f>IFERROR(__xludf.DUMMYFUNCTION("GOOGLETRANSLATE(C1541, ""en"", ""es"")"),"latente, oculto")</f>
        <v>latente, oculto</v>
      </c>
      <c r="F1541" s="8" t="str">
        <f>IFERROR(__xludf.DUMMYFUNCTION("GOOGLETRANSLATE(C1541, ""en"", ""fr"")"),"latent, caché")</f>
        <v>latent, caché</v>
      </c>
      <c r="G1541" s="8" t="str">
        <f>IFERROR(__xludf.DUMMYFUNCTION("GOOGLETRANSLATE(C1541, ""en"", ""de"")"),"latent, verborgen")</f>
        <v>latent, verborgen</v>
      </c>
      <c r="H1541" s="8" t="str">
        <f>IFERROR(__xludf.DUMMYFUNCTION("GOOGLETRANSLATE(C1541, ""en"", ""ru"")"),"скрытый, тайный")</f>
        <v>скрытый, тайный</v>
      </c>
      <c r="I1541" s="8" t="str">
        <f>IFERROR(__xludf.DUMMYFUNCTION("GOOGLETRANSLATE(C1541, ""en"", ""ar"")"),"كامن، مخفي")</f>
        <v>كامن، مخفي</v>
      </c>
      <c r="J1541" s="8"/>
      <c r="K1541" s="7" t="str">
        <f>IFERROR(__xludf.DUMMYFUNCTION("CONCAT(REGEXREPLACE(C1541,""[ ,]+"",""_""),"".mp3"")"),"latent_hidden.mp3")</f>
        <v>latent_hidden.mp3</v>
      </c>
      <c r="M1541" s="4" t="s">
        <v>10</v>
      </c>
    </row>
    <row r="1542" ht="15.75" customHeight="1">
      <c r="A1542" s="1">
        <v>2910.0</v>
      </c>
      <c r="B1542" s="3">
        <v>155.0</v>
      </c>
      <c r="C1542" s="7" t="s">
        <v>1557</v>
      </c>
      <c r="D1542" s="8" t="str">
        <f>IFERROR(__xludf.DUMMYFUNCTION("GOOGLETRANSLATE(C1542, ""en"", ""pt"")"),"franco, direto")</f>
        <v>franco, direto</v>
      </c>
      <c r="E1542" s="8" t="str">
        <f>IFERROR(__xludf.DUMMYFUNCTION("GOOGLETRANSLATE(C1542, ""en"", ""es"")"),"franco, directo")</f>
        <v>franco, directo</v>
      </c>
      <c r="F1542" s="8" t="str">
        <f>IFERROR(__xludf.DUMMYFUNCTION("GOOGLETRANSLATE(C1542, ""en"", ""fr"")"),"franc, direct")</f>
        <v>franc, direct</v>
      </c>
      <c r="G1542" s="8" t="str">
        <f>IFERROR(__xludf.DUMMYFUNCTION("GOOGLETRANSLATE(C1542, ""en"", ""de"")"),"direkt, offen")</f>
        <v>direkt, offen</v>
      </c>
      <c r="H1542" s="8" t="str">
        <f>IFERROR(__xludf.DUMMYFUNCTION("GOOGLETRANSLATE(C1542, ""en"", ""ru"")"),"прямолинейный, откровенный")</f>
        <v>прямолинейный, откровенный</v>
      </c>
      <c r="I1542" s="8" t="str">
        <f>IFERROR(__xludf.DUMMYFUNCTION("GOOGLETRANSLATE(C1542, ""en"", ""ar"")"),"صريح، واضح")</f>
        <v>صريح، واضح</v>
      </c>
      <c r="J1542" s="8"/>
      <c r="K1542" s="7" t="str">
        <f>IFERROR(__xludf.DUMMYFUNCTION("CONCAT(REGEXREPLACE(C1542,""[ ,]+"",""_""),"".mp3"")"),"forthright_frank.mp3")</f>
        <v>forthright_frank.mp3</v>
      </c>
      <c r="M1542" s="4" t="s">
        <v>10</v>
      </c>
    </row>
    <row r="1543" ht="15.75" customHeight="1">
      <c r="A1543" s="1">
        <v>2911.0</v>
      </c>
      <c r="B1543" s="3">
        <v>155.0</v>
      </c>
      <c r="C1543" s="7" t="s">
        <v>1558</v>
      </c>
      <c r="D1543" s="8" t="str">
        <f>IFERROR(__xludf.DUMMYFUNCTION("GOOGLETRANSLATE(C1543, ""en"", ""pt"")"),"teimoso, obstinado")</f>
        <v>teimoso, obstinado</v>
      </c>
      <c r="E1543" s="8" t="str">
        <f>IFERROR(__xludf.DUMMYFUNCTION("GOOGLETRANSLATE(C1543, ""en"", ""es"")"),"testarudo, obstinado")</f>
        <v>testarudo, obstinado</v>
      </c>
      <c r="F1543" s="8" t="str">
        <f>IFERROR(__xludf.DUMMYFUNCTION("GOOGLETRANSLATE(C1543, ""en"", ""fr"")"),"têtue, obstinée")</f>
        <v>têtue, obstinée</v>
      </c>
      <c r="G1543" s="8" t="str">
        <f>IFERROR(__xludf.DUMMYFUNCTION("GOOGLETRANSLATE(C1543, ""en"", ""de"")"),"eigensinnig, stur")</f>
        <v>eigensinnig, stur</v>
      </c>
      <c r="H1543" s="8" t="str">
        <f>IFERROR(__xludf.DUMMYFUNCTION("GOOGLETRANSLATE(C1543, ""en"", ""ru"")"),"упрямый, своенравный")</f>
        <v>упрямый, своенравный</v>
      </c>
      <c r="I1543" s="8" t="str">
        <f>IFERROR(__xludf.DUMMYFUNCTION("GOOGLETRANSLATE(C1543, ""en"", ""ar"")"),"عنيد، متشبث برأيه")</f>
        <v>عنيد، متشبث برأيه</v>
      </c>
      <c r="J1543" s="8"/>
      <c r="K1543" s="7" t="str">
        <f>IFERROR(__xludf.DUMMYFUNCTION("CONCAT(REGEXREPLACE(C1543,""[ ,]+"",""_""),"".mp3"")"),"headstrong_stubborn.mp3")</f>
        <v>headstrong_stubborn.mp3</v>
      </c>
      <c r="M1543" s="4" t="s">
        <v>10</v>
      </c>
    </row>
    <row r="1544" ht="15.75" customHeight="1">
      <c r="A1544" s="1">
        <v>2912.0</v>
      </c>
      <c r="B1544" s="3">
        <v>155.0</v>
      </c>
      <c r="C1544" s="7" t="s">
        <v>1559</v>
      </c>
      <c r="D1544" s="8" t="str">
        <f>IFERROR(__xludf.DUMMYFUNCTION("GOOGLETRANSLATE(C1544, ""en"", ""pt"")"),"gafe, erro")</f>
        <v>gafe, erro</v>
      </c>
      <c r="E1544" s="8" t="str">
        <f>IFERROR(__xludf.DUMMYFUNCTION("GOOGLETRANSLATE(C1544, ""en"", ""es"")"),"metedura de pata, error")</f>
        <v>metedura de pata, error</v>
      </c>
      <c r="F1544" s="8" t="str">
        <f>IFERROR(__xludf.DUMMYFUNCTION("GOOGLETRANSLATE(C1544, ""en"", ""fr"")"),"gaffe, bévue")</f>
        <v>gaffe, bévue</v>
      </c>
      <c r="G1544" s="8" t="str">
        <f>IFERROR(__xludf.DUMMYFUNCTION("GOOGLETRANSLATE(C1544, ""en"", ""de"")"),"Patzer, Fehler")</f>
        <v>Patzer, Fehler</v>
      </c>
      <c r="H1544" s="8" t="str">
        <f>IFERROR(__xludf.DUMMYFUNCTION("GOOGLETRANSLATE(C1544, ""en"", ""ru"")"),"оплошность, ошибка")</f>
        <v>оплошность, ошибка</v>
      </c>
      <c r="I1544" s="8" t="str">
        <f>IFERROR(__xludf.DUMMYFUNCTION("GOOGLETRANSLATE(C1544, ""en"", ""ar"")"),"زلة، خطأ")</f>
        <v>زلة، خطأ</v>
      </c>
      <c r="J1544" s="8"/>
      <c r="K1544" s="7" t="str">
        <f>IFERROR(__xludf.DUMMYFUNCTION("CONCAT(REGEXREPLACE(C1544,""[ ,]+"",""_""),"".mp3"")"),"gaffe_blunder.mp3")</f>
        <v>gaffe_blunder.mp3</v>
      </c>
      <c r="M1544" s="4" t="s">
        <v>10</v>
      </c>
    </row>
    <row r="1545" ht="15.75" customHeight="1">
      <c r="A1545" s="1">
        <v>2913.0</v>
      </c>
      <c r="B1545" s="3">
        <v>155.0</v>
      </c>
      <c r="C1545" s="7" t="s">
        <v>1560</v>
      </c>
      <c r="D1545" s="8" t="str">
        <f>IFERROR(__xludf.DUMMYFUNCTION("GOOGLETRANSLATE(C1545, ""en"", ""pt"")"),"efervescente, enérgico")</f>
        <v>efervescente, enérgico</v>
      </c>
      <c r="E1545" s="8" t="str">
        <f>IFERROR(__xludf.DUMMYFUNCTION("GOOGLETRANSLATE(C1545, ""en"", ""es"")"),"exuberante, enérgico")</f>
        <v>exuberante, enérgico</v>
      </c>
      <c r="F1545" s="8" t="str">
        <f>IFERROR(__xludf.DUMMYFUNCTION("GOOGLETRANSLATE(C1545, ""en"", ""fr"")"),"exubérant, énergique")</f>
        <v>exubérant, énergique</v>
      </c>
      <c r="G1545" s="8" t="str">
        <f>IFERROR(__xludf.DUMMYFUNCTION("GOOGLETRANSLATE(C1545, ""en"", ""de"")"),"überschwänglich, energiegeladen")</f>
        <v>überschwänglich, energiegeladen</v>
      </c>
      <c r="H1545" s="8" t="str">
        <f>IFERROR(__xludf.DUMMYFUNCTION("GOOGLETRANSLATE(C1545, ""en"", ""ru"")"),"жизнерадостный, энергичный")</f>
        <v>жизнерадостный, энергичный</v>
      </c>
      <c r="I1545" s="8" t="str">
        <f>IFERROR(__xludf.DUMMYFUNCTION("GOOGLETRANSLATE(C1545, ""en"", ""ar"")"),"مفعم بالحيوية والنشاط")</f>
        <v>مفعم بالحيوية والنشاط</v>
      </c>
      <c r="J1545" s="8"/>
      <c r="K1545" s="7" t="str">
        <f>IFERROR(__xludf.DUMMYFUNCTION("CONCAT(REGEXREPLACE(C1545,""[ ,]+"",""_""),"".mp3"")"),"ebullient_energetic.mp3")</f>
        <v>ebullient_energetic.mp3</v>
      </c>
      <c r="M1545" s="4" t="s">
        <v>10</v>
      </c>
    </row>
    <row r="1546" ht="15.75" customHeight="1">
      <c r="A1546" s="1">
        <v>2914.0</v>
      </c>
      <c r="B1546" s="3">
        <v>155.0</v>
      </c>
      <c r="C1546" s="7" t="s">
        <v>1561</v>
      </c>
      <c r="D1546" s="8" t="str">
        <f>IFERROR(__xludf.DUMMYFUNCTION("GOOGLETRANSLATE(C1546, ""en"", ""pt"")"),"enfraquecido, exausto")</f>
        <v>enfraquecido, exausto</v>
      </c>
      <c r="E1546" s="8" t="str">
        <f>IFERROR(__xludf.DUMMYFUNCTION("GOOGLETRANSLATE(C1546, ""en"", ""es"")"),"debilitado, exhausto")</f>
        <v>debilitado, exhausto</v>
      </c>
      <c r="F1546" s="8" t="str">
        <f>IFERROR(__xludf.DUMMYFUNCTION("GOOGLETRANSLATE(C1546, ""en"", ""fr"")"),"énervé, épuisé")</f>
        <v>énervé, épuisé</v>
      </c>
      <c r="G1546" s="8" t="str">
        <f>IFERROR(__xludf.DUMMYFUNCTION("GOOGLETRANSLATE(C1546, ""en"", ""de"")"),"kraftlos, erschöpft")</f>
        <v>kraftlos, erschöpft</v>
      </c>
      <c r="H1546" s="8" t="str">
        <f>IFERROR(__xludf.DUMMYFUNCTION("GOOGLETRANSLATE(C1546, ""en"", ""ru"")"),"ослабленный, истощенный")</f>
        <v>ослабленный, истощенный</v>
      </c>
      <c r="I1546" s="8" t="str">
        <f>IFERROR(__xludf.DUMMYFUNCTION("GOOGLETRANSLATE(C1546, ""en"", ""ar"")"),"منهك، متعب")</f>
        <v>منهك، متعب</v>
      </c>
      <c r="J1546" s="8"/>
      <c r="K1546" s="7" t="str">
        <f>IFERROR(__xludf.DUMMYFUNCTION("CONCAT(REGEXREPLACE(C1546,""[ ,]+"",""_""),"".mp3"")"),"enervated_exhausted.mp3")</f>
        <v>enervated_exhausted.mp3</v>
      </c>
      <c r="M1546" s="4" t="s">
        <v>10</v>
      </c>
    </row>
    <row r="1547" ht="15.75" customHeight="1">
      <c r="A1547" s="1">
        <v>2915.0</v>
      </c>
      <c r="B1547" s="3">
        <v>155.0</v>
      </c>
      <c r="C1547" s="7" t="s">
        <v>1562</v>
      </c>
      <c r="D1547" s="8" t="str">
        <f>IFERROR(__xludf.DUMMYFUNCTION("GOOGLETRANSLATE(C1547, ""en"", ""pt"")"),"enigma, quebra-cabeça")</f>
        <v>enigma, quebra-cabeça</v>
      </c>
      <c r="E1547" s="8" t="str">
        <f>IFERROR(__xludf.DUMMYFUNCTION("GOOGLETRANSLATE(C1547, ""en"", ""es"")"),"enigma, rompecabezas")</f>
        <v>enigma, rompecabezas</v>
      </c>
      <c r="F1547" s="8" t="str">
        <f>IFERROR(__xludf.DUMMYFUNCTION("GOOGLETRANSLATE(C1547, ""en"", ""fr"")"),"énigme, casse-tête")</f>
        <v>énigme, casse-tête</v>
      </c>
      <c r="G1547" s="8" t="str">
        <f>IFERROR(__xludf.DUMMYFUNCTION("GOOGLETRANSLATE(C1547, ""en"", ""de"")"),"Rätsel, Puzzle")</f>
        <v>Rätsel, Puzzle</v>
      </c>
      <c r="H1547" s="8" t="str">
        <f>IFERROR(__xludf.DUMMYFUNCTION("GOOGLETRANSLATE(C1547, ""en"", ""ru"")"),"загадка, головоломка")</f>
        <v>загадка, головоломка</v>
      </c>
      <c r="I1547" s="8" t="str">
        <f>IFERROR(__xludf.DUMMYFUNCTION("GOOGLETRANSLATE(C1547, ""en"", ""ar"")"),"لغز، أحجية")</f>
        <v>لغز، أحجية</v>
      </c>
      <c r="J1547" s="8"/>
      <c r="K1547" s="7" t="str">
        <f>IFERROR(__xludf.DUMMYFUNCTION("CONCAT(REGEXREPLACE(C1547,""[ ,]+"",""_""),"".mp3"")"),"enigma_puzzle.mp3")</f>
        <v>enigma_puzzle.mp3</v>
      </c>
      <c r="M1547" s="4" t="s">
        <v>10</v>
      </c>
    </row>
    <row r="1548" ht="15.75" customHeight="1">
      <c r="A1548" s="1">
        <v>2916.0</v>
      </c>
      <c r="B1548" s="3">
        <v>155.0</v>
      </c>
      <c r="C1548" s="7" t="s">
        <v>1563</v>
      </c>
      <c r="D1548" s="8" t="str">
        <f>IFERROR(__xludf.DUMMYFUNCTION("GOOGLETRANSLATE(C1548, ""en"", ""pt"")"),"esfolar, criticar")</f>
        <v>esfolar, criticar</v>
      </c>
      <c r="E1548" s="8" t="str">
        <f>IFERROR(__xludf.DUMMYFUNCTION("GOOGLETRANSLATE(C1548, ""en"", ""es"")"),"desollar, criticar")</f>
        <v>desollar, criticar</v>
      </c>
      <c r="F1548" s="8" t="str">
        <f>IFERROR(__xludf.DUMMYFUNCTION("GOOGLETRANSLATE(C1548, ""en"", ""fr"")"),"écorcher, critiquer")</f>
        <v>écorcher, critiquer</v>
      </c>
      <c r="G1548" s="8" t="str">
        <f>IFERROR(__xludf.DUMMYFUNCTION("GOOGLETRANSLATE(C1548, ""en"", ""de"")"),"zerfleischen, kritisieren")</f>
        <v>zerfleischen, kritisieren</v>
      </c>
      <c r="H1548" s="8" t="str">
        <f>IFERROR(__xludf.DUMMYFUNCTION("GOOGLETRANSLATE(C1548, ""en"", ""ru"")"),"снимать кожу, критиковать")</f>
        <v>снимать кожу, критиковать</v>
      </c>
      <c r="I1548" s="8" t="str">
        <f>IFERROR(__xludf.DUMMYFUNCTION("GOOGLETRANSLATE(C1548, ""en"", ""ar"")"),"انتقد، هاجم")</f>
        <v>انتقد، هاجم</v>
      </c>
      <c r="J1548" s="8"/>
      <c r="K1548" s="7" t="str">
        <f>IFERROR(__xludf.DUMMYFUNCTION("CONCAT(REGEXREPLACE(C1548,""[ ,]+"",""_""),"".mp3"")"),"flay_criticise.mp3")</f>
        <v>flay_criticise.mp3</v>
      </c>
      <c r="M1548" s="4" t="s">
        <v>10</v>
      </c>
    </row>
    <row r="1549" ht="15.75" customHeight="1">
      <c r="A1549" s="1">
        <v>2917.0</v>
      </c>
      <c r="B1549" s="3">
        <v>155.0</v>
      </c>
      <c r="C1549" s="7" t="s">
        <v>1564</v>
      </c>
      <c r="D1549" s="8" t="str">
        <f>IFERROR(__xludf.DUMMYFUNCTION("GOOGLETRANSLATE(C1549, ""en"", ""pt"")"),"recuar, hesitar")</f>
        <v>recuar, hesitar</v>
      </c>
      <c r="E1549" s="8" t="str">
        <f>IFERROR(__xludf.DUMMYFUNCTION("GOOGLETRANSLATE(C1549, ""en"", ""es"")"),"estremecerse, dudar")</f>
        <v>estremecerse, dudar</v>
      </c>
      <c r="F1549" s="8" t="str">
        <f>IFERROR(__xludf.DUMMYFUNCTION("GOOGLETRANSLATE(C1549, ""en"", ""fr"")"),"tressaillir, hésiter")</f>
        <v>tressaillir, hésiter</v>
      </c>
      <c r="G1549" s="8" t="str">
        <f>IFERROR(__xludf.DUMMYFUNCTION("GOOGLETRANSLATE(C1549, ""en"", ""de"")"),"zusammenzucken, zögern")</f>
        <v>zusammenzucken, zögern</v>
      </c>
      <c r="H1549" s="8" t="str">
        <f>IFERROR(__xludf.DUMMYFUNCTION("GOOGLETRANSLATE(C1549, ""en"", ""ru"")"),"вздрогнуть, колебаться")</f>
        <v>вздрогнуть, колебаться</v>
      </c>
      <c r="I1549" s="8" t="str">
        <f>IFERROR(__xludf.DUMMYFUNCTION("GOOGLETRANSLATE(C1549, ""en"", ""ar"")"),"تراجع، تردد")</f>
        <v>تراجع، تردد</v>
      </c>
      <c r="J1549" s="8"/>
      <c r="K1549" s="7" t="str">
        <f>IFERROR(__xludf.DUMMYFUNCTION("CONCAT(REGEXREPLACE(C1549,""[ ,]+"",""_""),"".mp3"")"),"flinch_hesitate.mp3")</f>
        <v>flinch_hesitate.mp3</v>
      </c>
      <c r="M1549" s="4" t="s">
        <v>10</v>
      </c>
    </row>
    <row r="1550" ht="15.75" customHeight="1">
      <c r="A1550" s="1">
        <v>2918.0</v>
      </c>
      <c r="B1550" s="3">
        <v>155.0</v>
      </c>
      <c r="C1550" s="7" t="s">
        <v>1565</v>
      </c>
      <c r="D1550" s="8" t="str">
        <f>IFERROR(__xludf.DUMMYFUNCTION("GOOGLETRANSLATE(C1550, ""en"", ""pt"")"),"exasperar, irritar")</f>
        <v>exasperar, irritar</v>
      </c>
      <c r="E1550" s="8" t="str">
        <f>IFERROR(__xludf.DUMMYFUNCTION("GOOGLETRANSLATE(C1550, ""en"", ""es"")"),"exasperar, irritar")</f>
        <v>exasperar, irritar</v>
      </c>
      <c r="F1550" s="8" t="str">
        <f>IFERROR(__xludf.DUMMYFUNCTION("GOOGLETRANSLATE(C1550, ""en"", ""fr"")"),"exaspérer, irriter")</f>
        <v>exaspérer, irriter</v>
      </c>
      <c r="G1550" s="8" t="str">
        <f>IFERROR(__xludf.DUMMYFUNCTION("GOOGLETRANSLATE(C1550, ""en"", ""de"")"),"verärgern, reizen")</f>
        <v>verärgern, reizen</v>
      </c>
      <c r="H1550" s="8" t="str">
        <f>IFERROR(__xludf.DUMMYFUNCTION("GOOGLETRANSLATE(C1550, ""en"", ""ru"")"),"раздражать, доводить до бешенства")</f>
        <v>раздражать, доводить до бешенства</v>
      </c>
      <c r="I1550" s="8" t="str">
        <f>IFERROR(__xludf.DUMMYFUNCTION("GOOGLETRANSLATE(C1550, ""en"", ""ar"")"),"يُثير الغضب، يُزعج")</f>
        <v>يُثير الغضب، يُزعج</v>
      </c>
      <c r="J1550" s="8"/>
      <c r="K1550" s="7" t="str">
        <f>IFERROR(__xludf.DUMMYFUNCTION("CONCAT(REGEXREPLACE(C1550,""[ ,]+"",""_""),"".mp3"")"),"exasperate_irritate.mp3")</f>
        <v>exasperate_irritate.mp3</v>
      </c>
      <c r="M1550" s="4" t="s">
        <v>10</v>
      </c>
    </row>
    <row r="1551" ht="15.75" customHeight="1">
      <c r="A1551" s="1">
        <v>2919.0</v>
      </c>
      <c r="B1551" s="3">
        <v>155.0</v>
      </c>
      <c r="C1551" s="7" t="s">
        <v>1566</v>
      </c>
      <c r="D1551" s="8" t="str">
        <f>IFERROR(__xludf.DUMMYFUNCTION("GOOGLETRANSLATE(C1551, ""en"", ""pt"")"),"vencer, derrotar")</f>
        <v>vencer, derrotar</v>
      </c>
      <c r="E1551" s="8" t="str">
        <f>IFERROR(__xludf.DUMMYFUNCTION("GOOGLETRANSLATE(C1551, ""en"", ""es"")"),"vencer, derrotar")</f>
        <v>vencer, derrotar</v>
      </c>
      <c r="F1551" s="8" t="str">
        <f>IFERROR(__xludf.DUMMYFUNCTION("GOOGLETRANSLATE(C1551, ""en"", ""fr"")"),"vaincre, défaite")</f>
        <v>vaincre, défaite</v>
      </c>
      <c r="G1551" s="8" t="str">
        <f>IFERROR(__xludf.DUMMYFUNCTION("GOOGLETRANSLATE(C1551, ""en"", ""de"")"),"besiegen, bezwingen")</f>
        <v>besiegen, bezwingen</v>
      </c>
      <c r="H1551" s="8" t="str">
        <f>IFERROR(__xludf.DUMMYFUNCTION("GOOGLETRANSLATE(C1551, ""en"", ""ru"")"),"победить, одержать победу")</f>
        <v>победить, одержать победу</v>
      </c>
      <c r="I1551" s="8" t="str">
        <f>IFERROR(__xludf.DUMMYFUNCTION("GOOGLETRANSLATE(C1551, ""en"", ""ar"")"),"هزيمة، انتصار")</f>
        <v>هزيمة، انتصار</v>
      </c>
      <c r="J1551" s="8"/>
      <c r="K1551" s="7" t="str">
        <f>IFERROR(__xludf.DUMMYFUNCTION("CONCAT(REGEXREPLACE(C1551,""[ ,]+"",""_""),"".mp3"")"),"vanquish_defeat.mp3")</f>
        <v>vanquish_defeat.mp3</v>
      </c>
      <c r="M1551" s="4" t="s">
        <v>10</v>
      </c>
    </row>
    <row r="1552" ht="15.75" customHeight="1">
      <c r="A1552" s="1">
        <v>2920.0</v>
      </c>
      <c r="B1552" s="3">
        <v>155.0</v>
      </c>
      <c r="C1552" s="7" t="s">
        <v>1567</v>
      </c>
      <c r="D1552" s="8" t="str">
        <f>IFERROR(__xludf.DUMMYFUNCTION("GOOGLETRANSLATE(C1552, ""en"", ""pt"")"),"rabugento, irritável")</f>
        <v>rabugento, irritável</v>
      </c>
      <c r="E1552" s="8" t="str">
        <f>IFERROR(__xludf.DUMMYFUNCTION("GOOGLETRANSLATE(C1552, ""en"", ""es"")"),"cascarrabias, irritable")</f>
        <v>cascarrabias, irritable</v>
      </c>
      <c r="F1552" s="8" t="str">
        <f>IFERROR(__xludf.DUMMYFUNCTION("GOOGLETRANSLATE(C1552, ""en"", ""fr"")"),"acariâtre, irritable")</f>
        <v>acariâtre, irritable</v>
      </c>
      <c r="G1552" s="8" t="str">
        <f>IFERROR(__xludf.DUMMYFUNCTION("GOOGLETRANSLATE(C1552, ""en"", ""de"")"),"mürrisch, reizbar")</f>
        <v>mürrisch, reizbar</v>
      </c>
      <c r="H1552" s="8" t="str">
        <f>IFERROR(__xludf.DUMMYFUNCTION("GOOGLETRANSLATE(C1552, ""en"", ""ru"")"),"сварливый, раздражительный")</f>
        <v>сварливый, раздражительный</v>
      </c>
      <c r="I1552" s="8" t="str">
        <f>IFERROR(__xludf.DUMMYFUNCTION("GOOGLETRANSLATE(C1552, ""en"", ""ar"")"),"سريع الغضب، عصبي")</f>
        <v>سريع الغضب، عصبي</v>
      </c>
      <c r="J1552" s="8"/>
      <c r="K1552" s="7" t="str">
        <f>IFERROR(__xludf.DUMMYFUNCTION("CONCAT(REGEXREPLACE(C1552,""[ ,]+"",""_""),"".mp3"")"),"cantankerous_irritable.mp3")</f>
        <v>cantankerous_irritable.mp3</v>
      </c>
      <c r="M1552" s="4" t="s">
        <v>10</v>
      </c>
    </row>
    <row r="1553" ht="15.75" customHeight="1">
      <c r="A1553" s="1">
        <v>2921.0</v>
      </c>
      <c r="B1553" s="3">
        <v>155.0</v>
      </c>
      <c r="C1553" s="7" t="s">
        <v>1568</v>
      </c>
      <c r="D1553" s="8" t="str">
        <f>IFERROR(__xludf.DUMMYFUNCTION("GOOGLETRANSLATE(C1553, ""en"", ""pt"")"),"irascível, irritável")</f>
        <v>irascível, irritável</v>
      </c>
      <c r="E1553" s="8" t="str">
        <f>IFERROR(__xludf.DUMMYFUNCTION("GOOGLETRANSLATE(C1553, ""en"", ""es"")"),"irascible, irritable")</f>
        <v>irascible, irritable</v>
      </c>
      <c r="F1553" s="8" t="str">
        <f>IFERROR(__xludf.DUMMYFUNCTION("GOOGLETRANSLATE(C1553, ""en"", ""fr"")"),"irascible, irritable")</f>
        <v>irascible, irritable</v>
      </c>
      <c r="G1553" s="8" t="str">
        <f>IFERROR(__xludf.DUMMYFUNCTION("GOOGLETRANSLATE(C1553, ""en"", ""de"")"),"reizbar, reizbar")</f>
        <v>reizbar, reizbar</v>
      </c>
      <c r="H1553" s="8" t="str">
        <f>IFERROR(__xludf.DUMMYFUNCTION("GOOGLETRANSLATE(C1553, ""en"", ""ru"")"),"раздражительный, вспыльчивый")</f>
        <v>раздражительный, вспыльчивый</v>
      </c>
      <c r="I1553" s="8" t="str">
        <f>IFERROR(__xludf.DUMMYFUNCTION("GOOGLETRANSLATE(C1553, ""en"", ""ar"")"),"سريع الغضب، عصبي")</f>
        <v>سريع الغضب، عصبي</v>
      </c>
      <c r="J1553" s="8"/>
      <c r="K1553" s="7" t="str">
        <f>IFERROR(__xludf.DUMMYFUNCTION("CONCAT(REGEXREPLACE(C1553,""[ ,]+"",""_""),"".mp3"")"),"irascible_irritable.mp3")</f>
        <v>irascible_irritable.mp3</v>
      </c>
      <c r="M1553" s="4" t="s">
        <v>10</v>
      </c>
    </row>
    <row r="1554" ht="15.75" customHeight="1">
      <c r="A1554" s="1">
        <v>2922.0</v>
      </c>
      <c r="B1554" s="3">
        <v>155.0</v>
      </c>
      <c r="C1554" s="7" t="s">
        <v>1569</v>
      </c>
      <c r="D1554" s="8" t="str">
        <f>IFERROR(__xludf.DUMMYFUNCTION("GOOGLETRANSLATE(C1554, ""en"", ""pt"")"),"rabugento, irritável")</f>
        <v>rabugento, irritável</v>
      </c>
      <c r="E1554" s="8" t="str">
        <f>IFERROR(__xludf.DUMMYFUNCTION("GOOGLETRANSLATE(C1554, ""en"", ""es"")"),"cascarrabias, irritable")</f>
        <v>cascarrabias, irritable</v>
      </c>
      <c r="F1554" s="8" t="str">
        <f>IFERROR(__xludf.DUMMYFUNCTION("GOOGLETRANSLATE(C1554, ""en"", ""fr"")"),"grincheux, irritable")</f>
        <v>grincheux, irritable</v>
      </c>
      <c r="G1554" s="8" t="str">
        <f>IFERROR(__xludf.DUMMYFUNCTION("GOOGLETRANSLATE(C1554, ""en"", ""de"")"),"mürrisch, reizbar")</f>
        <v>mürrisch, reizbar</v>
      </c>
      <c r="H1554" s="8" t="str">
        <f>IFERROR(__xludf.DUMMYFUNCTION("GOOGLETRANSLATE(C1554, ""en"", ""ru"")"),"сварливый, раздражительный")</f>
        <v>сварливый, раздражительный</v>
      </c>
      <c r="I1554" s="8" t="str">
        <f>IFERROR(__xludf.DUMMYFUNCTION("GOOGLETRANSLATE(C1554, ""en"", ""ar"")"),"سريع الغضب، عصبي")</f>
        <v>سريع الغضب، عصبي</v>
      </c>
      <c r="J1554" s="8"/>
      <c r="K1554" s="7" t="str">
        <f>IFERROR(__xludf.DUMMYFUNCTION("CONCAT(REGEXREPLACE(C1554,""[ ,]+"",""_""),"".mp3"")"),"crotchety_irritable.mp3")</f>
        <v>crotchety_irritable.mp3</v>
      </c>
      <c r="M1554" s="4" t="s">
        <v>10</v>
      </c>
    </row>
    <row r="1555" ht="15.75" customHeight="1">
      <c r="A1555" s="1">
        <v>2923.0</v>
      </c>
      <c r="B1555" s="3">
        <v>155.0</v>
      </c>
      <c r="C1555" s="7" t="s">
        <v>1570</v>
      </c>
      <c r="D1555" s="8" t="str">
        <f>IFERROR(__xludf.DUMMYFUNCTION("GOOGLETRANSLATE(C1555, ""en"", ""pt"")"),"vitupere, insulte")</f>
        <v>vitupere, insulte</v>
      </c>
      <c r="E1555" s="8" t="str">
        <f>IFERROR(__xludf.DUMMYFUNCTION("GOOGLETRANSLATE(C1555, ""en"", ""es"")"),"vituperar, insultar")</f>
        <v>vituperar, insultar</v>
      </c>
      <c r="F1555" s="8" t="str">
        <f>IFERROR(__xludf.DUMMYFUNCTION("GOOGLETRANSLATE(C1555, ""en"", ""fr"")"),"injurier, insulter")</f>
        <v>injurier, insulter</v>
      </c>
      <c r="G1555" s="8" t="str">
        <f>IFERROR(__xludf.DUMMYFUNCTION("GOOGLETRANSLATE(C1555, ""en"", ""de"")"),"beschimpfen, beleidigen")</f>
        <v>beschimpfen, beleidigen</v>
      </c>
      <c r="H1555" s="8" t="str">
        <f>IFERROR(__xludf.DUMMYFUNCTION("GOOGLETRANSLATE(C1555, ""en"", ""ru"")"),"оскорблять, унижать")</f>
        <v>оскорблять, унижать</v>
      </c>
      <c r="I1555" s="8" t="str">
        <f>IFERROR(__xludf.DUMMYFUNCTION("GOOGLETRANSLATE(C1555, ""en"", ""ar"")"),"شتم، إهانة")</f>
        <v>شتم، إهانة</v>
      </c>
      <c r="J1555" s="8"/>
      <c r="K1555" s="7" t="str">
        <f>IFERROR(__xludf.DUMMYFUNCTION("CONCAT(REGEXREPLACE(C1555,""[ ,]+"",""_""),"".mp3"")"),"vituperate_insult.mp3")</f>
        <v>vituperate_insult.mp3</v>
      </c>
      <c r="M1555" s="4" t="s">
        <v>10</v>
      </c>
    </row>
    <row r="1556" ht="15.75" customHeight="1">
      <c r="A1556" s="1">
        <v>2924.0</v>
      </c>
      <c r="B1556" s="3">
        <v>155.0</v>
      </c>
      <c r="C1556" s="7" t="s">
        <v>1549</v>
      </c>
      <c r="D1556" s="8" t="str">
        <f>IFERROR(__xludf.DUMMYFUNCTION("GOOGLETRANSLATE(C1556, ""en"", ""pt"")"),"túrgido, inchado")</f>
        <v>túrgido, inchado</v>
      </c>
      <c r="E1556" s="8" t="str">
        <f>IFERROR(__xludf.DUMMYFUNCTION("GOOGLETRANSLATE(C1556, ""en"", ""es"")"),"turgente, hinchado")</f>
        <v>turgente, hinchado</v>
      </c>
      <c r="F1556" s="8" t="str">
        <f>IFERROR(__xludf.DUMMYFUNCTION("GOOGLETRANSLATE(C1556, ""en"", ""fr"")"),"turgescent, gonflé")</f>
        <v>turgescent, gonflé</v>
      </c>
      <c r="G1556" s="8" t="str">
        <f>IFERROR(__xludf.DUMMYFUNCTION("GOOGLETRANSLATE(C1556, ""en"", ""de"")"),"prall, geschwollen")</f>
        <v>prall, geschwollen</v>
      </c>
      <c r="H1556" s="8" t="str">
        <f>IFERROR(__xludf.DUMMYFUNCTION("GOOGLETRANSLATE(C1556, ""en"", ""ru"")"),"набухший, опухший")</f>
        <v>набухший, опухший</v>
      </c>
      <c r="I1556" s="8" t="str">
        <f>IFERROR(__xludf.DUMMYFUNCTION("GOOGLETRANSLATE(C1556, ""en"", ""ar"")"),"منتفخ، متورم")</f>
        <v>منتفخ، متورم</v>
      </c>
      <c r="J1556" s="8"/>
      <c r="K1556" s="7" t="str">
        <f>IFERROR(__xludf.DUMMYFUNCTION("CONCAT(REGEXREPLACE(C1556,""[ ,]+"",""_""),"".mp3"")"),"turgid_swollen.mp3")</f>
        <v>turgid_swollen.mp3</v>
      </c>
      <c r="M1556" s="4" t="s">
        <v>10</v>
      </c>
    </row>
    <row r="1557" ht="15.75" customHeight="1">
      <c r="A1557" s="1">
        <v>2925.0</v>
      </c>
      <c r="B1557" s="3">
        <v>155.0</v>
      </c>
      <c r="C1557" s="7" t="s">
        <v>1571</v>
      </c>
      <c r="D1557" s="8" t="str">
        <f>IFERROR(__xludf.DUMMYFUNCTION("GOOGLETRANSLATE(C1557, ""en"", ""pt"")"),"tutela, proteção")</f>
        <v>tutela, proteção</v>
      </c>
      <c r="E1557" s="8" t="str">
        <f>IFERROR(__xludf.DUMMYFUNCTION("GOOGLETRANSLATE(C1557, ""en"", ""es"")"),"tutela, protección")</f>
        <v>tutela, protección</v>
      </c>
      <c r="F1557" s="8" t="str">
        <f>IFERROR(__xludf.DUMMYFUNCTION("GOOGLETRANSLATE(C1557, ""en"", ""fr"")"),"tutorat, protection")</f>
        <v>tutorat, protection</v>
      </c>
      <c r="G1557" s="8" t="str">
        <f>IFERROR(__xludf.DUMMYFUNCTION("GOOGLETRANSLATE(C1557, ""en"", ""de"")"),"Vormundschaft, Schutz")</f>
        <v>Vormundschaft, Schutz</v>
      </c>
      <c r="H1557" s="8" t="str">
        <f>IFERROR(__xludf.DUMMYFUNCTION("GOOGLETRANSLATE(C1557, ""en"", ""ru"")"),"наставничество, защита")</f>
        <v>наставничество, защита</v>
      </c>
      <c r="I1557" s="8" t="str">
        <f>IFERROR(__xludf.DUMMYFUNCTION("GOOGLETRANSLATE(C1557, ""en"", ""ar"")"),"الوصاية والحماية")</f>
        <v>الوصاية والحماية</v>
      </c>
      <c r="J1557" s="8"/>
      <c r="K1557" s="7" t="str">
        <f>IFERROR(__xludf.DUMMYFUNCTION("CONCAT(REGEXREPLACE(C1557,""[ ,]+"",""_""),"".mp3"")"),"tutelage_protection.mp3")</f>
        <v>tutelage_protection.mp3</v>
      </c>
      <c r="M1557" s="4" t="s">
        <v>10</v>
      </c>
    </row>
    <row r="1558" ht="15.75" customHeight="1">
      <c r="A1558" s="1">
        <v>2926.0</v>
      </c>
      <c r="B1558" s="3">
        <v>155.0</v>
      </c>
      <c r="C1558" s="7" t="s">
        <v>1572</v>
      </c>
      <c r="D1558" s="8" t="str">
        <f>IFERROR(__xludf.DUMMYFUNCTION("GOOGLETRANSLATE(C1558, ""en"", ""pt"")"),"venerar, respeitar")</f>
        <v>venerar, respeitar</v>
      </c>
      <c r="E1558" s="8" t="str">
        <f>IFERROR(__xludf.DUMMYFUNCTION("GOOGLETRANSLATE(C1558, ""en"", ""es"")"),"venerar, respetar")</f>
        <v>venerar, respetar</v>
      </c>
      <c r="F1558" s="8" t="str">
        <f>IFERROR(__xludf.DUMMYFUNCTION("GOOGLETRANSLATE(C1558, ""en"", ""fr"")"),"vénérer, respecter")</f>
        <v>vénérer, respecter</v>
      </c>
      <c r="G1558" s="8" t="str">
        <f>IFERROR(__xludf.DUMMYFUNCTION("GOOGLETRANSLATE(C1558, ""en"", ""de"")"),"verehren, respektieren")</f>
        <v>verehren, respektieren</v>
      </c>
      <c r="H1558" s="8" t="str">
        <f>IFERROR(__xludf.DUMMYFUNCTION("GOOGLETRANSLATE(C1558, ""en"", ""ru"")"),"почитать, уважать")</f>
        <v>почитать, уважать</v>
      </c>
      <c r="I1558" s="8" t="str">
        <f>IFERROR(__xludf.DUMMYFUNCTION("GOOGLETRANSLATE(C1558, ""en"", ""ar"")"),"تبجيل، احترام")</f>
        <v>تبجيل، احترام</v>
      </c>
      <c r="J1558" s="8"/>
      <c r="K1558" s="7" t="str">
        <f>IFERROR(__xludf.DUMMYFUNCTION("CONCAT(REGEXREPLACE(C1558,""[ ,]+"",""_""),"".mp3"")"),"venerate_respect.mp3")</f>
        <v>venerate_respect.mp3</v>
      </c>
      <c r="M1558" s="4" t="s">
        <v>10</v>
      </c>
    </row>
    <row r="1559" ht="15.75" customHeight="1">
      <c r="A1559" s="1">
        <v>2927.0</v>
      </c>
      <c r="B1559" s="3">
        <v>155.0</v>
      </c>
      <c r="C1559" s="7" t="s">
        <v>1573</v>
      </c>
      <c r="D1559" s="8" t="str">
        <f>IFERROR(__xludf.DUMMYFUNCTION("GOOGLETRANSLATE(C1559, ""en"", ""pt"")"),"moda, moda")</f>
        <v>moda, moda</v>
      </c>
      <c r="E1559" s="8" t="str">
        <f>IFERROR(__xludf.DUMMYFUNCTION("GOOGLETRANSLATE(C1559, ""en"", ""es"")"),"moda, moda")</f>
        <v>moda, moda</v>
      </c>
      <c r="F1559" s="8" t="str">
        <f>IFERROR(__xludf.DUMMYFUNCTION("GOOGLETRANSLATE(C1559, ""en"", ""fr"")"),"mode")</f>
        <v>mode</v>
      </c>
      <c r="G1559" s="8" t="str">
        <f>IFERROR(__xludf.DUMMYFUNCTION("GOOGLETRANSLATE(C1559, ""en"", ""de"")"),"Vogue, Mode")</f>
        <v>Vogue, Mode</v>
      </c>
      <c r="H1559" s="8" t="str">
        <f>IFERROR(__xludf.DUMMYFUNCTION("GOOGLETRANSLATE(C1559, ""en"", ""ru"")"),"мода, стиль")</f>
        <v>мода, стиль</v>
      </c>
      <c r="I1559" s="8" t="str">
        <f>IFERROR(__xludf.DUMMYFUNCTION("GOOGLETRANSLATE(C1559, ""en"", ""ar"")"),"فوغ، الموضة")</f>
        <v>فوغ، الموضة</v>
      </c>
      <c r="J1559" s="8"/>
      <c r="K1559" s="7" t="str">
        <f>IFERROR(__xludf.DUMMYFUNCTION("CONCAT(REGEXREPLACE(C1559,""[ ,]+"",""_""),"".mp3"")"),"vogue_fashion.mp3")</f>
        <v>vogue_fashion.mp3</v>
      </c>
      <c r="M1559" s="4" t="s">
        <v>10</v>
      </c>
    </row>
    <row r="1560" ht="15.75" customHeight="1">
      <c r="A1560" s="1">
        <v>2928.0</v>
      </c>
      <c r="B1560" s="3">
        <v>155.0</v>
      </c>
      <c r="C1560" s="7" t="s">
        <v>1574</v>
      </c>
      <c r="D1560" s="8" t="str">
        <f>IFERROR(__xludf.DUMMYFUNCTION("GOOGLETRANSLATE(C1560, ""en"", ""pt"")"),"cauteloso, cauteloso")</f>
        <v>cauteloso, cauteloso</v>
      </c>
      <c r="E1560" s="8" t="str">
        <f>IFERROR(__xludf.DUMMYFUNCTION("GOOGLETRANSLATE(C1560, ""en"", ""es"")"),"receloso, cauteloso")</f>
        <v>receloso, cauteloso</v>
      </c>
      <c r="F1560" s="8" t="str">
        <f>IFERROR(__xludf.DUMMYFUNCTION("GOOGLETRANSLATE(C1560, ""en"", ""fr"")"),"méfiant, prudent")</f>
        <v>méfiant, prudent</v>
      </c>
      <c r="G1560" s="8" t="str">
        <f>IFERROR(__xludf.DUMMYFUNCTION("GOOGLETRANSLATE(C1560, ""en"", ""de"")"),"vorsichtig")</f>
        <v>vorsichtig</v>
      </c>
      <c r="H1560" s="8" t="str">
        <f>IFERROR(__xludf.DUMMYFUNCTION("GOOGLETRANSLATE(C1560, ""en"", ""ru"")"),"осторожный, осмотрительный")</f>
        <v>осторожный, осмотрительный</v>
      </c>
      <c r="I1560" s="8" t="str">
        <f>IFERROR(__xludf.DUMMYFUNCTION("GOOGLETRANSLATE(C1560, ""en"", ""ar"")"),"حذر، متأنٍ")</f>
        <v>حذر، متأنٍ</v>
      </c>
      <c r="J1560" s="8"/>
      <c r="K1560" s="7" t="str">
        <f>IFERROR(__xludf.DUMMYFUNCTION("CONCAT(REGEXREPLACE(C1560,""[ ,]+"",""_""),"".mp3"")"),"wary_cautious.mp3")</f>
        <v>wary_cautious.mp3</v>
      </c>
      <c r="M1560" s="4" t="s">
        <v>10</v>
      </c>
    </row>
    <row r="1561" ht="15.75" customHeight="1">
      <c r="A1561" s="1">
        <v>2929.0</v>
      </c>
      <c r="B1561" s="3">
        <v>155.0</v>
      </c>
      <c r="C1561" s="7" t="s">
        <v>1575</v>
      </c>
      <c r="D1561" s="8" t="str">
        <f>IFERROR(__xludf.DUMMYFUNCTION("GOOGLETRANSLATE(C1561, ""en"", ""pt"")"),"vilipendiar, difamar")</f>
        <v>vilipendiar, difamar</v>
      </c>
      <c r="E1561" s="8" t="str">
        <f>IFERROR(__xludf.DUMMYFUNCTION("GOOGLETRANSLATE(C1561, ""en"", ""es"")"),"vilipendiar, difamar")</f>
        <v>vilipendiar, difamar</v>
      </c>
      <c r="F1561" s="8" t="str">
        <f>IFERROR(__xludf.DUMMYFUNCTION("GOOGLETRANSLATE(C1561, ""en"", ""fr"")"),"vilipender, diffamer")</f>
        <v>vilipender, diffamer</v>
      </c>
      <c r="G1561" s="8" t="str">
        <f>IFERROR(__xludf.DUMMYFUNCTION("GOOGLETRANSLATE(C1561, ""en"", ""de"")"),"verleumden, diffamieren")</f>
        <v>verleumden, diffamieren</v>
      </c>
      <c r="H1561" s="8" t="str">
        <f>IFERROR(__xludf.DUMMYFUNCTION("GOOGLETRANSLATE(C1561, ""en"", ""ru"")"),"очернять, порочить")</f>
        <v>очернять, порочить</v>
      </c>
      <c r="I1561" s="8" t="str">
        <f>IFERROR(__xludf.DUMMYFUNCTION("GOOGLETRANSLATE(C1561, ""en"", ""ar"")"),"تشويه السمعة، التشهير")</f>
        <v>تشويه السمعة، التشهير</v>
      </c>
      <c r="J1561" s="8"/>
      <c r="K1561" s="7" t="str">
        <f>IFERROR(__xludf.DUMMYFUNCTION("CONCAT(REGEXREPLACE(C1561,""[ ,]+"",""_""),"".mp3"")"),"vilify_defame.mp3")</f>
        <v>vilify_defame.mp3</v>
      </c>
      <c r="M1561" s="4" t="s">
        <v>10</v>
      </c>
    </row>
    <row r="1562" ht="15.75" customHeight="1">
      <c r="A1562" s="1">
        <v>2930.0</v>
      </c>
      <c r="B1562" s="3">
        <v>155.0</v>
      </c>
      <c r="C1562" s="7" t="s">
        <v>1576</v>
      </c>
      <c r="D1562" s="8" t="str">
        <f>IFERROR(__xludf.DUMMYFUNCTION("GOOGLETRANSLATE(C1562, ""en"", ""pt"")"),"vindicar, absolver")</f>
        <v>vindicar, absolver</v>
      </c>
      <c r="E1562" s="8" t="str">
        <f>IFERROR(__xludf.DUMMYFUNCTION("GOOGLETRANSLATE(C1562, ""en"", ""es"")"),"vindicar, absolver")</f>
        <v>vindicar, absolver</v>
      </c>
      <c r="F1562" s="8" t="str">
        <f>IFERROR(__xludf.DUMMYFUNCTION("GOOGLETRANSLATE(C1562, ""en"", ""fr"")"),"justifier, acquitter")</f>
        <v>justifier, acquitter</v>
      </c>
      <c r="G1562" s="8" t="str">
        <f>IFERROR(__xludf.DUMMYFUNCTION("GOOGLETRANSLATE(C1562, ""en"", ""de"")"),"rehabilitieren, freisprechen")</f>
        <v>rehabilitieren, freisprechen</v>
      </c>
      <c r="H1562" s="8" t="str">
        <f>IFERROR(__xludf.DUMMYFUNCTION("GOOGLETRANSLATE(C1562, ""en"", ""ru"")"),"оправдать, признать невиновным")</f>
        <v>оправдать, признать невиновным</v>
      </c>
      <c r="I1562" s="8" t="str">
        <f>IFERROR(__xludf.DUMMYFUNCTION("GOOGLETRANSLATE(C1562, ""en"", ""ar"")"),"تبرئة، إعفاء")</f>
        <v>تبرئة، إعفاء</v>
      </c>
      <c r="J1562" s="8"/>
      <c r="K1562" s="7" t="str">
        <f>IFERROR(__xludf.DUMMYFUNCTION("CONCAT(REGEXREPLACE(C1562,""[ ,]+"",""_""),"".mp3"")"),"vindicate_acquit.mp3")</f>
        <v>vindicate_acquit.mp3</v>
      </c>
      <c r="M1562" s="4" t="s">
        <v>10</v>
      </c>
    </row>
    <row r="1563" ht="15.75" customHeight="1">
      <c r="A1563" s="1">
        <v>2931.0</v>
      </c>
      <c r="B1563" s="3">
        <v>155.0</v>
      </c>
      <c r="C1563" s="7" t="s">
        <v>1577</v>
      </c>
      <c r="D1563" s="8" t="str">
        <f>IFERROR(__xludf.DUMMYFUNCTION("GOOGLETRANSLATE(C1563, ""en"", ""pt"")"),"exonerar, absolver")</f>
        <v>exonerar, absolver</v>
      </c>
      <c r="E1563" s="8" t="str">
        <f>IFERROR(__xludf.DUMMYFUNCTION("GOOGLETRANSLATE(C1563, ""en"", ""es"")"),"exonerar, absolver")</f>
        <v>exonerar, absolver</v>
      </c>
      <c r="F1563" s="8" t="str">
        <f>IFERROR(__xludf.DUMMYFUNCTION("GOOGLETRANSLATE(C1563, ""en"", ""fr"")"),"exonérer, acquitter")</f>
        <v>exonérer, acquitter</v>
      </c>
      <c r="G1563" s="8" t="str">
        <f>IFERROR(__xludf.DUMMYFUNCTION("GOOGLETRANSLATE(C1563, ""en"", ""de"")"),"entlasten, freisprechen")</f>
        <v>entlasten, freisprechen</v>
      </c>
      <c r="H1563" s="8" t="str">
        <f>IFERROR(__xludf.DUMMYFUNCTION("GOOGLETRANSLATE(C1563, ""en"", ""ru"")"),"оправдать, признать невиновным")</f>
        <v>оправдать, признать невиновным</v>
      </c>
      <c r="I1563" s="8" t="str">
        <f>IFERROR(__xludf.DUMMYFUNCTION("GOOGLETRANSLATE(C1563, ""en"", ""ar"")"),"تبرئته، إعفاؤه")</f>
        <v>تبرئته، إعفاؤه</v>
      </c>
      <c r="J1563" s="8"/>
      <c r="K1563" s="7" t="str">
        <f>IFERROR(__xludf.DUMMYFUNCTION("CONCAT(REGEXREPLACE(C1563,""[ ,]+"",""_""),"".mp3"")"),"exonerate_acquit.mp3")</f>
        <v>exonerate_acquit.mp3</v>
      </c>
      <c r="M1563" s="4" t="s">
        <v>10</v>
      </c>
    </row>
    <row r="1564" ht="15.75" customHeight="1">
      <c r="A1564" s="1">
        <v>2932.0</v>
      </c>
      <c r="B1564" s="3">
        <v>155.0</v>
      </c>
      <c r="C1564" s="7" t="s">
        <v>1578</v>
      </c>
      <c r="D1564" s="8" t="str">
        <f>IFERROR(__xludf.DUMMYFUNCTION("GOOGLETRANSLATE(C1564, ""en"", ""pt"")"),"exculpar, absolver")</f>
        <v>exculpar, absolver</v>
      </c>
      <c r="E1564" s="8" t="str">
        <f>IFERROR(__xludf.DUMMYFUNCTION("GOOGLETRANSLATE(C1564, ""en"", ""es"")"),"exculpar, absolver")</f>
        <v>exculpar, absolver</v>
      </c>
      <c r="F1564" s="8" t="str">
        <f>IFERROR(__xludf.DUMMYFUNCTION("GOOGLETRANSLATE(C1564, ""en"", ""fr"")"),"disculper, acquitter")</f>
        <v>disculper, acquitter</v>
      </c>
      <c r="G1564" s="8" t="str">
        <f>IFERROR(__xludf.DUMMYFUNCTION("GOOGLETRANSLATE(C1564, ""en"", ""de"")"),"exculpate, acquit")</f>
        <v>exculpate, acquit</v>
      </c>
      <c r="H1564" s="8" t="str">
        <f>IFERROR(__xludf.DUMMYFUNCTION("GOOGLETRANSLATE(C1564, ""en"", ""ru"")"),"оправдать, признать невиновным")</f>
        <v>оправдать, признать невиновным</v>
      </c>
      <c r="I1564" s="8" t="str">
        <f>IFERROR(__xludf.DUMMYFUNCTION("GOOGLETRANSLATE(C1564, ""en"", ""ar"")"),"تبرئة، إعفاء")</f>
        <v>تبرئة، إعفاء</v>
      </c>
      <c r="J1564" s="8"/>
      <c r="K1564" s="7" t="str">
        <f>IFERROR(__xludf.DUMMYFUNCTION("CONCAT(REGEXREPLACE(C1564,""[ ,]+"",""_""),"".mp3"")"),"exculpate_acquit.mp3")</f>
        <v>exculpate_acquit.mp3</v>
      </c>
      <c r="M1564" s="4" t="s">
        <v>10</v>
      </c>
    </row>
    <row r="1565" ht="15.75" customHeight="1">
      <c r="A1565" s="1">
        <v>2933.0</v>
      </c>
      <c r="B1565" s="3">
        <v>155.0</v>
      </c>
      <c r="C1565" s="7" t="s">
        <v>1579</v>
      </c>
      <c r="D1565" s="8" t="str">
        <f>IFERROR(__xludf.DUMMYFUNCTION("GOOGLETRANSLATE(C1565, ""en"", ""pt"")"),"absolver, inocentar")</f>
        <v>absolver, inocentar</v>
      </c>
      <c r="E1565" s="8" t="str">
        <f>IFERROR(__xludf.DUMMYFUNCTION("GOOGLETRANSLATE(C1565, ""en"", ""es"")"),"absolver, absolver")</f>
        <v>absolver, absolver</v>
      </c>
      <c r="F1565" s="8" t="str">
        <f>IFERROR(__xludf.DUMMYFUNCTION("GOOGLETRANSLATE(C1565, ""en"", ""fr"")"),"absoudre, acquitter")</f>
        <v>absoudre, acquitter</v>
      </c>
      <c r="G1565" s="8" t="str">
        <f>IFERROR(__xludf.DUMMYFUNCTION("GOOGLETRANSLATE(C1565, ""en"", ""de"")"),"freisprechen, freisprechen")</f>
        <v>freisprechen, freisprechen</v>
      </c>
      <c r="H1565" s="8" t="str">
        <f>IFERROR(__xludf.DUMMYFUNCTION("GOOGLETRANSLATE(C1565, ""en"", ""ru"")"),"оправдать, отпустить")</f>
        <v>оправдать, отпустить</v>
      </c>
      <c r="I1565" s="8" t="str">
        <f>IFERROR(__xludf.DUMMYFUNCTION("GOOGLETRANSLATE(C1565, ""en"", ""ar"")"),"تبرئة، إعفاء")</f>
        <v>تبرئة، إعفاء</v>
      </c>
      <c r="J1565" s="8"/>
      <c r="K1565" s="7" t="str">
        <f>IFERROR(__xludf.DUMMYFUNCTION("CONCAT(REGEXREPLACE(C1565,""[ ,]+"",""_""),"".mp3"")"),"absolve_acquit.mp3")</f>
        <v>absolve_acquit.mp3</v>
      </c>
      <c r="M1565" s="4" t="s">
        <v>10</v>
      </c>
    </row>
    <row r="1566" ht="15.75" customHeight="1">
      <c r="A1566" s="1">
        <v>2934.0</v>
      </c>
      <c r="B1566" s="3">
        <v>155.0</v>
      </c>
      <c r="C1566" s="7" t="s">
        <v>1580</v>
      </c>
      <c r="D1566" s="8" t="str">
        <f>IFERROR(__xludf.DUMMYFUNCTION("GOOGLETRANSLATE(C1566, ""en"", ""pt"")"),"instigar, provocar")</f>
        <v>instigar, provocar</v>
      </c>
      <c r="E1566" s="8" t="str">
        <f>IFERROR(__xludf.DUMMYFUNCTION("GOOGLETRANSLATE(C1566, ""en"", ""es"")"),"tentar, provocar")</f>
        <v>tentar, provocar</v>
      </c>
      <c r="F1566" s="8" t="str">
        <f>IFERROR(__xludf.DUMMYFUNCTION("GOOGLETRANSLATE(C1566, ""en"", ""fr"")"),"taquiner, exciter")</f>
        <v>taquiner, exciter</v>
      </c>
      <c r="G1566" s="8" t="str">
        <f>IFERROR(__xludf.DUMMYFUNCTION("GOOGLETRANSLATE(C1566, ""en"", ""de"")"),"reizen, necken")</f>
        <v>reizen, necken</v>
      </c>
      <c r="H1566" s="8" t="str">
        <f>IFERROR(__xludf.DUMMYFUNCTION("GOOGLETRANSLATE(C1566, ""en"", ""ru"")"),"дразнить, соблазнять")</f>
        <v>дразнить, соблазнять</v>
      </c>
      <c r="I1566" s="8" t="str">
        <f>IFERROR(__xludf.DUMMYFUNCTION("GOOGLETRANSLATE(C1566, ""en"", ""ar"")"),"إغراء، إثارة")</f>
        <v>إغراء، إثارة</v>
      </c>
      <c r="J1566" s="8"/>
      <c r="K1566" s="7" t="str">
        <f>IFERROR(__xludf.DUMMYFUNCTION("CONCAT(REGEXREPLACE(C1566,""[ ,]+"",""_""),"".mp3"")"),"tantalise_tease.mp3")</f>
        <v>tantalise_tease.mp3</v>
      </c>
      <c r="M1566" s="4" t="s">
        <v>10</v>
      </c>
    </row>
    <row r="1567" ht="15.75" customHeight="1">
      <c r="A1567" s="1">
        <v>2935.0</v>
      </c>
      <c r="B1567" s="3">
        <v>155.0</v>
      </c>
      <c r="C1567" s="7" t="s">
        <v>1581</v>
      </c>
      <c r="D1567" s="8" t="str">
        <f>IFERROR(__xludf.DUMMYFUNCTION("GOOGLETRANSLATE(C1567, ""en"", ""pt"")"),"esperto, entende")</f>
        <v>esperto, entende</v>
      </c>
      <c r="E1567" s="8" t="str">
        <f>IFERROR(__xludf.DUMMYFUNCTION("GOOGLETRANSLATE(C1567, ""en"", ""es"")"),"astuto, comprensivo")</f>
        <v>astuto, comprensivo</v>
      </c>
      <c r="F1567" s="8" t="str">
        <f>IFERROR(__xludf.DUMMYFUNCTION("GOOGLETRANSLATE(C1567, ""en"", ""fr"")"),"avisé, comprendre")</f>
        <v>avisé, comprendre</v>
      </c>
      <c r="G1567" s="8" t="str">
        <f>IFERROR(__xludf.DUMMYFUNCTION("GOOGLETRANSLATE(C1567, ""en"", ""de"")"),"klug, verstehen")</f>
        <v>klug, verstehen</v>
      </c>
      <c r="H1567" s="8" t="str">
        <f>IFERROR(__xludf.DUMMYFUNCTION("GOOGLETRANSLATE(C1567, ""en"", ""ru"")"),"сообразительный, понимающий")</f>
        <v>сообразительный, понимающий</v>
      </c>
      <c r="I1567" s="8" t="str">
        <f>IFERROR(__xludf.DUMMYFUNCTION("GOOGLETRANSLATE(C1567, ""en"", ""ar"")"),"ذكي، يفهم")</f>
        <v>ذكي، يفهم</v>
      </c>
      <c r="J1567" s="8"/>
      <c r="K1567" s="7" t="str">
        <f>IFERROR(__xludf.DUMMYFUNCTION("CONCAT(REGEXREPLACE(C1567,""[ ,]+"",""_""),"".mp3"")"),"savvy_understand.mp3")</f>
        <v>savvy_understand.mp3</v>
      </c>
      <c r="M1567" s="4" t="s">
        <v>10</v>
      </c>
    </row>
    <row r="1568" ht="15.75" customHeight="1">
      <c r="A1568" s="1">
        <v>2936.0</v>
      </c>
      <c r="B1568" s="3">
        <v>155.0</v>
      </c>
      <c r="C1568" s="7" t="s">
        <v>1582</v>
      </c>
      <c r="D1568" s="8" t="str">
        <f>IFERROR(__xludf.DUMMYFUNCTION("GOOGLETRANSLATE(C1568, ""en"", ""pt"")"),"apreender, entender")</f>
        <v>apreender, entender</v>
      </c>
      <c r="E1568" s="8" t="str">
        <f>IFERROR(__xludf.DUMMYFUNCTION("GOOGLETRANSLATE(C1568, ""en"", ""es"")"),"aprehender, comprender")</f>
        <v>aprehender, comprender</v>
      </c>
      <c r="F1568" s="8" t="str">
        <f>IFERROR(__xludf.DUMMYFUNCTION("GOOGLETRANSLATE(C1568, ""en"", ""fr"")"),"appréhender, comprendre")</f>
        <v>appréhender, comprendre</v>
      </c>
      <c r="G1568" s="8" t="str">
        <f>IFERROR(__xludf.DUMMYFUNCTION("GOOGLETRANSLATE(C1568, ""en"", ""de"")"),"begreifen, verstehen")</f>
        <v>begreifen, verstehen</v>
      </c>
      <c r="H1568" s="8" t="str">
        <f>IFERROR(__xludf.DUMMYFUNCTION("GOOGLETRANSLATE(C1568, ""en"", ""ru"")"),"понять, осознать")</f>
        <v>понять, осознать</v>
      </c>
      <c r="I1568" s="8" t="str">
        <f>IFERROR(__xludf.DUMMYFUNCTION("GOOGLETRANSLATE(C1568, ""en"", ""ar"")"),"فهم، إدراك")</f>
        <v>فهم، إدراك</v>
      </c>
      <c r="J1568" s="8"/>
      <c r="K1568" s="7" t="str">
        <f>IFERROR(__xludf.DUMMYFUNCTION("CONCAT(REGEXREPLACE(C1568,""[ ,]+"",""_""),"".mp3"")"),"apprehend_understand.mp3")</f>
        <v>apprehend_understand.mp3</v>
      </c>
      <c r="M1568" s="4" t="s">
        <v>10</v>
      </c>
    </row>
    <row r="1569" ht="15.75" customHeight="1">
      <c r="A1569" s="1">
        <v>2937.0</v>
      </c>
      <c r="B1569" s="3">
        <v>155.0</v>
      </c>
      <c r="C1569" s="7" t="s">
        <v>1583</v>
      </c>
      <c r="D1569" s="8" t="str">
        <f>IFERROR(__xludf.DUMMYFUNCTION("GOOGLETRANSLATE(C1569, ""en"", ""pt"")"),"simon-puro, genuíno")</f>
        <v>simon-puro, genuíno</v>
      </c>
      <c r="E1569" s="8" t="str">
        <f>IFERROR(__xludf.DUMMYFUNCTION("GOOGLETRANSLATE(C1569, ""en"", ""es"")"),"Simon, puro y auténtico.")</f>
        <v>Simon, puro y auténtico.</v>
      </c>
      <c r="F1569" s="8" t="str">
        <f>IFERROR(__xludf.DUMMYFUNCTION("GOOGLETRANSLATE(C1569, ""en"", ""fr"")"),"Simon-pur, authentique")</f>
        <v>Simon-pur, authentique</v>
      </c>
      <c r="G1569" s="8" t="str">
        <f>IFERROR(__xludf.DUMMYFUNCTION("GOOGLETRANSLATE(C1569, ""en"", ""de"")"),"simon-pure, authentische")</f>
        <v>simon-pure, authentische</v>
      </c>
      <c r="H1569" s="8" t="str">
        <f>IFERROR(__xludf.DUMMYFUNCTION("GOOGLETRANSLATE(C1569, ""en"", ""ru"")"),"simon-pure, genuine")</f>
        <v>simon-pure, genuine</v>
      </c>
      <c r="I1569" s="8" t="str">
        <f>IFERROR(__xludf.DUMMYFUNCTION("GOOGLETRANSLATE(C1569, ""en"", ""ar"")"),"سيمون-بيور، أصلي")</f>
        <v>سيمون-بيور، أصلي</v>
      </c>
      <c r="J1569" s="8"/>
      <c r="K1569" s="7" t="str">
        <f>IFERROR(__xludf.DUMMYFUNCTION("CONCAT(REGEXREPLACE(C1569,""[ ,]+"",""_""),"".mp3"")"),"simon-pure_genuine.mp3")</f>
        <v>simon-pure_genuine.mp3</v>
      </c>
      <c r="M1569" s="4" t="s">
        <v>10</v>
      </c>
    </row>
    <row r="1570" ht="15.75" customHeight="1">
      <c r="A1570" s="1">
        <v>2938.0</v>
      </c>
      <c r="B1570" s="3">
        <v>155.0</v>
      </c>
      <c r="C1570" s="7" t="s">
        <v>1584</v>
      </c>
      <c r="D1570" s="8" t="str">
        <f>IFERROR(__xludf.DUMMYFUNCTION("GOOGLETRANSLATE(C1570, ""en"", ""pt"")"),"saciar, satisfazer")</f>
        <v>saciar, satisfazer</v>
      </c>
      <c r="E1570" s="8" t="str">
        <f>IFERROR(__xludf.DUMMYFUNCTION("GOOGLETRANSLATE(C1570, ""en"", ""es"")"),"saciar, satisfacer")</f>
        <v>saciar, satisfacer</v>
      </c>
      <c r="F1570" s="8" t="str">
        <f>IFERROR(__xludf.DUMMYFUNCTION("GOOGLETRANSLATE(C1570, ""en"", ""fr"")"),"rassasier, satisfaire")</f>
        <v>rassasier, satisfaire</v>
      </c>
      <c r="G1570" s="8" t="str">
        <f>IFERROR(__xludf.DUMMYFUNCTION("GOOGLETRANSLATE(C1570, ""en"", ""de"")"),"sättigen, befriedigen")</f>
        <v>sättigen, befriedigen</v>
      </c>
      <c r="H1570" s="8" t="str">
        <f>IFERROR(__xludf.DUMMYFUNCTION("GOOGLETRANSLATE(C1570, ""en"", ""ru"")"),"насытить, удовлетворить")</f>
        <v>насытить, удовлетворить</v>
      </c>
      <c r="I1570" s="8" t="str">
        <f>IFERROR(__xludf.DUMMYFUNCTION("GOOGLETRANSLATE(C1570, ""en"", ""ar"")"),"أشبع، أرضِ")</f>
        <v>أشبع، أرضِ</v>
      </c>
      <c r="J1570" s="8"/>
      <c r="K1570" s="7" t="str">
        <f>IFERROR(__xludf.DUMMYFUNCTION("CONCAT(REGEXREPLACE(C1570,""[ ,]+"",""_""),"".mp3"")"),"satiate_satisfy.mp3")</f>
        <v>satiate_satisfy.mp3</v>
      </c>
      <c r="M1570" s="4" t="s">
        <v>10</v>
      </c>
    </row>
    <row r="1571" ht="15.75" customHeight="1">
      <c r="A1571" s="1">
        <v>2939.0</v>
      </c>
      <c r="B1571" s="3">
        <v>155.0</v>
      </c>
      <c r="C1571" s="7" t="s">
        <v>1585</v>
      </c>
      <c r="D1571" s="8" t="str">
        <f>IFERROR(__xludf.DUMMYFUNCTION("GOOGLETRANSLATE(C1571, ""en"", ""pt"")"),"gratificar, satisfazer")</f>
        <v>gratificar, satisfazer</v>
      </c>
      <c r="E1571" s="8" t="str">
        <f>IFERROR(__xludf.DUMMYFUNCTION("GOOGLETRANSLATE(C1571, ""en"", ""es"")"),"gratificar, satisfacer")</f>
        <v>gratificar, satisfacer</v>
      </c>
      <c r="F1571" s="8" t="str">
        <f>IFERROR(__xludf.DUMMYFUNCTION("GOOGLETRANSLATE(C1571, ""en"", ""fr"")"),"gratifier, satisfaire")</f>
        <v>gratifier, satisfaire</v>
      </c>
      <c r="G1571" s="8" t="str">
        <f>IFERROR(__xludf.DUMMYFUNCTION("GOOGLETRANSLATE(C1571, ""en"", ""de"")"),"befriedigen, zufriedenstellen")</f>
        <v>befriedigen, zufriedenstellen</v>
      </c>
      <c r="H1571" s="8" t="str">
        <f>IFERROR(__xludf.DUMMYFUNCTION("GOOGLETRANSLATE(C1571, ""en"", ""ru"")"),"удовлетворять, доставлять удовольствие")</f>
        <v>удовлетворять, доставлять удовольствие</v>
      </c>
      <c r="I1571" s="8" t="str">
        <f>IFERROR(__xludf.DUMMYFUNCTION("GOOGLETRANSLATE(C1571, ""en"", ""ar"")"),"إرضاء، إشباع")</f>
        <v>إرضاء، إشباع</v>
      </c>
      <c r="J1571" s="8"/>
      <c r="K1571" s="7" t="str">
        <f>IFERROR(__xludf.DUMMYFUNCTION("CONCAT(REGEXREPLACE(C1571,""[ ,]+"",""_""),"".mp3"")"),"gratify_satisfy.mp3")</f>
        <v>gratify_satisfy.mp3</v>
      </c>
      <c r="M1571" s="4" t="s">
        <v>10</v>
      </c>
    </row>
    <row r="1572" ht="15.75" customHeight="1">
      <c r="A1572" s="1">
        <v>2940.0</v>
      </c>
      <c r="B1572" s="3">
        <v>155.0</v>
      </c>
      <c r="C1572" s="7" t="s">
        <v>1586</v>
      </c>
      <c r="D1572" s="8" t="str">
        <f>IFERROR(__xludf.DUMMYFUNCTION("GOOGLETRANSLATE(C1572, ""en"", ""pt"")"),"sanguíneo, otimista")</f>
        <v>sanguíneo, otimista</v>
      </c>
      <c r="E1572" s="8" t="str">
        <f>IFERROR(__xludf.DUMMYFUNCTION("GOOGLETRANSLATE(C1572, ""en"", ""es"")"),"sanguíneo, optimista")</f>
        <v>sanguíneo, optimista</v>
      </c>
      <c r="F1572" s="8" t="str">
        <f>IFERROR(__xludf.DUMMYFUNCTION("GOOGLETRANSLATE(C1572, ""en"", ""fr"")"),"optimiste")</f>
        <v>optimiste</v>
      </c>
      <c r="G1572" s="8" t="str">
        <f>IFERROR(__xludf.DUMMYFUNCTION("GOOGLETRANSLATE(C1572, ""en"", ""de"")"),"optimistisch, zuversichtlich")</f>
        <v>optimistisch, zuversichtlich</v>
      </c>
      <c r="H1572" s="8" t="str">
        <f>IFERROR(__xludf.DUMMYFUNCTION("GOOGLETRANSLATE(C1572, ""en"", ""ru"")"),"оптимистичный, оптимистичный")</f>
        <v>оптимистичный, оптимистичный</v>
      </c>
      <c r="I1572" s="8" t="str">
        <f>IFERROR(__xludf.DUMMYFUNCTION("GOOGLETRANSLATE(C1572, ""en"", ""ar"")"),"متفائل، متفائل")</f>
        <v>متفائل، متفائل</v>
      </c>
      <c r="J1572" s="8"/>
      <c r="K1572" s="7" t="str">
        <f>IFERROR(__xludf.DUMMYFUNCTION("CONCAT(REGEXREPLACE(C1572,""[ ,]+"",""_""),"".mp3"")"),"sanguine_optimistic.mp3")</f>
        <v>sanguine_optimistic.mp3</v>
      </c>
      <c r="M1572" s="4" t="s">
        <v>10</v>
      </c>
    </row>
    <row r="1573" ht="15.75" customHeight="1">
      <c r="A1573" s="1">
        <v>2941.0</v>
      </c>
      <c r="B1573" s="3">
        <v>155.0</v>
      </c>
      <c r="C1573" s="7" t="s">
        <v>1587</v>
      </c>
      <c r="D1573" s="8" t="str">
        <f>IFERROR(__xludf.DUMMYFUNCTION("GOOGLETRANSLATE(C1573, ""en"", ""pt"")"),"salubre, saudável")</f>
        <v>salubre, saudável</v>
      </c>
      <c r="E1573" s="8" t="str">
        <f>IFERROR(__xludf.DUMMYFUNCTION("GOOGLETRANSLATE(C1573, ""en"", ""es"")"),"saludable y sano")</f>
        <v>saludable y sano</v>
      </c>
      <c r="F1573" s="8" t="str">
        <f>IFERROR(__xludf.DUMMYFUNCTION("GOOGLETRANSLATE(C1573, ""en"", ""fr"")"),"sain, sain")</f>
        <v>sain, sain</v>
      </c>
      <c r="G1573" s="8" t="str">
        <f>IFERROR(__xludf.DUMMYFUNCTION("GOOGLETRANSLATE(C1573, ""en"", ""de"")"),"gesund, gesundheitsfördernd")</f>
        <v>gesund, gesundheitsfördernd</v>
      </c>
      <c r="H1573" s="8" t="str">
        <f>IFERROR(__xludf.DUMMYFUNCTION("GOOGLETRANSLATE(C1573, ""en"", ""ru"")"),"полезный, здоровый")</f>
        <v>полезный, здоровый</v>
      </c>
      <c r="I1573" s="8" t="str">
        <f>IFERROR(__xludf.DUMMYFUNCTION("GOOGLETRANSLATE(C1573, ""en"", ""ar"")"),"سليم، معافى")</f>
        <v>سليم، معافى</v>
      </c>
      <c r="J1573" s="8"/>
      <c r="K1573" s="7" t="str">
        <f>IFERROR(__xludf.DUMMYFUNCTION("CONCAT(REGEXREPLACE(C1573,""[ ,]+"",""_""),"".mp3"")"),"salubrious_healthy.mp3")</f>
        <v>salubrious_healthy.mp3</v>
      </c>
      <c r="M1573" s="4" t="s">
        <v>10</v>
      </c>
    </row>
    <row r="1574" ht="15.75" customHeight="1">
      <c r="A1574" s="1">
        <v>2942.0</v>
      </c>
      <c r="B1574" s="3">
        <v>155.0</v>
      </c>
      <c r="C1574" s="7" t="s">
        <v>1588</v>
      </c>
      <c r="D1574" s="8" t="str">
        <f>IFERROR(__xludf.DUMMYFUNCTION("GOOGLETRANSLATE(C1574, ""en"", ""pt"")"),"lascivo, obsceno")</f>
        <v>lascivo, obsceno</v>
      </c>
      <c r="E1574" s="8" t="str">
        <f>IFERROR(__xludf.DUMMYFUNCTION("GOOGLETRANSLATE(C1574, ""en"", ""es"")"),"lascivo, obsceno")</f>
        <v>lascivo, obsceno</v>
      </c>
      <c r="F1574" s="8" t="str">
        <f>IFERROR(__xludf.DUMMYFUNCTION("GOOGLETRANSLATE(C1574, ""en"", ""fr"")"),"salace, obscène")</f>
        <v>salace, obscène</v>
      </c>
      <c r="G1574" s="8" t="str">
        <f>IFERROR(__xludf.DUMMYFUNCTION("GOOGLETRANSLATE(C1574, ""en"", ""de"")"),"anzüglich, obszön")</f>
        <v>anzüglich, obszön</v>
      </c>
      <c r="H1574" s="8" t="str">
        <f>IFERROR(__xludf.DUMMYFUNCTION("GOOGLETRANSLATE(C1574, ""en"", ""ru"")"),"непристойный, похотливый")</f>
        <v>непристойный, похотливый</v>
      </c>
      <c r="I1574" s="8" t="str">
        <f>IFERROR(__xludf.DUMMYFUNCTION("GOOGLETRANSLATE(C1574, ""en"", ""ar"")"),"فاحش، بذيء")</f>
        <v>فاحش، بذيء</v>
      </c>
      <c r="J1574" s="8"/>
      <c r="K1574" s="7" t="str">
        <f>IFERROR(__xludf.DUMMYFUNCTION("CONCAT(REGEXREPLACE(C1574,""[ ,]+"",""_""),"".mp3"")"),"salacious_obscene.mp3")</f>
        <v>salacious_obscene.mp3</v>
      </c>
      <c r="M1574" s="4" t="s">
        <v>10</v>
      </c>
    </row>
    <row r="1575" ht="15.75" customHeight="1">
      <c r="A1575" s="1">
        <v>2943.0</v>
      </c>
      <c r="B1575" s="3">
        <v>155.0</v>
      </c>
      <c r="C1575" s="7" t="s">
        <v>1589</v>
      </c>
      <c r="D1575" s="8" t="str">
        <f>IFERROR(__xludf.DUMMYFUNCTION("GOOGLETRANSLATE(C1575, ""en"", ""pt"")"),"abafado, quente e úmido")</f>
        <v>abafado, quente e úmido</v>
      </c>
      <c r="E1575" s="8" t="str">
        <f>IFERROR(__xludf.DUMMYFUNCTION("GOOGLETRANSLATE(C1575, ""en"", ""es"")"),"bochornoso, caluroso y húmedo")</f>
        <v>bochornoso, caluroso y húmedo</v>
      </c>
      <c r="F1575" s="8" t="str">
        <f>IFERROR(__xludf.DUMMYFUNCTION("GOOGLETRANSLATE(C1575, ""en"", ""fr"")"),"étouffante, chaude et humide")</f>
        <v>étouffante, chaude et humide</v>
      </c>
      <c r="G1575" s="8" t="str">
        <f>IFERROR(__xludf.DUMMYFUNCTION("GOOGLETRANSLATE(C1575, ""en"", ""de"")"),"schwül, heiß und feucht")</f>
        <v>schwül, heiß und feucht</v>
      </c>
      <c r="H1575" s="8" t="str">
        <f>IFERROR(__xludf.DUMMYFUNCTION("GOOGLETRANSLATE(C1575, ""en"", ""ru"")"),"душно, жарко и влажно")</f>
        <v>душно, жарко и влажно</v>
      </c>
      <c r="I1575" s="8" t="str">
        <f>IFERROR(__xludf.DUMMYFUNCTION("GOOGLETRANSLATE(C1575, ""en"", ""ar"")"),"حار ورطب")</f>
        <v>حار ورطب</v>
      </c>
      <c r="J1575" s="8"/>
      <c r="K1575" s="7" t="str">
        <f>IFERROR(__xludf.DUMMYFUNCTION("CONCAT(REGEXREPLACE(C1575,""[ ,]+"",""_""),"".mp3"")"),"sultry_hot_and_humid.mp3")</f>
        <v>sultry_hot_and_humid.mp3</v>
      </c>
      <c r="M1575" s="4" t="s">
        <v>10</v>
      </c>
    </row>
    <row r="1576" ht="15.75" customHeight="1">
      <c r="A1576" s="1">
        <v>2944.0</v>
      </c>
      <c r="B1576" s="3">
        <v>155.0</v>
      </c>
      <c r="C1576" s="7" t="s">
        <v>1590</v>
      </c>
      <c r="D1576" s="8" t="str">
        <f>IFERROR(__xludf.DUMMYFUNCTION("GOOGLETRANSLATE(C1576, ""en"", ""pt"")"),"tórrido, extremamente quente")</f>
        <v>tórrido, extremamente quente</v>
      </c>
      <c r="E1576" s="8" t="str">
        <f>IFERROR(__xludf.DUMMYFUNCTION("GOOGLETRANSLATE(C1576, ""en"", ""es"")"),"tórrido, extremadamente caliente")</f>
        <v>tórrido, extremadamente caliente</v>
      </c>
      <c r="F1576" s="8" t="str">
        <f>IFERROR(__xludf.DUMMYFUNCTION("GOOGLETRANSLATE(C1576, ""en"", ""fr"")"),"torride, extrêmement chaud")</f>
        <v>torride, extrêmement chaud</v>
      </c>
      <c r="G1576" s="8" t="str">
        <f>IFERROR(__xludf.DUMMYFUNCTION("GOOGLETRANSLATE(C1576, ""en"", ""de"")"),"brütend heiß")</f>
        <v>brütend heiß</v>
      </c>
      <c r="H1576" s="8" t="str">
        <f>IFERROR(__xludf.DUMMYFUNCTION("GOOGLETRANSLATE(C1576, ""en"", ""ru"")"),"знойный, невероятно жаркий")</f>
        <v>знойный, невероятно жаркий</v>
      </c>
      <c r="I1576" s="8" t="str">
        <f>IFERROR(__xludf.DUMMYFUNCTION("GOOGLETRANSLATE(C1576, ""en"", ""ar"")"),"حار جداً، شديد الحرارة")</f>
        <v>حار جداً، شديد الحرارة</v>
      </c>
      <c r="J1576" s="8"/>
      <c r="K1576" s="7" t="str">
        <f>IFERROR(__xludf.DUMMYFUNCTION("CONCAT(REGEXREPLACE(C1576,""[ ,]+"",""_""),"".mp3"")"),"torrid_extremely_hot.mp3")</f>
        <v>torrid_extremely_hot.mp3</v>
      </c>
      <c r="M1576" s="4" t="s">
        <v>10</v>
      </c>
    </row>
    <row r="1577" ht="15.75" customHeight="1">
      <c r="A1577" s="1">
        <v>2945.0</v>
      </c>
      <c r="B1577" s="3">
        <v>155.0</v>
      </c>
      <c r="C1577" s="7" t="s">
        <v>1591</v>
      </c>
      <c r="D1577" s="8" t="str">
        <f>IFERROR(__xludf.DUMMYFUNCTION("GOOGLETRANSLATE(C1577, ""en"", ""pt"")"),"tedioso, cansativo")</f>
        <v>tedioso, cansativo</v>
      </c>
      <c r="E1577" s="8" t="str">
        <f>IFERROR(__xludf.DUMMYFUNCTION("GOOGLETRANSLATE(C1577, ""en"", ""es"")"),"tedioso, cansado")</f>
        <v>tedioso, cansado</v>
      </c>
      <c r="F1577" s="8" t="str">
        <f>IFERROR(__xludf.DUMMYFUNCTION("GOOGLETRANSLATE(C1577, ""en"", ""fr"")"),"fastidieux, pénible")</f>
        <v>fastidieux, pénible</v>
      </c>
      <c r="G1577" s="8" t="str">
        <f>IFERROR(__xludf.DUMMYFUNCTION("GOOGLETRANSLATE(C1577, ""en"", ""de"")"),"langweilig, ermüdend")</f>
        <v>langweilig, ermüdend</v>
      </c>
      <c r="H1577" s="8" t="str">
        <f>IFERROR(__xludf.DUMMYFUNCTION("GOOGLETRANSLATE(C1577, ""en"", ""ru"")"),"утомительный, изнурительный")</f>
        <v>утомительный, изнурительный</v>
      </c>
      <c r="I1577" s="8" t="str">
        <f>IFERROR(__xludf.DUMMYFUNCTION("GOOGLETRANSLATE(C1577, ""en"", ""ar"")"),"ممل، متعب")</f>
        <v>ممل، متعب</v>
      </c>
      <c r="J1577" s="8"/>
      <c r="K1577" s="7" t="str">
        <f>IFERROR(__xludf.DUMMYFUNCTION("CONCAT(REGEXREPLACE(C1577,""[ ,]+"",""_""),"".mp3"")"),"tedious_tiresome.mp3")</f>
        <v>tedious_tiresome.mp3</v>
      </c>
      <c r="M1577" s="4" t="s">
        <v>10</v>
      </c>
    </row>
    <row r="1578" ht="15.75" customHeight="1">
      <c r="A1578" s="1">
        <v>2946.0</v>
      </c>
      <c r="B1578" s="3">
        <v>155.0</v>
      </c>
      <c r="C1578" s="7" t="s">
        <v>1592</v>
      </c>
      <c r="D1578" s="8" t="str">
        <f>IFERROR(__xludf.DUMMYFUNCTION("GOOGLETRANSLATE(C1578, ""en"", ""pt"")"),"tempestade, uma tempestade violenta")</f>
        <v>tempestade, uma tempestade violenta</v>
      </c>
      <c r="E1578" s="8" t="str">
        <f>IFERROR(__xludf.DUMMYFUNCTION("GOOGLETRANSLATE(C1578, ""en"", ""es"")"),"tempestad, una tormenta violenta")</f>
        <v>tempestad, una tormenta violenta</v>
      </c>
      <c r="F1578" s="8" t="str">
        <f>IFERROR(__xludf.DUMMYFUNCTION("GOOGLETRANSLATE(C1578, ""en"", ""fr"")"),"tempête, une violente tempête")</f>
        <v>tempête, une violente tempête</v>
      </c>
      <c r="G1578" s="8" t="str">
        <f>IFERROR(__xludf.DUMMYFUNCTION("GOOGLETRANSLATE(C1578, ""en"", ""de"")"),"Sturm, ein heftiger Sturm")</f>
        <v>Sturm, ein heftiger Sturm</v>
      </c>
      <c r="H1578" s="8" t="str">
        <f>IFERROR(__xludf.DUMMYFUNCTION("GOOGLETRANSLATE(C1578, ""en"", ""ru"")"),"буря, сильная буря")</f>
        <v>буря, сильная буря</v>
      </c>
      <c r="I1578" s="8" t="str">
        <f>IFERROR(__xludf.DUMMYFUNCTION("GOOGLETRANSLATE(C1578, ""en"", ""ar"")"),"عاصفة، عاصفة عنيفة")</f>
        <v>عاصفة، عاصفة عنيفة</v>
      </c>
      <c r="J1578" s="8"/>
      <c r="K1578" s="7" t="str">
        <f>IFERROR(__xludf.DUMMYFUNCTION("CONCAT(REGEXREPLACE(C1578,""[ ,]+"",""_""),"".mp3"")"),"tempest_a_violent_storm.mp3")</f>
        <v>tempest_a_violent_storm.mp3</v>
      </c>
      <c r="M1578" s="4" t="s">
        <v>10</v>
      </c>
    </row>
    <row r="1579" ht="15.75" customHeight="1">
      <c r="A1579" s="1">
        <v>2947.0</v>
      </c>
      <c r="B1579" s="3">
        <v>155.0</v>
      </c>
      <c r="C1579" s="7" t="s">
        <v>1593</v>
      </c>
      <c r="D1579" s="8" t="str">
        <f>IFERROR(__xludf.DUMMYFUNCTION("GOOGLETRANSLATE(C1579, ""en"", ""pt"")"),"surreal, incomum")</f>
        <v>surreal, incomum</v>
      </c>
      <c r="E1579" s="8" t="str">
        <f>IFERROR(__xludf.DUMMYFUNCTION("GOOGLETRANSLATE(C1579, ""en"", ""es"")"),"surrealista, inusual")</f>
        <v>surrealista, inusual</v>
      </c>
      <c r="F1579" s="8" t="str">
        <f>IFERROR(__xludf.DUMMYFUNCTION("GOOGLETRANSLATE(C1579, ""en"", ""fr"")"),"surréaliste, inhabituel")</f>
        <v>surréaliste, inhabituel</v>
      </c>
      <c r="G1579" s="8" t="str">
        <f>IFERROR(__xludf.DUMMYFUNCTION("GOOGLETRANSLATE(C1579, ""en"", ""de"")"),"surreal, ungewöhnlich")</f>
        <v>surreal, ungewöhnlich</v>
      </c>
      <c r="H1579" s="8" t="str">
        <f>IFERROR(__xludf.DUMMYFUNCTION("GOOGLETRANSLATE(C1579, ""en"", ""ru"")"),"сюрреалистичный, необычный")</f>
        <v>сюрреалистичный, необычный</v>
      </c>
      <c r="I1579" s="8" t="str">
        <f>IFERROR(__xludf.DUMMYFUNCTION("GOOGLETRANSLATE(C1579, ""en"", ""ar"")"),"سريالي، غير عادي")</f>
        <v>سريالي، غير عادي</v>
      </c>
      <c r="J1579" s="8"/>
      <c r="K1579" s="7" t="str">
        <f>IFERROR(__xludf.DUMMYFUNCTION("CONCAT(REGEXREPLACE(C1579,""[ ,]+"",""_""),"".mp3"")"),"surreal_unusual.mp3")</f>
        <v>surreal_unusual.mp3</v>
      </c>
      <c r="M1579" s="4" t="s">
        <v>10</v>
      </c>
    </row>
    <row r="1580" ht="15.75" customHeight="1">
      <c r="A1580" s="1">
        <v>2948.0</v>
      </c>
      <c r="B1580" s="3">
        <v>155.0</v>
      </c>
      <c r="C1580" s="7" t="s">
        <v>1594</v>
      </c>
      <c r="D1580" s="8" t="str">
        <f>IFERROR(__xludf.DUMMYFUNCTION("GOOGLETRANSLATE(C1580, ""en"", ""pt"")"),"diversos, variados")</f>
        <v>diversos, variados</v>
      </c>
      <c r="E1580" s="8" t="str">
        <f>IFERROR(__xludf.DUMMYFUNCTION("GOOGLETRANSLATE(C1580, ""en"", ""es"")"),"varios, misceláneos")</f>
        <v>varios, misceláneos</v>
      </c>
      <c r="F1580" s="8" t="str">
        <f>IFERROR(__xludf.DUMMYFUNCTION("GOOGLETRANSLATE(C1580, ""en"", ""fr"")"),"divers, divers")</f>
        <v>divers, divers</v>
      </c>
      <c r="G1580" s="8" t="str">
        <f>IFERROR(__xludf.DUMMYFUNCTION("GOOGLETRANSLATE(C1580, ""en"", ""de"")"),"Verschiedenes, Verschiedenes")</f>
        <v>Verschiedenes, Verschiedenes</v>
      </c>
      <c r="H1580" s="8" t="str">
        <f>IFERROR(__xludf.DUMMYFUNCTION("GOOGLETRANSLATE(C1580, ""en"", ""ru"")"),"разное, разнообразное")</f>
        <v>разное, разнообразное</v>
      </c>
      <c r="I1580" s="8" t="str">
        <f>IFERROR(__xludf.DUMMYFUNCTION("GOOGLETRANSLATE(C1580, ""en"", ""ar"")"),"متنوع، متعدد الأغراض")</f>
        <v>متنوع، متعدد الأغراض</v>
      </c>
      <c r="J1580" s="8"/>
      <c r="K1580" s="7" t="str">
        <f>IFERROR(__xludf.DUMMYFUNCTION("CONCAT(REGEXREPLACE(C1580,""[ ,]+"",""_""),"".mp3"")"),"sundry_miscellaneous.mp3")</f>
        <v>sundry_miscellaneous.mp3</v>
      </c>
      <c r="M1580" s="4" t="s">
        <v>10</v>
      </c>
    </row>
    <row r="1581" ht="15.75" customHeight="1">
      <c r="A1581" s="1">
        <v>2949.0</v>
      </c>
      <c r="B1581" s="3">
        <v>155.0</v>
      </c>
      <c r="C1581" s="7" t="s">
        <v>1595</v>
      </c>
      <c r="D1581" s="8" t="str">
        <f>IFERROR(__xludf.DUMMYFUNCTION("GOOGLETRANSLATE(C1581, ""en"", ""pt"")"),"heterogêneo, variado")</f>
        <v>heterogêneo, variado</v>
      </c>
      <c r="E1581" s="8" t="str">
        <f>IFERROR(__xludf.DUMMYFUNCTION("GOOGLETRANSLATE(C1581, ""en"", ""es"")"),"abigarrado, misceláneo")</f>
        <v>abigarrado, misceláneo</v>
      </c>
      <c r="F1581" s="8" t="str">
        <f>IFERROR(__xludf.DUMMYFUNCTION("GOOGLETRANSLATE(C1581, ""en"", ""fr"")"),"bigarré, divers")</f>
        <v>bigarré, divers</v>
      </c>
      <c r="G1581" s="8" t="str">
        <f>IFERROR(__xludf.DUMMYFUNCTION("GOOGLETRANSLATE(C1581, ""en"", ""de"")"),"bunt gemischt, verschieden")</f>
        <v>bunt gemischt, verschieden</v>
      </c>
      <c r="H1581" s="8" t="str">
        <f>IFERROR(__xludf.DUMMYFUNCTION("GOOGLETRANSLATE(C1581, ""en"", ""ru"")"),"пестрый, разношерстный")</f>
        <v>пестрый, разношерстный</v>
      </c>
      <c r="I1581" s="8" t="str">
        <f>IFERROR(__xludf.DUMMYFUNCTION("GOOGLETRANSLATE(C1581, ""en"", ""ar"")"),"متنوع، متعدد")</f>
        <v>متنوع، متعدد</v>
      </c>
      <c r="J1581" s="8"/>
      <c r="K1581" s="7" t="str">
        <f>IFERROR(__xludf.DUMMYFUNCTION("CONCAT(REGEXREPLACE(C1581,""[ ,]+"",""_""),"".mp3"")"),"motley_miscellaneous.mp3")</f>
        <v>motley_miscellaneous.mp3</v>
      </c>
      <c r="M1581" s="4" t="s">
        <v>10</v>
      </c>
    </row>
    <row r="1582" ht="15.75" customHeight="1">
      <c r="A1582" s="1">
        <v>2950.0</v>
      </c>
      <c r="B1582" s="3">
        <v>155.0</v>
      </c>
      <c r="C1582" s="7" t="s">
        <v>1596</v>
      </c>
      <c r="D1582" s="8" t="str">
        <f>IFERROR(__xludf.DUMMYFUNCTION("GOOGLETRANSLATE(C1582, ""en"", ""pt"")"),"excesso, abundante")</f>
        <v>excesso, abundante</v>
      </c>
      <c r="E1582" s="8" t="str">
        <f>IFERROR(__xludf.DUMMYFUNCTION("GOOGLETRANSLATE(C1582, ""en"", ""es"")"),"exceso, abundante")</f>
        <v>exceso, abundante</v>
      </c>
      <c r="F1582" s="8" t="str">
        <f>IFERROR(__xludf.DUMMYFUNCTION("GOOGLETRANSLATE(C1582, ""en"", ""fr"")"),"surabondance, abondance")</f>
        <v>surabondance, abondance</v>
      </c>
      <c r="G1582" s="8" t="str">
        <f>IFERROR(__xludf.DUMMYFUNCTION("GOOGLETRANSLATE(C1582, ""en"", ""de"")"),"Überfluss, reichlich")</f>
        <v>Überfluss, reichlich</v>
      </c>
      <c r="H1582" s="8" t="str">
        <f>IFERROR(__xludf.DUMMYFUNCTION("GOOGLETRANSLATE(C1582, ""en"", ""ru"")"),"избыток, обильный")</f>
        <v>избыток, обильный</v>
      </c>
      <c r="I1582" s="8" t="str">
        <f>IFERROR(__xludf.DUMMYFUNCTION("GOOGLETRANSLATE(C1582, ""en"", ""ar"")"),"فائض، وفير")</f>
        <v>فائض، وفير</v>
      </c>
      <c r="J1582" s="8"/>
      <c r="K1582" s="7" t="str">
        <f>IFERROR(__xludf.DUMMYFUNCTION("CONCAT(REGEXREPLACE(C1582,""[ ,]+"",""_""),"".mp3"")"),"surfeit_abundant.mp3")</f>
        <v>surfeit_abundant.mp3</v>
      </c>
      <c r="M1582" s="4" t="s">
        <v>10</v>
      </c>
    </row>
    <row r="1583" ht="15.75" customHeight="1">
      <c r="A1583" s="1">
        <v>2951.0</v>
      </c>
      <c r="B1583" s="3">
        <v>155.0</v>
      </c>
      <c r="C1583" s="7" t="s">
        <v>1597</v>
      </c>
      <c r="D1583" s="8" t="str">
        <f>IFERROR(__xludf.DUMMYFUNCTION("GOOGLETRANSLATE(C1583, ""en"", ""pt"")"),"obsceno, vulgar")</f>
        <v>obsceno, vulgar</v>
      </c>
      <c r="E1583" s="8" t="str">
        <f>IFERROR(__xludf.DUMMYFUNCTION("GOOGLETRANSLATE(C1583, ""en"", ""es"")"),"obsceno, vulgar")</f>
        <v>obsceno, vulgar</v>
      </c>
      <c r="F1583" s="8" t="str">
        <f>IFERROR(__xludf.DUMMYFUNCTION("GOOGLETRANSLATE(C1583, ""en"", ""fr"")"),"grivois, vulgaire")</f>
        <v>grivois, vulgaire</v>
      </c>
      <c r="G1583" s="8" t="str">
        <f>IFERROR(__xludf.DUMMYFUNCTION("GOOGLETRANSLATE(C1583, ""en"", ""de"")"),"derb, vulgär")</f>
        <v>derb, vulgär</v>
      </c>
      <c r="H1583" s="8" t="str">
        <f>IFERROR(__xludf.DUMMYFUNCTION("GOOGLETRANSLATE(C1583, ""en"", ""ru"")"),"непристойный, вульгарный")</f>
        <v>непристойный, вульгарный</v>
      </c>
      <c r="I1583" s="8" t="str">
        <f>IFERROR(__xludf.DUMMYFUNCTION("GOOGLETRANSLATE(C1583, ""en"", ""ar"")"),"فاحش، مبتذل")</f>
        <v>فاحش، مبتذل</v>
      </c>
      <c r="J1583" s="8"/>
      <c r="K1583" s="7" t="str">
        <f>IFERROR(__xludf.DUMMYFUNCTION("CONCAT(REGEXREPLACE(C1583,""[ ,]+"",""_""),"".mp3"")"),"ribald_vulgar.mp3")</f>
        <v>ribald_vulgar.mp3</v>
      </c>
      <c r="M1583" s="4" t="s">
        <v>10</v>
      </c>
    </row>
    <row r="1584" ht="15.75" customHeight="1">
      <c r="A1584" s="1">
        <v>2952.0</v>
      </c>
      <c r="B1584" s="3">
        <v>155.0</v>
      </c>
      <c r="C1584" s="7" t="s">
        <v>1598</v>
      </c>
      <c r="D1584" s="8" t="str">
        <f>IFERROR(__xludf.DUMMYFUNCTION("GOOGLETRANSLATE(C1584, ""en"", ""pt"")"),"reiterar, repetir")</f>
        <v>reiterar, repetir</v>
      </c>
      <c r="E1584" s="8" t="str">
        <f>IFERROR(__xludf.DUMMYFUNCTION("GOOGLETRANSLATE(C1584, ""en"", ""es"")"),"reiterar, repetir")</f>
        <v>reiterar, repetir</v>
      </c>
      <c r="F1584" s="8" t="str">
        <f>IFERROR(__xludf.DUMMYFUNCTION("GOOGLETRANSLATE(C1584, ""en"", ""fr"")"),"réitérer, répéter")</f>
        <v>réitérer, répéter</v>
      </c>
      <c r="G1584" s="8" t="str">
        <f>IFERROR(__xludf.DUMMYFUNCTION("GOOGLETRANSLATE(C1584, ""en"", ""de"")"),"wiederholen, wiederholen")</f>
        <v>wiederholen, wiederholen</v>
      </c>
      <c r="H1584" s="8" t="str">
        <f>IFERROR(__xludf.DUMMYFUNCTION("GOOGLETRANSLATE(C1584, ""en"", ""ru"")"),"повторять, повторять")</f>
        <v>повторять, повторять</v>
      </c>
      <c r="I1584" s="8" t="str">
        <f>IFERROR(__xludf.DUMMYFUNCTION("GOOGLETRANSLATE(C1584, ""en"", ""ar"")"),"كرر، كرر")</f>
        <v>كرر، كرر</v>
      </c>
      <c r="J1584" s="8"/>
      <c r="K1584" s="7" t="str">
        <f>IFERROR(__xludf.DUMMYFUNCTION("CONCAT(REGEXREPLACE(C1584,""[ ,]+"",""_""),"".mp3"")"),"reiterate_repeat.mp3")</f>
        <v>reiterate_repeat.mp3</v>
      </c>
      <c r="M1584" s="4" t="s">
        <v>10</v>
      </c>
    </row>
    <row r="1585" ht="15.75" customHeight="1">
      <c r="A1585" s="1">
        <v>2953.0</v>
      </c>
      <c r="B1585" s="3">
        <v>155.0</v>
      </c>
      <c r="C1585" s="7" t="s">
        <v>1599</v>
      </c>
      <c r="D1585" s="8" t="str">
        <f>IFERROR(__xludf.DUMMYFUNCTION("GOOGLETRANSLATE(C1585, ""en"", ""pt"")"),"saquear, roubar")</f>
        <v>saquear, roubar</v>
      </c>
      <c r="E1585" s="8" t="str">
        <f>IFERROR(__xludf.DUMMYFUNCTION("GOOGLETRANSLATE(C1585, ""en"", ""es"")"),"saquear, robar")</f>
        <v>saquear, robar</v>
      </c>
      <c r="F1585" s="8" t="str">
        <f>IFERROR(__xludf.DUMMYFUNCTION("GOOGLETRANSLATE(C1585, ""en"", ""fr"")"),"piller, voler")</f>
        <v>piller, voler</v>
      </c>
      <c r="G1585" s="8" t="str">
        <f>IFERROR(__xludf.DUMMYFUNCTION("GOOGLETRANSLATE(C1585, ""en"", ""de"")"),"plündern, ausrauben")</f>
        <v>plündern, ausrauben</v>
      </c>
      <c r="H1585" s="8" t="str">
        <f>IFERROR(__xludf.DUMMYFUNCTION("GOOGLETRANSLATE(C1585, ""en"", ""ru"")"),"грабить, разорять")</f>
        <v>грабить, разорять</v>
      </c>
      <c r="I1585" s="8" t="str">
        <f>IFERROR(__xludf.DUMMYFUNCTION("GOOGLETRANSLATE(C1585, ""en"", ""ar"")"),"نهب، سرقة")</f>
        <v>نهب، سرقة</v>
      </c>
      <c r="J1585" s="8"/>
      <c r="K1585" s="7" t="str">
        <f>IFERROR(__xludf.DUMMYFUNCTION("CONCAT(REGEXREPLACE(C1585,""[ ,]+"",""_""),"".mp3"")"),"ransack_rob.mp3")</f>
        <v>ransack_rob.mp3</v>
      </c>
      <c r="M1585" s="4" t="s">
        <v>10</v>
      </c>
    </row>
    <row r="1586" ht="15.75" customHeight="1">
      <c r="A1586" s="1">
        <v>2954.0</v>
      </c>
      <c r="B1586" s="3">
        <v>155.0</v>
      </c>
      <c r="C1586" s="7" t="s">
        <v>1600</v>
      </c>
      <c r="D1586" s="8" t="str">
        <f>IFERROR(__xludf.DUMMYFUNCTION("GOOGLETRANSLATE(C1586, ""en"", ""pt"")"),"saquear, roubar")</f>
        <v>saquear, roubar</v>
      </c>
      <c r="E1586" s="8" t="str">
        <f>IFERROR(__xludf.DUMMYFUNCTION("GOOGLETRANSLATE(C1586, ""en"", ""es"")"),"saquear, robar")</f>
        <v>saquear, robar</v>
      </c>
      <c r="F1586" s="8" t="str">
        <f>IFERROR(__xludf.DUMMYFUNCTION("GOOGLETRANSLATE(C1586, ""en"", ""fr"")"),"piller, voler")</f>
        <v>piller, voler</v>
      </c>
      <c r="G1586" s="8" t="str">
        <f>IFERROR(__xludf.DUMMYFUNCTION("GOOGLETRANSLATE(C1586, ""en"", ""de"")"),"plündern, rauben")</f>
        <v>plündern, rauben</v>
      </c>
      <c r="H1586" s="8" t="str">
        <f>IFERROR(__xludf.DUMMYFUNCTION("GOOGLETRANSLATE(C1586, ""en"", ""ru"")"),"грабить, мародерствовать")</f>
        <v>грабить, мародерствовать</v>
      </c>
      <c r="I1586" s="8" t="str">
        <f>IFERROR(__xludf.DUMMYFUNCTION("GOOGLETRANSLATE(C1586, ""en"", ""ar"")"),"النهب، السرقة")</f>
        <v>النهب، السرقة</v>
      </c>
      <c r="J1586" s="8"/>
      <c r="K1586" s="7" t="str">
        <f>IFERROR(__xludf.DUMMYFUNCTION("CONCAT(REGEXREPLACE(C1586,""[ ,]+"",""_""),"".mp3"")"),"plunder_rob.mp3")</f>
        <v>plunder_rob.mp3</v>
      </c>
      <c r="M1586" s="4" t="s">
        <v>10</v>
      </c>
    </row>
    <row r="1587" ht="15.75" customHeight="1">
      <c r="A1587" s="1">
        <v>2955.0</v>
      </c>
      <c r="B1587" s="3">
        <v>155.0</v>
      </c>
      <c r="C1587" s="7" t="s">
        <v>1601</v>
      </c>
      <c r="D1587" s="8" t="str">
        <f>IFERROR(__xludf.DUMMYFUNCTION("GOOGLETRANSLATE(C1587, ""en"", ""pt"")"),"pilhar, roubar")</f>
        <v>pilhar, roubar</v>
      </c>
      <c r="E1587" s="8" t="str">
        <f>IFERROR(__xludf.DUMMYFUNCTION("GOOGLETRANSLATE(C1587, ""en"", ""es"")"),"saquear, robar")</f>
        <v>saquear, robar</v>
      </c>
      <c r="F1587" s="8" t="str">
        <f>IFERROR(__xludf.DUMMYFUNCTION("GOOGLETRANSLATE(C1587, ""en"", ""fr"")"),"piller, voler")</f>
        <v>piller, voler</v>
      </c>
      <c r="G1587" s="8" t="str">
        <f>IFERROR(__xludf.DUMMYFUNCTION("GOOGLETRANSLATE(C1587, ""en"", ""de"")"),"plündern, rauben")</f>
        <v>plündern, rauben</v>
      </c>
      <c r="H1587" s="8" t="str">
        <f>IFERROR(__xludf.DUMMYFUNCTION("GOOGLETRANSLATE(C1587, ""en"", ""ru"")"),"грабеж, разбой")</f>
        <v>грабеж, разбой</v>
      </c>
      <c r="I1587" s="8" t="str">
        <f>IFERROR(__xludf.DUMMYFUNCTION("GOOGLETRANSLATE(C1587, ""en"", ""ar"")"),"النهب والسرقة")</f>
        <v>النهب والسرقة</v>
      </c>
      <c r="J1587" s="8"/>
      <c r="K1587" s="7" t="str">
        <f>IFERROR(__xludf.DUMMYFUNCTION("CONCAT(REGEXREPLACE(C1587,""[ ,]+"",""_""),"".mp3"")"),"pillage_rob.mp3")</f>
        <v>pillage_rob.mp3</v>
      </c>
      <c r="M1587" s="4" t="s">
        <v>10</v>
      </c>
    </row>
    <row r="1588" ht="15.75" customHeight="1">
      <c r="A1588" s="1">
        <v>2956.0</v>
      </c>
      <c r="B1588" s="3">
        <v>155.0</v>
      </c>
      <c r="C1588" s="7" t="s">
        <v>1602</v>
      </c>
      <c r="D1588" s="8" t="str">
        <f>IFERROR(__xludf.DUMMYFUNCTION("GOOGLETRANSLATE(C1588, ""en"", ""pt"")"),"rescindir, cancelar")</f>
        <v>rescindir, cancelar</v>
      </c>
      <c r="E1588" s="8" t="str">
        <f>IFERROR(__xludf.DUMMYFUNCTION("GOOGLETRANSLATE(C1588, ""en"", ""es"")"),"rescindir, cancelar")</f>
        <v>rescindir, cancelar</v>
      </c>
      <c r="F1588" s="8" t="str">
        <f>IFERROR(__xludf.DUMMYFUNCTION("GOOGLETRANSLATE(C1588, ""en"", ""fr"")"),"annuler, révoquer")</f>
        <v>annuler, révoquer</v>
      </c>
      <c r="G1588" s="8" t="str">
        <f>IFERROR(__xludf.DUMMYFUNCTION("GOOGLETRANSLATE(C1588, ""en"", ""de"")"),"aufheben, stornieren")</f>
        <v>aufheben, stornieren</v>
      </c>
      <c r="H1588" s="8" t="str">
        <f>IFERROR(__xludf.DUMMYFUNCTION("GOOGLETRANSLATE(C1588, ""en"", ""ru"")"),"отменить, аннулировать")</f>
        <v>отменить, аннулировать</v>
      </c>
      <c r="I1588" s="8" t="str">
        <f>IFERROR(__xludf.DUMMYFUNCTION("GOOGLETRANSLATE(C1588, ""en"", ""ar"")"),"إلغاء، فسخ العقد")</f>
        <v>إلغاء، فسخ العقد</v>
      </c>
      <c r="J1588" s="8"/>
      <c r="K1588" s="7" t="str">
        <f>IFERROR(__xludf.DUMMYFUNCTION("CONCAT(REGEXREPLACE(C1588,""[ ,]+"",""_""),"".mp3"")"),"rescind_cancel.mp3")</f>
        <v>rescind_cancel.mp3</v>
      </c>
      <c r="M1588" s="4" t="s">
        <v>10</v>
      </c>
    </row>
    <row r="1589" ht="15.75" customHeight="1">
      <c r="A1589" s="1">
        <v>2957.0</v>
      </c>
      <c r="B1589" s="3">
        <v>155.0</v>
      </c>
      <c r="C1589" s="7" t="s">
        <v>1603</v>
      </c>
      <c r="D1589" s="8" t="str">
        <f>IFERROR(__xludf.DUMMYFUNCTION("GOOGLETRANSLATE(C1589, ""en"", ""pt"")"),"anular, cancelar")</f>
        <v>anular, cancelar</v>
      </c>
      <c r="E1589" s="8" t="str">
        <f>IFERROR(__xludf.DUMMYFUNCTION("GOOGLETRANSLATE(C1589, ""en"", ""es"")"),"anular, cancelar")</f>
        <v>anular, cancelar</v>
      </c>
      <c r="F1589" s="8" t="str">
        <f>IFERROR(__xludf.DUMMYFUNCTION("GOOGLETRANSLATE(C1589, ""en"", ""fr"")"),"annuler, annuler")</f>
        <v>annuler, annuler</v>
      </c>
      <c r="G1589" s="8" t="str">
        <f>IFERROR(__xludf.DUMMYFUNCTION("GOOGLETRANSLATE(C1589, ""en"", ""de"")"),"annullieren, aufheben")</f>
        <v>annullieren, aufheben</v>
      </c>
      <c r="H1589" s="8" t="str">
        <f>IFERROR(__xludf.DUMMYFUNCTION("GOOGLETRANSLATE(C1589, ""en"", ""ru"")"),"аннулировать, отменить")</f>
        <v>аннулировать, отменить</v>
      </c>
      <c r="I1589" s="8" t="str">
        <f>IFERROR(__xludf.DUMMYFUNCTION("GOOGLETRANSLATE(C1589, ""en"", ""ar"")"),"إلغاء، إلغاء")</f>
        <v>إلغاء، إلغاء</v>
      </c>
      <c r="J1589" s="8"/>
      <c r="K1589" s="7" t="str">
        <f>IFERROR(__xludf.DUMMYFUNCTION("CONCAT(REGEXREPLACE(C1589,""[ ,]+"",""_""),"".mp3"")"),"annul_cancel.mp3")</f>
        <v>annul_cancel.mp3</v>
      </c>
      <c r="M1589" s="4" t="s">
        <v>10</v>
      </c>
    </row>
    <row r="1590" ht="15.75" customHeight="1">
      <c r="A1590" s="1">
        <v>2958.0</v>
      </c>
      <c r="B1590" s="3">
        <v>155.0</v>
      </c>
      <c r="C1590" s="7" t="s">
        <v>1604</v>
      </c>
      <c r="D1590" s="8" t="str">
        <f>IFERROR(__xludf.DUMMYFUNCTION("GOOGLETRANSLATE(C1590, ""en"", ""pt"")"),"revogar, cancelar")</f>
        <v>revogar, cancelar</v>
      </c>
      <c r="E1590" s="8" t="str">
        <f>IFERROR(__xludf.DUMMYFUNCTION("GOOGLETRANSLATE(C1590, ""en"", ""es"")"),"derogar, cancelar")</f>
        <v>derogar, cancelar</v>
      </c>
      <c r="F1590" s="8" t="str">
        <f>IFERROR(__xludf.DUMMYFUNCTION("GOOGLETRANSLATE(C1590, ""en"", ""fr"")"),"abroger, annuler")</f>
        <v>abroger, annuler</v>
      </c>
      <c r="G1590" s="8" t="str">
        <f>IFERROR(__xludf.DUMMYFUNCTION("GOOGLETRANSLATE(C1590, ""en"", ""de"")"),"aufheben, annullieren")</f>
        <v>aufheben, annullieren</v>
      </c>
      <c r="H1590" s="8" t="str">
        <f>IFERROR(__xludf.DUMMYFUNCTION("GOOGLETRANSLATE(C1590, ""en"", ""ru"")"),"отменить, аннулировать")</f>
        <v>отменить, аннулировать</v>
      </c>
      <c r="I1590" s="8" t="str">
        <f>IFERROR(__xludf.DUMMYFUNCTION("GOOGLETRANSLATE(C1590, ""en"", ""ar"")"),"إلغاء، نقض")</f>
        <v>إلغاء، نقض</v>
      </c>
      <c r="J1590" s="8"/>
      <c r="K1590" s="7" t="str">
        <f>IFERROR(__xludf.DUMMYFUNCTION("CONCAT(REGEXREPLACE(C1590,""[ ,]+"",""_""),"".mp3"")"),"repeal_cancel.mp3")</f>
        <v>repeal_cancel.mp3</v>
      </c>
      <c r="M1590" s="4" t="s">
        <v>10</v>
      </c>
    </row>
    <row r="1591" ht="15.75" customHeight="1">
      <c r="A1591" s="1">
        <v>2959.0</v>
      </c>
      <c r="B1591" s="3">
        <v>155.0</v>
      </c>
      <c r="C1591" s="7" t="s">
        <v>1605</v>
      </c>
      <c r="D1591" s="8" t="str">
        <f>IFERROR(__xludf.DUMMYFUNCTION("GOOGLETRANSLATE(C1591, ""en"", ""pt"")"),"abrogar, revogar")</f>
        <v>abrogar, revogar</v>
      </c>
      <c r="E1591" s="8" t="str">
        <f>IFERROR(__xludf.DUMMYFUNCTION("GOOGLETRANSLATE(C1591, ""en"", ""es"")"),"abrogar, revocar")</f>
        <v>abrogar, revocar</v>
      </c>
      <c r="F1591" s="8" t="str">
        <f>IFERROR(__xludf.DUMMYFUNCTION("GOOGLETRANSLATE(C1591, ""en"", ""fr"")"),"abroger, révoquer")</f>
        <v>abroger, révoquer</v>
      </c>
      <c r="G1591" s="8" t="str">
        <f>IFERROR(__xludf.DUMMYFUNCTION("GOOGLETRANSLATE(C1591, ""en"", ""de"")"),"aufheben, widerrufen")</f>
        <v>aufheben, widerrufen</v>
      </c>
      <c r="H1591" s="8" t="str">
        <f>IFERROR(__xludf.DUMMYFUNCTION("GOOGLETRANSLATE(C1591, ""en"", ""ru"")"),"отменить, аннулировать")</f>
        <v>отменить, аннулировать</v>
      </c>
      <c r="I1591" s="8" t="str">
        <f>IFERROR(__xludf.DUMMYFUNCTION("GOOGLETRANSLATE(C1591, ""en"", ""ar"")"),"إلغاء، إبطال")</f>
        <v>إلغاء، إبطال</v>
      </c>
      <c r="J1591" s="8"/>
      <c r="K1591" s="7" t="str">
        <f>IFERROR(__xludf.DUMMYFUNCTION("CONCAT(REGEXREPLACE(C1591,""[ ,]+"",""_""),"".mp3"")"),"abrogate_revoke.mp3")</f>
        <v>abrogate_revoke.mp3</v>
      </c>
      <c r="M1591" s="4" t="s">
        <v>10</v>
      </c>
    </row>
    <row r="1592" ht="15.75" customHeight="1">
      <c r="A1592" s="1">
        <v>2960.0</v>
      </c>
      <c r="B1592" s="3">
        <v>155.0</v>
      </c>
      <c r="C1592" s="7" t="s">
        <v>1493</v>
      </c>
      <c r="D1592" s="8" t="str">
        <f>IFERROR(__xludf.DUMMYFUNCTION("GOOGLETRANSLATE(C1592, ""en"", ""pt"")"),"reabastecer, encher novamente")</f>
        <v>reabastecer, encher novamente</v>
      </c>
      <c r="E1592" s="8" t="str">
        <f>IFERROR(__xludf.DUMMYFUNCTION("GOOGLETRANSLATE(C1592, ""en"", ""es"")"),"reabastecer, volver a llenar")</f>
        <v>reabastecer, volver a llenar</v>
      </c>
      <c r="F1592" s="8" t="str">
        <f>IFERROR(__xludf.DUMMYFUNCTION("GOOGLETRANSLATE(C1592, ""en"", ""fr"")"),"Remplir, remplir à nouveau")</f>
        <v>Remplir, remplir à nouveau</v>
      </c>
      <c r="G1592" s="8" t="str">
        <f>IFERROR(__xludf.DUMMYFUNCTION("GOOGLETRANSLATE(C1592, ""en"", ""de"")"),"wieder auffüllen, erneut auffüllen")</f>
        <v>wieder auffüllen, erneut auffüllen</v>
      </c>
      <c r="H1592" s="8" t="str">
        <f>IFERROR(__xludf.DUMMYFUNCTION("GOOGLETRANSLATE(C1592, ""en"", ""ru"")"),"пополнить, снова наполнить")</f>
        <v>пополнить, снова наполнить</v>
      </c>
      <c r="I1592" s="8" t="str">
        <f>IFERROR(__xludf.DUMMYFUNCTION("GOOGLETRANSLATE(C1592, ""en"", ""ar"")"),"أعد التعبئة، واملأ الخزان مرة أخرى")</f>
        <v>أعد التعبئة، واملأ الخزان مرة أخرى</v>
      </c>
      <c r="J1592" s="8"/>
      <c r="K1592" s="7" t="str">
        <f>IFERROR(__xludf.DUMMYFUNCTION("CONCAT(REGEXREPLACE(C1592,""[ ,]+"",""_""),"".mp3"")"),"replenish_fill_up_again.mp3")</f>
        <v>replenish_fill_up_again.mp3</v>
      </c>
      <c r="M1592" s="4" t="s">
        <v>10</v>
      </c>
    </row>
    <row r="1593" ht="15.75" customHeight="1">
      <c r="A1593" s="1">
        <v>2961.0</v>
      </c>
      <c r="B1593" s="3">
        <v>155.0</v>
      </c>
      <c r="C1593" s="7" t="s">
        <v>1606</v>
      </c>
      <c r="D1593" s="8" t="str">
        <f>IFERROR(__xludf.DUMMYFUNCTION("GOOGLETRANSLATE(C1593, ""en"", ""pt"")"),"resiliente, flexível")</f>
        <v>resiliente, flexível</v>
      </c>
      <c r="E1593" s="8" t="str">
        <f>IFERROR(__xludf.DUMMYFUNCTION("GOOGLETRANSLATE(C1593, ""en"", ""es"")"),"resistente, flexible")</f>
        <v>resistente, flexible</v>
      </c>
      <c r="F1593" s="8" t="str">
        <f>IFERROR(__xludf.DUMMYFUNCTION("GOOGLETRANSLATE(C1593, ""en"", ""fr"")"),"résilient, flexible")</f>
        <v>résilient, flexible</v>
      </c>
      <c r="G1593" s="8" t="str">
        <f>IFERROR(__xludf.DUMMYFUNCTION("GOOGLETRANSLATE(C1593, ""en"", ""de"")"),"widerstandsfähig, flexibel")</f>
        <v>widerstandsfähig, flexibel</v>
      </c>
      <c r="H1593" s="8" t="str">
        <f>IFERROR(__xludf.DUMMYFUNCTION("GOOGLETRANSLATE(C1593, ""en"", ""ru"")"),"устойчивый, гибкий")</f>
        <v>устойчивый, гибкий</v>
      </c>
      <c r="I1593" s="8" t="str">
        <f>IFERROR(__xludf.DUMMYFUNCTION("GOOGLETRANSLATE(C1593, ""en"", ""ar"")"),"مرن، قابل للتكيف")</f>
        <v>مرن، قابل للتكيف</v>
      </c>
      <c r="J1593" s="8"/>
      <c r="K1593" s="7" t="str">
        <f>IFERROR(__xludf.DUMMYFUNCTION("CONCAT(REGEXREPLACE(C1593,""[ ,]+"",""_""),"".mp3"")"),"resilient_flexible.mp3")</f>
        <v>resilient_flexible.mp3</v>
      </c>
      <c r="M1593" s="4" t="s">
        <v>10</v>
      </c>
    </row>
    <row r="1594" ht="15.75" customHeight="1">
      <c r="A1594" s="1">
        <v>2962.0</v>
      </c>
      <c r="B1594" s="3">
        <v>155.0</v>
      </c>
      <c r="C1594" s="7" t="s">
        <v>1494</v>
      </c>
      <c r="D1594" s="8" t="str">
        <f>IFERROR(__xludf.DUMMYFUNCTION("GOOGLETRANSLATE(C1594, ""en"", ""pt"")"),"flexível, maleável")</f>
        <v>flexível, maleável</v>
      </c>
      <c r="E1594" s="8" t="str">
        <f>IFERROR(__xludf.DUMMYFUNCTION("GOOGLETRANSLATE(C1594, ""en"", ""es"")"),"flexible y maleable")</f>
        <v>flexible y maleable</v>
      </c>
      <c r="F1594" s="8" t="str">
        <f>IFERROR(__xludf.DUMMYFUNCTION("GOOGLETRANSLATE(C1594, ""en"", ""fr"")"),"souple, flexible")</f>
        <v>souple, flexible</v>
      </c>
      <c r="G1594" s="8" t="str">
        <f>IFERROR(__xludf.DUMMYFUNCTION("GOOGLETRANSLATE(C1594, ""en"", ""de"")"),"geschmeidig, flexibel")</f>
        <v>geschmeidig, flexibel</v>
      </c>
      <c r="H1594" s="8" t="str">
        <f>IFERROR(__xludf.DUMMYFUNCTION("GOOGLETRANSLATE(C1594, ""en"", ""ru"")"),"гибкий, эластичный")</f>
        <v>гибкий, эластичный</v>
      </c>
      <c r="I1594" s="8" t="str">
        <f>IFERROR(__xludf.DUMMYFUNCTION("GOOGLETRANSLATE(C1594, ""en"", ""ar"")"),"مرن، لين")</f>
        <v>مرن، لين</v>
      </c>
      <c r="J1594" s="8"/>
      <c r="K1594" s="7" t="str">
        <f>IFERROR(__xludf.DUMMYFUNCTION("CONCAT(REGEXREPLACE(C1594,""[ ,]+"",""_""),"".mp3"")"),"supple_flexible.mp3")</f>
        <v>supple_flexible.mp3</v>
      </c>
      <c r="M1594" s="4" t="s">
        <v>10</v>
      </c>
    </row>
    <row r="1595" ht="15.75" customHeight="1">
      <c r="A1595" s="1">
        <v>2963.0</v>
      </c>
      <c r="B1595" s="3">
        <v>155.0</v>
      </c>
      <c r="C1595" s="7" t="s">
        <v>1607</v>
      </c>
      <c r="D1595" s="8" t="str">
        <f>IFERROR(__xludf.DUMMYFUNCTION("GOOGLETRANSLATE(C1595, ""en"", ""pt"")"),"pusilânime, covarde")</f>
        <v>pusilânime, covarde</v>
      </c>
      <c r="E1595" s="8" t="str">
        <f>IFERROR(__xludf.DUMMYFUNCTION("GOOGLETRANSLATE(C1595, ""en"", ""es"")"),"pusilánime, cobarde")</f>
        <v>pusilánime, cobarde</v>
      </c>
      <c r="F1595" s="8" t="str">
        <f>IFERROR(__xludf.DUMMYFUNCTION("GOOGLETRANSLATE(C1595, ""en"", ""fr"")"),"pusillanime, lâche")</f>
        <v>pusillanime, lâche</v>
      </c>
      <c r="G1595" s="8" t="str">
        <f>IFERROR(__xludf.DUMMYFUNCTION("GOOGLETRANSLATE(C1595, ""en"", ""de"")"),"kleinmütig, feige")</f>
        <v>kleinmütig, feige</v>
      </c>
      <c r="H1595" s="8" t="str">
        <f>IFERROR(__xludf.DUMMYFUNCTION("GOOGLETRANSLATE(C1595, ""en"", ""ru"")"),"малодушный, трусливый")</f>
        <v>малодушный, трусливый</v>
      </c>
      <c r="I1595" s="8" t="str">
        <f>IFERROR(__xludf.DUMMYFUNCTION("GOOGLETRANSLATE(C1595, ""en"", ""ar"")"),"جبان، مذعور")</f>
        <v>جبان، مذعور</v>
      </c>
      <c r="J1595" s="8"/>
      <c r="K1595" s="7" t="str">
        <f>IFERROR(__xludf.DUMMYFUNCTION("CONCAT(REGEXREPLACE(C1595,""[ ,]+"",""_""),"".mp3"")"),"pusillanimous_cowardly.mp3")</f>
        <v>pusillanimous_cowardly.mp3</v>
      </c>
      <c r="M1595" s="4" t="s">
        <v>10</v>
      </c>
    </row>
    <row r="1596" ht="15.75" customHeight="1">
      <c r="A1596" s="1">
        <v>2964.0</v>
      </c>
      <c r="B1596" s="3">
        <v>155.0</v>
      </c>
      <c r="C1596" s="7" t="s">
        <v>1608</v>
      </c>
      <c r="D1596" s="8" t="str">
        <f>IFERROR(__xludf.DUMMYFUNCTION("GOOGLETRANSLATE(C1596, ""en"", ""pt"")"),"pueril, infantil")</f>
        <v>pueril, infantil</v>
      </c>
      <c r="E1596" s="8" t="str">
        <f>IFERROR(__xludf.DUMMYFUNCTION("GOOGLETRANSLATE(C1596, ""en"", ""es"")"),"pueril, infantil")</f>
        <v>pueril, infantil</v>
      </c>
      <c r="F1596" s="8" t="str">
        <f>IFERROR(__xludf.DUMMYFUNCTION("GOOGLETRANSLATE(C1596, ""en"", ""fr"")"),"puéril, enfantin")</f>
        <v>puéril, enfantin</v>
      </c>
      <c r="G1596" s="8" t="str">
        <f>IFERROR(__xludf.DUMMYFUNCTION("GOOGLETRANSLATE(C1596, ""en"", ""de"")"),"kindisch, unreif")</f>
        <v>kindisch, unreif</v>
      </c>
      <c r="H1596" s="8" t="str">
        <f>IFERROR(__xludf.DUMMYFUNCTION("GOOGLETRANSLATE(C1596, ""en"", ""ru"")"),"инфантильный, детский")</f>
        <v>инфантильный, детский</v>
      </c>
      <c r="I1596" s="8" t="str">
        <f>IFERROR(__xludf.DUMMYFUNCTION("GOOGLETRANSLATE(C1596, ""en"", ""ar"")"),"صبياني، طفولي")</f>
        <v>صبياني، طفولي</v>
      </c>
      <c r="J1596" s="8"/>
      <c r="K1596" s="7" t="str">
        <f>IFERROR(__xludf.DUMMYFUNCTION("CONCAT(REGEXREPLACE(C1596,""[ ,]+"",""_""),"".mp3"")"),"puerile_childish.mp3")</f>
        <v>puerile_childish.mp3</v>
      </c>
      <c r="M1596" s="4" t="s">
        <v>10</v>
      </c>
    </row>
    <row r="1597" ht="15.75" customHeight="1">
      <c r="A1597" s="1">
        <v>2965.0</v>
      </c>
      <c r="B1597" s="3">
        <v>155.0</v>
      </c>
      <c r="C1597" s="7" t="s">
        <v>1609</v>
      </c>
      <c r="D1597" s="8" t="str">
        <f>IFERROR(__xludf.DUMMYFUNCTION("GOOGLETRANSLATE(C1597, ""en"", ""pt"")"),"promulgar, proclamar")</f>
        <v>promulgar, proclamar</v>
      </c>
      <c r="E1597" s="8" t="str">
        <f>IFERROR(__xludf.DUMMYFUNCTION("GOOGLETRANSLATE(C1597, ""en"", ""es"")"),"promulgar, proclamar")</f>
        <v>promulgar, proclamar</v>
      </c>
      <c r="F1597" s="8" t="str">
        <f>IFERROR(__xludf.DUMMYFUNCTION("GOOGLETRANSLATE(C1597, ""en"", ""fr"")"),"promulguer, proclamer")</f>
        <v>promulguer, proclamer</v>
      </c>
      <c r="G1597" s="8" t="str">
        <f>IFERROR(__xludf.DUMMYFUNCTION("GOOGLETRANSLATE(C1597, ""en"", ""de"")"),"verkünden, ausrufen")</f>
        <v>verkünden, ausrufen</v>
      </c>
      <c r="H1597" s="8" t="str">
        <f>IFERROR(__xludf.DUMMYFUNCTION("GOOGLETRANSLATE(C1597, ""en"", ""ru"")"),"провозглашать, возвещать")</f>
        <v>провозглашать, возвещать</v>
      </c>
      <c r="I1597" s="8" t="str">
        <f>IFERROR(__xludf.DUMMYFUNCTION("GOOGLETRANSLATE(C1597, ""en"", ""ar"")"),"نشر، أعلن")</f>
        <v>نشر، أعلن</v>
      </c>
      <c r="J1597" s="8"/>
      <c r="K1597" s="7" t="str">
        <f>IFERROR(__xludf.DUMMYFUNCTION("CONCAT(REGEXREPLACE(C1597,""[ ,]+"",""_""),"".mp3"")"),"promulgate_proclaim.mp3")</f>
        <v>promulgate_proclaim.mp3</v>
      </c>
      <c r="M1597" s="4" t="s">
        <v>10</v>
      </c>
    </row>
    <row r="1598" ht="15.75" customHeight="1">
      <c r="A1598" s="1">
        <v>2966.0</v>
      </c>
      <c r="B1598" s="3">
        <v>155.0</v>
      </c>
      <c r="C1598" s="7" t="s">
        <v>1610</v>
      </c>
      <c r="D1598" s="8" t="str">
        <f>IFERROR(__xludf.DUMMYFUNCTION("GOOGLETRANSLATE(C1598, ""en"", ""pt"")"),"plácido, calmo")</f>
        <v>plácido, calmo</v>
      </c>
      <c r="E1598" s="8" t="str">
        <f>IFERROR(__xludf.DUMMYFUNCTION("GOOGLETRANSLATE(C1598, ""en"", ""es"")"),"plácido, tranquilo")</f>
        <v>plácido, tranquilo</v>
      </c>
      <c r="F1598" s="8" t="str">
        <f>IFERROR(__xludf.DUMMYFUNCTION("GOOGLETRANSLATE(C1598, ""en"", ""fr"")"),"placide, calme")</f>
        <v>placide, calme</v>
      </c>
      <c r="G1598" s="8" t="str">
        <f>IFERROR(__xludf.DUMMYFUNCTION("GOOGLETRANSLATE(C1598, ""en"", ""de"")"),"gelassen, ruhig")</f>
        <v>gelassen, ruhig</v>
      </c>
      <c r="H1598" s="8" t="str">
        <f>IFERROR(__xludf.DUMMYFUNCTION("GOOGLETRANSLATE(C1598, ""en"", ""ru"")"),"спокойный, уравновешенный")</f>
        <v>спокойный, уравновешенный</v>
      </c>
      <c r="I1598" s="8" t="str">
        <f>IFERROR(__xludf.DUMMYFUNCTION("GOOGLETRANSLATE(C1598, ""en"", ""ar"")"),"هادئ، ساكن")</f>
        <v>هادئ، ساكن</v>
      </c>
      <c r="J1598" s="8"/>
      <c r="K1598" s="7" t="str">
        <f>IFERROR(__xludf.DUMMYFUNCTION("CONCAT(REGEXREPLACE(C1598,""[ ,]+"",""_""),"".mp3"")"),"placid_calm.mp3")</f>
        <v>placid_calm.mp3</v>
      </c>
      <c r="M1598" s="4" t="s">
        <v>10</v>
      </c>
    </row>
    <row r="1599" ht="15.75" customHeight="1">
      <c r="A1599" s="1">
        <v>2967.0</v>
      </c>
      <c r="B1599" s="3">
        <v>155.0</v>
      </c>
      <c r="C1599" s="7" t="s">
        <v>1611</v>
      </c>
      <c r="D1599" s="8" t="str">
        <f>IFERROR(__xludf.DUMMYFUNCTION("GOOGLETRANSLATE(C1599, ""en"", ""pt"")"),"furto, roubo")</f>
        <v>furto, roubo</v>
      </c>
      <c r="E1599" s="8" t="str">
        <f>IFERROR(__xludf.DUMMYFUNCTION("GOOGLETRANSLATE(C1599, ""en"", ""es"")"),"hurto, robo")</f>
        <v>hurto, robo</v>
      </c>
      <c r="F1599" s="8" t="str">
        <f>IFERROR(__xludf.DUMMYFUNCTION("GOOGLETRANSLATE(C1599, ""en"", ""fr"")"),"dérober, voler")</f>
        <v>dérober, voler</v>
      </c>
      <c r="G1599" s="8" t="str">
        <f>IFERROR(__xludf.DUMMYFUNCTION("GOOGLETRANSLATE(C1599, ""en"", ""de"")"),"Diebstahl")</f>
        <v>Diebstahl</v>
      </c>
      <c r="H1599" s="8" t="str">
        <f>IFERROR(__xludf.DUMMYFUNCTION("GOOGLETRANSLATE(C1599, ""en"", ""ru"")"),"хищение, кража")</f>
        <v>хищение, кража</v>
      </c>
      <c r="I1599" s="8" t="str">
        <f>IFERROR(__xludf.DUMMYFUNCTION("GOOGLETRANSLATE(C1599, ""en"", ""ar"")"),"السرقة والاختلاس")</f>
        <v>السرقة والاختلاس</v>
      </c>
      <c r="J1599" s="8"/>
      <c r="K1599" s="7" t="str">
        <f>IFERROR(__xludf.DUMMYFUNCTION("CONCAT(REGEXREPLACE(C1599,""[ ,]+"",""_""),"".mp3"")"),"pilferage_steal.mp3")</f>
        <v>pilferage_steal.mp3</v>
      </c>
      <c r="M1599" s="4" t="s">
        <v>10</v>
      </c>
    </row>
    <row r="1600" ht="15.75" customHeight="1">
      <c r="A1600" s="1">
        <v>2968.0</v>
      </c>
      <c r="B1600" s="3">
        <v>155.0</v>
      </c>
      <c r="C1600" s="7" t="s">
        <v>1612</v>
      </c>
      <c r="D1600" s="8" t="str">
        <f>IFERROR(__xludf.DUMMYFUNCTION("GOOGLETRANSLATE(C1600, ""en"", ""pt"")"),"penitência, arrependimento")</f>
        <v>penitência, arrependimento</v>
      </c>
      <c r="E1600" s="8" t="str">
        <f>IFERROR(__xludf.DUMMYFUNCTION("GOOGLETRANSLATE(C1600, ""en"", ""es"")"),"penitencia, arrepentimiento")</f>
        <v>penitencia, arrepentimiento</v>
      </c>
      <c r="F1600" s="8" t="str">
        <f>IFERROR(__xludf.DUMMYFUNCTION("GOOGLETRANSLATE(C1600, ""en"", ""fr"")"),"pénitence, regret")</f>
        <v>pénitence, regret</v>
      </c>
      <c r="G1600" s="8" t="str">
        <f>IFERROR(__xludf.DUMMYFUNCTION("GOOGLETRANSLATE(C1600, ""en"", ""de"")"),"Reue, Bedauern")</f>
        <v>Reue, Bedauern</v>
      </c>
      <c r="H1600" s="8" t="str">
        <f>IFERROR(__xludf.DUMMYFUNCTION("GOOGLETRANSLATE(C1600, ""en"", ""ru"")"),"покаяние, сожаление")</f>
        <v>покаяние, сожаление</v>
      </c>
      <c r="I1600" s="8" t="str">
        <f>IFERROR(__xludf.DUMMYFUNCTION("GOOGLETRANSLATE(C1600, ""en"", ""ar"")"),"التوبة والندم")</f>
        <v>التوبة والندم</v>
      </c>
      <c r="J1600" s="8"/>
      <c r="K1600" s="7" t="str">
        <f>IFERROR(__xludf.DUMMYFUNCTION("CONCAT(REGEXREPLACE(C1600,""[ ,]+"",""_""),"".mp3"")"),"penitence_regret.mp3")</f>
        <v>penitence_regret.mp3</v>
      </c>
      <c r="M1600" s="4" t="s">
        <v>10</v>
      </c>
    </row>
    <row r="1601" ht="15.75" customHeight="1">
      <c r="A1601" s="1">
        <v>2969.0</v>
      </c>
      <c r="B1601" s="3">
        <v>155.0</v>
      </c>
      <c r="C1601" s="7" t="s">
        <v>1613</v>
      </c>
      <c r="D1601" s="8" t="str">
        <f>IFERROR(__xludf.DUMMYFUNCTION("GOOGLETRANSLATE(C1601, ""en"", ""pt"")"),"extravagante, incomum")</f>
        <v>extravagante, incomum</v>
      </c>
      <c r="E1601" s="8" t="str">
        <f>IFERROR(__xludf.DUMMYFUNCTION("GOOGLETRANSLATE(C1601, ""en"", ""es"")"),"extravagante, inusual")</f>
        <v>extravagante, inusual</v>
      </c>
      <c r="F1601" s="8" t="str">
        <f>IFERROR(__xludf.DUMMYFUNCTION("GOOGLETRANSLATE(C1601, ""en"", ""fr"")"),"extravagant, inhabituel")</f>
        <v>extravagant, inhabituel</v>
      </c>
      <c r="G1601" s="8" t="str">
        <f>IFERROR(__xludf.DUMMYFUNCTION("GOOGLETRANSLATE(C1601, ""en"", ""de"")"),"ausgefallen, ungewöhnlich")</f>
        <v>ausgefallen, ungewöhnlich</v>
      </c>
      <c r="H1601" s="8" t="str">
        <f>IFERROR(__xludf.DUMMYFUNCTION("GOOGLETRANSLATE(C1601, ""en"", ""ru"")"),"экстравагантный, необычный")</f>
        <v>экстравагантный, необычный</v>
      </c>
      <c r="I1601" s="8" t="str">
        <f>IFERROR(__xludf.DUMMYFUNCTION("GOOGLETRANSLATE(C1601, ""en"", ""ar"")"),"غريب، غير عادي")</f>
        <v>غريب، غير عادي</v>
      </c>
      <c r="J1601" s="8"/>
      <c r="K1601" s="7" t="str">
        <f>IFERROR(__xludf.DUMMYFUNCTION("CONCAT(REGEXREPLACE(C1601,""[ ,]+"",""_""),"".mp3"")"),"outré_unusual.mp3")</f>
        <v>outré_unusual.mp3</v>
      </c>
      <c r="M1601" s="4" t="s">
        <v>10</v>
      </c>
    </row>
    <row r="1602" ht="15.75" customHeight="1">
      <c r="A1602" s="1">
        <v>2970.0</v>
      </c>
      <c r="B1602" s="3">
        <v>155.0</v>
      </c>
      <c r="C1602" s="7" t="s">
        <v>1614</v>
      </c>
      <c r="D1602" s="8" t="str">
        <f>IFERROR(__xludf.DUMMYFUNCTION("GOOGLETRANSLATE(C1602, ""en"", ""pt"")"),"aumentar, incrementar")</f>
        <v>aumentar, incrementar</v>
      </c>
      <c r="E1602" s="8" t="str">
        <f>IFERROR(__xludf.DUMMYFUNCTION("GOOGLETRANSLATE(C1602, ""en"", ""es"")"),"aumentar, incrementar")</f>
        <v>aumentar, incrementar</v>
      </c>
      <c r="F1602" s="8" t="str">
        <f>IFERROR(__xludf.DUMMYFUNCTION("GOOGLETRANSLATE(C1602, ""en"", ""fr"")"),"augmenter, accroître")</f>
        <v>augmenter, accroître</v>
      </c>
      <c r="G1602" s="8" t="str">
        <f>IFERROR(__xludf.DUMMYFUNCTION("GOOGLETRANSLATE(C1602, ""en"", ""de"")"),"erweitern, erhöhen")</f>
        <v>erweitern, erhöhen</v>
      </c>
      <c r="H1602" s="8" t="str">
        <f>IFERROR(__xludf.DUMMYFUNCTION("GOOGLETRANSLATE(C1602, ""en"", ""ru"")"),"увеличивать, наращивать")</f>
        <v>увеличивать, наращивать</v>
      </c>
      <c r="I1602" s="8" t="str">
        <f>IFERROR(__xludf.DUMMYFUNCTION("GOOGLETRANSLATE(C1602, ""en"", ""ar"")"),"زيادة، تعزيز")</f>
        <v>زيادة، تعزيز</v>
      </c>
      <c r="J1602" s="8"/>
      <c r="K1602" s="7" t="str">
        <f>IFERROR(__xludf.DUMMYFUNCTION("CONCAT(REGEXREPLACE(C1602,""[ ,]+"",""_""),"".mp3"")"),"augment_increase.mp3")</f>
        <v>augment_increase.mp3</v>
      </c>
      <c r="M1602" s="4" t="s">
        <v>10</v>
      </c>
    </row>
    <row r="1603" ht="15.75" customHeight="1">
      <c r="A1603" s="1">
        <v>2971.0</v>
      </c>
      <c r="B1603" s="3">
        <v>155.0</v>
      </c>
      <c r="C1603" s="7" t="s">
        <v>1615</v>
      </c>
      <c r="D1603" s="8" t="str">
        <f>IFERROR(__xludf.DUMMYFUNCTION("GOOGLETRANSLATE(C1603, ""en"", ""pt"")"),"perplexo, confuso")</f>
        <v>perplexo, confuso</v>
      </c>
      <c r="E1603" s="8" t="str">
        <f>IFERROR(__xludf.DUMMYFUNCTION("GOOGLETRANSLATE(C1603, ""en"", ""es"")"),"desconcertado, confundido")</f>
        <v>desconcertado, confundido</v>
      </c>
      <c r="F1603" s="8" t="str">
        <f>IFERROR(__xludf.DUMMYFUNCTION("GOOGLETRANSLATE(C1603, ""en"", ""fr"")"),"perplexe, confus")</f>
        <v>perplexe, confus</v>
      </c>
      <c r="G1603" s="8" t="str">
        <f>IFERROR(__xludf.DUMMYFUNCTION("GOOGLETRANSLATE(C1603, ""en"", ""de"")"),"verwirrt, verwirrt")</f>
        <v>verwirrt, verwirrt</v>
      </c>
      <c r="H1603" s="8" t="str">
        <f>IFERROR(__xludf.DUMMYFUNCTION("GOOGLETRANSLATE(C1603, ""en"", ""ru"")"),"растерянный, сбитый с толку")</f>
        <v>растерянный, сбитый с толку</v>
      </c>
      <c r="I1603" s="8" t="str">
        <f>IFERROR(__xludf.DUMMYFUNCTION("GOOGLETRANSLATE(C1603, ""en"", ""ar"")"),"مرتبك، مشوش")</f>
        <v>مرتبك، مشوش</v>
      </c>
      <c r="J1603" s="8"/>
      <c r="K1603" s="7" t="str">
        <f>IFERROR(__xludf.DUMMYFUNCTION("CONCAT(REGEXREPLACE(C1603,""[ ,]+"",""_""),"".mp3"")"),"befuddled_confused.mp3")</f>
        <v>befuddled_confused.mp3</v>
      </c>
      <c r="M1603" s="4" t="s">
        <v>10</v>
      </c>
    </row>
    <row r="1604" ht="15.75" customHeight="1">
      <c r="A1604" s="1">
        <v>2972.0</v>
      </c>
      <c r="B1604" s="3">
        <v>155.0</v>
      </c>
      <c r="C1604" s="7" t="s">
        <v>1616</v>
      </c>
      <c r="D1604" s="8" t="str">
        <f>IFERROR(__xludf.DUMMYFUNCTION("GOOGLETRANSLATE(C1604, ""en"", ""pt"")"),"camaradagem, amizade")</f>
        <v>camaradagem, amizade</v>
      </c>
      <c r="E1604" s="8" t="str">
        <f>IFERROR(__xludf.DUMMYFUNCTION("GOOGLETRANSLATE(C1604, ""en"", ""es"")"),"camaradería, amistad")</f>
        <v>camaradería, amistad</v>
      </c>
      <c r="F1604" s="8" t="str">
        <f>IFERROR(__xludf.DUMMYFUNCTION("GOOGLETRANSLATE(C1604, ""en"", ""fr"")"),"camaraderie, amitié")</f>
        <v>camaraderie, amitié</v>
      </c>
      <c r="G1604" s="8" t="str">
        <f>IFERROR(__xludf.DUMMYFUNCTION("GOOGLETRANSLATE(C1604, ""en"", ""de"")"),"Kameradschaft, Freundschaft")</f>
        <v>Kameradschaft, Freundschaft</v>
      </c>
      <c r="H1604" s="8" t="str">
        <f>IFERROR(__xludf.DUMMYFUNCTION("GOOGLETRANSLATE(C1604, ""en"", ""ru"")"),"товарищество, дружба")</f>
        <v>товарищество, дружба</v>
      </c>
      <c r="I1604" s="8" t="str">
        <f>IFERROR(__xludf.DUMMYFUNCTION("GOOGLETRANSLATE(C1604, ""en"", ""ar"")"),"روح الزمالة والصداقة")</f>
        <v>روح الزمالة والصداقة</v>
      </c>
      <c r="J1604" s="8"/>
      <c r="K1604" s="7" t="str">
        <f>IFERROR(__xludf.DUMMYFUNCTION("CONCAT(REGEXREPLACE(C1604,""[ ,]+"",""_""),"".mp3"")"),"camaraderie_friendship.mp3")</f>
        <v>camaraderie_friendship.mp3</v>
      </c>
      <c r="M1604" s="4" t="s">
        <v>10</v>
      </c>
    </row>
    <row r="1605" ht="15.75" customHeight="1">
      <c r="A1605" s="1">
        <v>2973.0</v>
      </c>
      <c r="B1605" s="3">
        <v>155.0</v>
      </c>
      <c r="C1605" s="7" t="s">
        <v>1617</v>
      </c>
      <c r="D1605" s="8" t="str">
        <f>IFERROR(__xludf.DUMMYFUNCTION("GOOGLETRANSLATE(C1605, ""en"", ""pt"")"),"obsceno, vulgar")</f>
        <v>obsceno, vulgar</v>
      </c>
      <c r="E1605" s="8" t="str">
        <f>IFERROR(__xludf.DUMMYFUNCTION("GOOGLETRANSLATE(C1605, ""en"", ""es"")"),"obsceno, vulgar")</f>
        <v>obsceno, vulgar</v>
      </c>
      <c r="F1605" s="8" t="str">
        <f>IFERROR(__xludf.DUMMYFUNCTION("GOOGLETRANSLATE(C1605, ""en"", ""fr"")"),"grivois, vulgaire")</f>
        <v>grivois, vulgaire</v>
      </c>
      <c r="G1605" s="8" t="str">
        <f>IFERROR(__xludf.DUMMYFUNCTION("GOOGLETRANSLATE(C1605, ""en"", ""de"")"),"obszön, vulgär")</f>
        <v>obszön, vulgär</v>
      </c>
      <c r="H1605" s="8" t="str">
        <f>IFERROR(__xludf.DUMMYFUNCTION("GOOGLETRANSLATE(C1605, ""en"", ""ru"")"),"непристойный, вульгарный")</f>
        <v>непристойный, вульгарный</v>
      </c>
      <c r="I1605" s="8" t="str">
        <f>IFERROR(__xludf.DUMMYFUNCTION("GOOGLETRANSLATE(C1605, ""en"", ""ar"")"),"فاحش، مبتذل")</f>
        <v>فاحش، مبتذل</v>
      </c>
      <c r="J1605" s="8"/>
      <c r="K1605" s="7" t="str">
        <f>IFERROR(__xludf.DUMMYFUNCTION("CONCAT(REGEXREPLACE(C1605,""[ ,]+"",""_""),"".mp3"")"),"bawdy_vulgar.mp3")</f>
        <v>bawdy_vulgar.mp3</v>
      </c>
      <c r="M1605" s="4" t="s">
        <v>10</v>
      </c>
    </row>
    <row r="1606" ht="15.75" customHeight="1">
      <c r="A1606" s="1">
        <v>2974.0</v>
      </c>
      <c r="B1606" s="3">
        <v>155.0</v>
      </c>
      <c r="C1606" s="7" t="s">
        <v>1618</v>
      </c>
      <c r="D1606" s="8" t="str">
        <f>IFERROR(__xludf.DUMMYFUNCTION("GOOGLETRANSLATE(C1606, ""en"", ""pt"")"),"camuflagem, disfarce")</f>
        <v>camuflagem, disfarce</v>
      </c>
      <c r="E1606" s="8" t="str">
        <f>IFERROR(__xludf.DUMMYFUNCTION("GOOGLETRANSLATE(C1606, ""en"", ""es"")"),"camuflaje, disfraz")</f>
        <v>camuflaje, disfraz</v>
      </c>
      <c r="F1606" s="8" t="str">
        <f>IFERROR(__xludf.DUMMYFUNCTION("GOOGLETRANSLATE(C1606, ""en"", ""fr"")"),"camouflage, déguisement")</f>
        <v>camouflage, déguisement</v>
      </c>
      <c r="G1606" s="8" t="str">
        <f>IFERROR(__xludf.DUMMYFUNCTION("GOOGLETRANSLATE(C1606, ""en"", ""de"")"),"Tarnung, Verkleidung")</f>
        <v>Tarnung, Verkleidung</v>
      </c>
      <c r="H1606" s="8" t="str">
        <f>IFERROR(__xludf.DUMMYFUNCTION("GOOGLETRANSLATE(C1606, ""en"", ""ru"")"),"камуфляж, маскировка")</f>
        <v>камуфляж, маскировка</v>
      </c>
      <c r="I1606" s="8" t="str">
        <f>IFERROR(__xludf.DUMMYFUNCTION("GOOGLETRANSLATE(C1606, ""en"", ""ar"")"),"التمويه، التنكر")</f>
        <v>التمويه، التنكر</v>
      </c>
      <c r="J1606" s="8"/>
      <c r="K1606" s="7" t="str">
        <f>IFERROR(__xludf.DUMMYFUNCTION("CONCAT(REGEXREPLACE(C1606,""[ ,]+"",""_""),"".mp3"")"),"camouflage_disguise.mp3")</f>
        <v>camouflage_disguise.mp3</v>
      </c>
      <c r="M1606" s="4" t="s">
        <v>10</v>
      </c>
    </row>
    <row r="1607" ht="15.75" customHeight="1">
      <c r="A1607" s="1">
        <v>2975.0</v>
      </c>
      <c r="B1607" s="3">
        <v>155.0</v>
      </c>
      <c r="C1607" s="7" t="s">
        <v>1619</v>
      </c>
      <c r="D1607" s="8" t="str">
        <f>IFERROR(__xludf.DUMMYFUNCTION("GOOGLETRANSLATE(C1607, ""en"", ""pt"")"),"cardeal, básico")</f>
        <v>cardeal, básico</v>
      </c>
      <c r="E1607" s="8" t="str">
        <f>IFERROR(__xludf.DUMMYFUNCTION("GOOGLETRANSLATE(C1607, ""en"", ""es"")"),"cardinal, básico")</f>
        <v>cardinal, básico</v>
      </c>
      <c r="F1607" s="8" t="str">
        <f>IFERROR(__xludf.DUMMYFUNCTION("GOOGLETRANSLATE(C1607, ""en"", ""fr"")"),"cardinal, de base")</f>
        <v>cardinal, de base</v>
      </c>
      <c r="G1607" s="8" t="str">
        <f>IFERROR(__xludf.DUMMYFUNCTION("GOOGLETRANSLATE(C1607, ""en"", ""de"")"),"Kardinal, Grund")</f>
        <v>Kardinal, Grund</v>
      </c>
      <c r="H1607" s="8" t="str">
        <f>IFERROR(__xludf.DUMMYFUNCTION("GOOGLETRANSLATE(C1607, ""en"", ""ru"")"),"кардинальный, базовый")</f>
        <v>кардинальный, базовый</v>
      </c>
      <c r="I1607" s="8" t="str">
        <f>IFERROR(__xludf.DUMMYFUNCTION("GOOGLETRANSLATE(C1607, ""en"", ""ar"")"),"أساسي، رئيسي")</f>
        <v>أساسي، رئيسي</v>
      </c>
      <c r="J1607" s="8"/>
      <c r="K1607" s="7" t="str">
        <f>IFERROR(__xludf.DUMMYFUNCTION("CONCAT(REGEXREPLACE(C1607,""[ ,]+"",""_""),"".mp3"")"),"cardinal_basic.mp3")</f>
        <v>cardinal_basic.mp3</v>
      </c>
      <c r="M1607" s="4" t="s">
        <v>10</v>
      </c>
    </row>
    <row r="1608" ht="15.75" customHeight="1">
      <c r="A1608" s="1">
        <v>2976.0</v>
      </c>
      <c r="B1608" s="3">
        <v>155.0</v>
      </c>
      <c r="C1608" s="7" t="s">
        <v>1620</v>
      </c>
      <c r="D1608" s="8" t="str">
        <f>IFERROR(__xludf.DUMMYFUNCTION("GOOGLETRANSLATE(C1608, ""en"", ""pt"")"),"cascata, cachoeira")</f>
        <v>cascata, cachoeira</v>
      </c>
      <c r="E1608" s="8" t="str">
        <f>IFERROR(__xludf.DUMMYFUNCTION("GOOGLETRANSLATE(C1608, ""en"", ""es"")"),"cascada, catarata")</f>
        <v>cascada, catarata</v>
      </c>
      <c r="F1608" s="8" t="str">
        <f>IFERROR(__xludf.DUMMYFUNCTION("GOOGLETRANSLATE(C1608, ""en"", ""fr"")"),"cascade, chute d'eau")</f>
        <v>cascade, chute d'eau</v>
      </c>
      <c r="G1608" s="8" t="str">
        <f>IFERROR(__xludf.DUMMYFUNCTION("GOOGLETRANSLATE(C1608, ""en"", ""de"")"),"Kaskade, Wasserfall")</f>
        <v>Kaskade, Wasserfall</v>
      </c>
      <c r="H1608" s="8" t="str">
        <f>IFERROR(__xludf.DUMMYFUNCTION("GOOGLETRANSLATE(C1608, ""en"", ""ru"")"),"каскад, водопад")</f>
        <v>каскад, водопад</v>
      </c>
      <c r="I1608" s="8" t="str">
        <f>IFERROR(__xludf.DUMMYFUNCTION("GOOGLETRANSLATE(C1608, ""en"", ""ar"")"),"شلال، شلال")</f>
        <v>شلال، شلال</v>
      </c>
      <c r="J1608" s="8"/>
      <c r="K1608" s="7" t="str">
        <f>IFERROR(__xludf.DUMMYFUNCTION("CONCAT(REGEXREPLACE(C1608,""[ ,]+"",""_""),"".mp3"")"),"cascade_waterfall.mp3")</f>
        <v>cascade_waterfall.mp3</v>
      </c>
      <c r="M1608" s="4" t="s">
        <v>10</v>
      </c>
    </row>
    <row r="1609" ht="15.75" customHeight="1">
      <c r="A1609" s="1">
        <v>2977.0</v>
      </c>
      <c r="B1609" s="3">
        <v>155.0</v>
      </c>
      <c r="C1609" s="7" t="s">
        <v>1621</v>
      </c>
      <c r="D1609" s="8" t="str">
        <f>IFERROR(__xludf.DUMMYFUNCTION("GOOGLETRANSLATE(C1609, ""en"", ""pt"")"),"insignificante, sem valor")</f>
        <v>insignificante, sem valor</v>
      </c>
      <c r="E1609" s="8" t="str">
        <f>IFERROR(__xludf.DUMMYFUNCTION("GOOGLETRANSLATE(C1609, ""en"", ""es"")"),"insignificante, inútil")</f>
        <v>insignificante, inútil</v>
      </c>
      <c r="F1609" s="8" t="str">
        <f>IFERROR(__xludf.DUMMYFUNCTION("GOOGLETRANSLATE(C1609, ""en"", ""fr"")"),"misérable, sans valeur")</f>
        <v>misérable, sans valeur</v>
      </c>
      <c r="G1609" s="8" t="str">
        <f>IFERROR(__xludf.DUMMYFUNCTION("GOOGLETRANSLATE(C1609, ""en"", ""de"")"),"dürftig, wertlos")</f>
        <v>dürftig, wertlos</v>
      </c>
      <c r="H1609" s="8" t="str">
        <f>IFERROR(__xludf.DUMMYFUNCTION("GOOGLETRANSLATE(C1609, ""en"", ""ru"")"),"ничтожный, бесполезный")</f>
        <v>ничтожный, бесполезный</v>
      </c>
      <c r="I1609" s="8" t="str">
        <f>IFERROR(__xludf.DUMMYFUNCTION("GOOGLETRANSLATE(C1609, ""en"", ""ar"")"),"تافه، لا قيمة له")</f>
        <v>تافه، لا قيمة له</v>
      </c>
      <c r="J1609" s="8"/>
      <c r="K1609" s="7" t="str">
        <f>IFERROR(__xludf.DUMMYFUNCTION("CONCAT(REGEXREPLACE(C1609,""[ ,]+"",""_""),"".mp3"")"),"paltry_worthless.mp3")</f>
        <v>paltry_worthless.mp3</v>
      </c>
      <c r="M1609" s="4" t="s">
        <v>10</v>
      </c>
    </row>
    <row r="1610" ht="15.75" customHeight="1">
      <c r="A1610" s="1">
        <v>2978.0</v>
      </c>
      <c r="B1610" s="3">
        <v>155.0</v>
      </c>
      <c r="C1610" s="7" t="s">
        <v>1622</v>
      </c>
      <c r="D1610" s="8" t="str">
        <f>IFERROR(__xludf.DUMMYFUNCTION("GOOGLETRANSLATE(C1610, ""en"", ""pt"")"),"pertinaz, determinado")</f>
        <v>pertinaz, determinado</v>
      </c>
      <c r="E1610" s="8" t="str">
        <f>IFERROR(__xludf.DUMMYFUNCTION("GOOGLETRANSLATE(C1610, ""en"", ""es"")"),"pertinaz, decidido")</f>
        <v>pertinaz, decidido</v>
      </c>
      <c r="F1610" s="8" t="str">
        <f>IFERROR(__xludf.DUMMYFUNCTION("GOOGLETRANSLATE(C1610, ""en"", ""fr"")"),"persévérante, déterminée")</f>
        <v>persévérante, déterminée</v>
      </c>
      <c r="G1610" s="8" t="str">
        <f>IFERROR(__xludf.DUMMYFUNCTION("GOOGLETRANSLATE(C1610, ""en"", ""de"")"),"hartnäckig, entschlossen")</f>
        <v>hartnäckig, entschlossen</v>
      </c>
      <c r="H1610" s="8" t="str">
        <f>IFERROR(__xludf.DUMMYFUNCTION("GOOGLETRANSLATE(C1610, ""en"", ""ru"")"),"настойчивый, решительный")</f>
        <v>настойчивый, решительный</v>
      </c>
      <c r="I1610" s="8" t="str">
        <f>IFERROR(__xludf.DUMMYFUNCTION("GOOGLETRANSLATE(C1610, ""en"", ""ar"")"),"مثابر، مصمم")</f>
        <v>مثابر، مصمم</v>
      </c>
      <c r="J1610" s="8"/>
      <c r="K1610" s="7" t="str">
        <f>IFERROR(__xludf.DUMMYFUNCTION("CONCAT(REGEXREPLACE(C1610,""[ ,]+"",""_""),"".mp3"")"),"pertinacious_determined.mp3")</f>
        <v>pertinacious_determined.mp3</v>
      </c>
      <c r="M1610" s="4" t="s">
        <v>10</v>
      </c>
    </row>
    <row r="1611" ht="15.75" customHeight="1">
      <c r="A1611" s="1">
        <v>2979.0</v>
      </c>
      <c r="B1611" s="3">
        <v>155.0</v>
      </c>
      <c r="C1611" s="7" t="s">
        <v>1623</v>
      </c>
      <c r="D1611" s="8" t="str">
        <f>IFERROR(__xludf.DUMMYFUNCTION("GOOGLETRANSLATE(C1611, ""en"", ""pt"")"),"parcimonioso, avarento")</f>
        <v>parcimonioso, avarento</v>
      </c>
      <c r="E1611" s="8" t="str">
        <f>IFERROR(__xludf.DUMMYFUNCTION("GOOGLETRANSLATE(C1611, ""en"", ""es"")"),"parsimonioso, tacaño")</f>
        <v>parsimonioso, tacaño</v>
      </c>
      <c r="F1611" s="8" t="str">
        <f>IFERROR(__xludf.DUMMYFUNCTION("GOOGLETRANSLATE(C1611, ""en"", ""fr"")"),"parcimonieux, avare")</f>
        <v>parcimonieux, avare</v>
      </c>
      <c r="G1611" s="8" t="str">
        <f>IFERROR(__xludf.DUMMYFUNCTION("GOOGLETRANSLATE(C1611, ""en"", ""de"")"),"sparsam, geizig")</f>
        <v>sparsam, geizig</v>
      </c>
      <c r="H1611" s="8" t="str">
        <f>IFERROR(__xludf.DUMMYFUNCTION("GOOGLETRANSLATE(C1611, ""en"", ""ru"")"),"скупой, жадный")</f>
        <v>скупой, жадный</v>
      </c>
      <c r="I1611" s="8" t="str">
        <f>IFERROR(__xludf.DUMMYFUNCTION("GOOGLETRANSLATE(C1611, ""en"", ""ar"")"),"بخيل، شحيح")</f>
        <v>بخيل، شحيح</v>
      </c>
      <c r="J1611" s="8"/>
      <c r="K1611" s="7" t="str">
        <f>IFERROR(__xludf.DUMMYFUNCTION("CONCAT(REGEXREPLACE(C1611,""[ ,]+"",""_""),"".mp3"")"),"parsimonious_stingy.mp3")</f>
        <v>parsimonious_stingy.mp3</v>
      </c>
      <c r="M1611" s="4" t="s">
        <v>10</v>
      </c>
    </row>
    <row r="1612" ht="15.75" customHeight="1">
      <c r="A1612" s="1">
        <v>2980.0</v>
      </c>
      <c r="B1612" s="3">
        <v>155.0</v>
      </c>
      <c r="C1612" s="7" t="s">
        <v>1624</v>
      </c>
      <c r="D1612" s="8" t="str">
        <f>IFERROR(__xludf.DUMMYFUNCTION("GOOGLETRANSLATE(C1612, ""en"", ""pt"")"),"lúgubre, triste")</f>
        <v>lúgubre, triste</v>
      </c>
      <c r="E1612" s="8" t="str">
        <f>IFERROR(__xludf.DUMMYFUNCTION("GOOGLETRANSLATE(C1612, ""en"", ""es"")"),"lúgubre, triste")</f>
        <v>lúgubre, triste</v>
      </c>
      <c r="F1612" s="8" t="str">
        <f>IFERROR(__xludf.DUMMYFUNCTION("GOOGLETRANSLATE(C1612, ""en"", ""fr"")"),"lugubre, triste")</f>
        <v>lugubre, triste</v>
      </c>
      <c r="G1612" s="8" t="str">
        <f>IFERROR(__xludf.DUMMYFUNCTION("GOOGLETRANSLATE(C1612, ""en"", ""de"")"),"schwermütig, traurig")</f>
        <v>schwermütig, traurig</v>
      </c>
      <c r="H1612" s="8" t="str">
        <f>IFERROR(__xludf.DUMMYFUNCTION("GOOGLETRANSLATE(C1612, ""en"", ""ru"")"),"мрачный, грустный")</f>
        <v>мрачный, грустный</v>
      </c>
      <c r="I1612" s="8" t="str">
        <f>IFERROR(__xludf.DUMMYFUNCTION("GOOGLETRANSLATE(C1612, ""en"", ""ar"")"),"كئيب، حزين")</f>
        <v>كئيب، حزين</v>
      </c>
      <c r="J1612" s="8"/>
      <c r="K1612" s="7" t="str">
        <f>IFERROR(__xludf.DUMMYFUNCTION("CONCAT(REGEXREPLACE(C1612,""[ ,]+"",""_""),"".mp3"")"),"lugubrious_sad.mp3")</f>
        <v>lugubrious_sad.mp3</v>
      </c>
      <c r="M1612" s="4" t="s">
        <v>10</v>
      </c>
    </row>
    <row r="1613" ht="15.75" customHeight="1">
      <c r="A1613" s="1">
        <v>2981.0</v>
      </c>
      <c r="B1613" s="3">
        <v>155.0</v>
      </c>
      <c r="C1613" s="7" t="s">
        <v>1625</v>
      </c>
      <c r="D1613" s="8" t="str">
        <f>IFERROR(__xludf.DUMMYFUNCTION("GOOGLETRANSLATE(C1613, ""en"", ""pt"")"),"discutível, controverso")</f>
        <v>discutível, controverso</v>
      </c>
      <c r="E1613" s="8" t="str">
        <f>IFERROR(__xludf.DUMMYFUNCTION("GOOGLETRANSLATE(C1613, ""en"", ""es"")"),"discutible, controvertido")</f>
        <v>discutible, controvertido</v>
      </c>
      <c r="F1613" s="8" t="str">
        <f>IFERROR(__xludf.DUMMYFUNCTION("GOOGLETRANSLATE(C1613, ""en"", ""fr"")"),"sujet à controverse")</f>
        <v>sujet à controverse</v>
      </c>
      <c r="G1613" s="8" t="str">
        <f>IFERROR(__xludf.DUMMYFUNCTION("GOOGLETRANSLATE(C1613, ""en"", ""de"")"),"strittig, umstritten")</f>
        <v>strittig, umstritten</v>
      </c>
      <c r="H1613" s="8" t="str">
        <f>IFERROR(__xludf.DUMMYFUNCTION("GOOGLETRANSLATE(C1613, ""en"", ""ru"")"),"спорный, противоречивый")</f>
        <v>спорный, противоречивый</v>
      </c>
      <c r="I1613" s="8" t="str">
        <f>IFERROR(__xludf.DUMMYFUNCTION("GOOGLETRANSLATE(C1613, ""en"", ""ar"")"),"موضوع مثير للجدل")</f>
        <v>موضوع مثير للجدل</v>
      </c>
      <c r="J1613" s="8"/>
      <c r="K1613" s="7" t="str">
        <f>IFERROR(__xludf.DUMMYFUNCTION("CONCAT(REGEXREPLACE(C1613,""[ ,]+"",""_""),"".mp3"")"),"moot_controversial.mp3")</f>
        <v>moot_controversial.mp3</v>
      </c>
      <c r="M1613" s="4" t="s">
        <v>10</v>
      </c>
    </row>
    <row r="1614" ht="15.75" customHeight="1">
      <c r="A1614" s="1">
        <v>2982.0</v>
      </c>
      <c r="B1614" s="3">
        <v>155.0</v>
      </c>
      <c r="C1614" s="7" t="s">
        <v>1626</v>
      </c>
      <c r="D1614" s="8" t="str">
        <f>IFERROR(__xludf.DUMMYFUNCTION("GOOGLETRANSLATE(C1614, ""en"", ""pt"")"),"moribundo, morrendo")</f>
        <v>moribundo, morrendo</v>
      </c>
      <c r="E1614" s="8" t="str">
        <f>IFERROR(__xludf.DUMMYFUNCTION("GOOGLETRANSLATE(C1614, ""en"", ""es"")"),"moribundo, muriendo")</f>
        <v>moribundo, muriendo</v>
      </c>
      <c r="F1614" s="8" t="str">
        <f>IFERROR(__xludf.DUMMYFUNCTION("GOOGLETRANSLATE(C1614, ""en"", ""fr"")"),"moribond, mourant")</f>
        <v>moribond, mourant</v>
      </c>
      <c r="G1614" s="8" t="str">
        <f>IFERROR(__xludf.DUMMYFUNCTION("GOOGLETRANSLATE(C1614, ""en"", ""de"")"),"im Sterben liegend")</f>
        <v>im Sterben liegend</v>
      </c>
      <c r="H1614" s="8" t="str">
        <f>IFERROR(__xludf.DUMMYFUNCTION("GOOGLETRANSLATE(C1614, ""en"", ""ru"")"),"умирающий, умирающий")</f>
        <v>умирающий, умирающий</v>
      </c>
      <c r="I1614" s="8" t="str">
        <f>IFERROR(__xludf.DUMMYFUNCTION("GOOGLETRANSLATE(C1614, ""en"", ""ar"")"),"يحتضر")</f>
        <v>يحتضر</v>
      </c>
      <c r="J1614" s="8"/>
      <c r="K1614" s="7" t="str">
        <f>IFERROR(__xludf.DUMMYFUNCTION("CONCAT(REGEXREPLACE(C1614,""[ ,]+"",""_""),"".mp3"")"),"moribund_dying.mp3")</f>
        <v>moribund_dying.mp3</v>
      </c>
      <c r="M1614" s="4" t="s">
        <v>10</v>
      </c>
    </row>
    <row r="1615" ht="15.75" customHeight="1">
      <c r="A1615" s="1">
        <v>2983.0</v>
      </c>
      <c r="B1615" s="3">
        <v>155.0</v>
      </c>
      <c r="C1615" s="7" t="s">
        <v>1627</v>
      </c>
      <c r="D1615" s="8" t="str">
        <f>IFERROR(__xludf.DUMMYFUNCTION("GOOGLETRANSLATE(C1615, ""en"", ""pt"")"),"mastigar, mastigar")</f>
        <v>mastigar, mastigar</v>
      </c>
      <c r="E1615" s="8" t="str">
        <f>IFERROR(__xludf.DUMMYFUNCTION("GOOGLETRANSLATE(C1615, ""en"", ""es"")"),"masticar, masticar")</f>
        <v>masticar, masticar</v>
      </c>
      <c r="F1615" s="8" t="str">
        <f>IFERROR(__xludf.DUMMYFUNCTION("GOOGLETRANSLATE(C1615, ""en"", ""fr"")"),"mastiquer, mâcher")</f>
        <v>mastiquer, mâcher</v>
      </c>
      <c r="G1615" s="8" t="str">
        <f>IFERROR(__xludf.DUMMYFUNCTION("GOOGLETRANSLATE(C1615, ""en"", ""de"")"),"zerkauen, kauen")</f>
        <v>zerkauen, kauen</v>
      </c>
      <c r="H1615" s="8" t="str">
        <f>IFERROR(__xludf.DUMMYFUNCTION("GOOGLETRANSLATE(C1615, ""en"", ""ru"")"),"пережевывать, жевать")</f>
        <v>пережевывать, жевать</v>
      </c>
      <c r="I1615" s="8" t="str">
        <f>IFERROR(__xludf.DUMMYFUNCTION("GOOGLETRANSLATE(C1615, ""en"", ""ar"")"),"المضغ، المضغ")</f>
        <v>المضغ، المضغ</v>
      </c>
      <c r="J1615" s="8"/>
      <c r="K1615" s="7" t="str">
        <f>IFERROR(__xludf.DUMMYFUNCTION("CONCAT(REGEXREPLACE(C1615,""[ ,]+"",""_""),"".mp3"")"),"masticate_chew.mp3")</f>
        <v>masticate_chew.mp3</v>
      </c>
      <c r="M1615" s="4" t="s">
        <v>10</v>
      </c>
    </row>
    <row r="1616" ht="15.75" customHeight="1">
      <c r="A1616" s="1">
        <v>2984.0</v>
      </c>
      <c r="B1616" s="3">
        <v>155.0</v>
      </c>
      <c r="C1616" s="7" t="s">
        <v>1478</v>
      </c>
      <c r="D1616" s="8" t="str">
        <f>IFERROR(__xludf.DUMMYFUNCTION("GOOGLETRANSLATE(C1616, ""en"", ""pt"")"),"modicum, pequena quantidade")</f>
        <v>modicum, pequena quantidade</v>
      </c>
      <c r="E1616" s="8" t="str">
        <f>IFERROR(__xludf.DUMMYFUNCTION("GOOGLETRANSLATE(C1616, ""en"", ""es"")"),"mínimo, pequeña cantidad")</f>
        <v>mínimo, pequeña cantidad</v>
      </c>
      <c r="F1616" s="8" t="str">
        <f>IFERROR(__xludf.DUMMYFUNCTION("GOOGLETRANSLATE(C1616, ""en"", ""fr"")"),"modicum, petite quantité")</f>
        <v>modicum, petite quantité</v>
      </c>
      <c r="G1616" s="8" t="str">
        <f>IFERROR(__xludf.DUMMYFUNCTION("GOOGLETRANSLATE(C1616, ""en"", ""de"")"),"geringfügig, kleine Menge")</f>
        <v>geringfügig, kleine Menge</v>
      </c>
      <c r="H1616" s="8" t="str">
        <f>IFERROR(__xludf.DUMMYFUNCTION("GOOGLETRANSLATE(C1616, ""en"", ""ru"")"),"небольшое количество")</f>
        <v>небольшое количество</v>
      </c>
      <c r="I1616" s="8" t="str">
        <f>IFERROR(__xludf.DUMMYFUNCTION("GOOGLETRANSLATE(C1616, ""en"", ""ar"")"),"كمية صغيرة")</f>
        <v>كمية صغيرة</v>
      </c>
      <c r="J1616" s="8"/>
      <c r="K1616" s="7" t="str">
        <f>IFERROR(__xludf.DUMMYFUNCTION("CONCAT(REGEXREPLACE(C1616,""[ ,]+"",""_""),"".mp3"")"),"modicum_small_amount.mp3")</f>
        <v>modicum_small_amount.mp3</v>
      </c>
      <c r="M1616" s="4" t="s">
        <v>10</v>
      </c>
    </row>
    <row r="1617" ht="15.75" customHeight="1">
      <c r="A1617" s="1">
        <v>2985.0</v>
      </c>
      <c r="B1617" s="3">
        <v>155.0</v>
      </c>
      <c r="C1617" s="7" t="s">
        <v>1628</v>
      </c>
      <c r="D1617" s="8" t="str">
        <f>IFERROR(__xludf.DUMMYFUNCTION("GOOGLETRANSLATE(C1617, ""en"", ""pt"")"),"irritar, incomodar")</f>
        <v>irritar, incomodar</v>
      </c>
      <c r="E1617" s="8" t="str">
        <f>IFERROR(__xludf.DUMMYFUNCTION("GOOGLETRANSLATE(C1617, ""en"", ""es"")"),"molestar, fastidiar")</f>
        <v>molestar, fastidiar</v>
      </c>
      <c r="F1617" s="8" t="str">
        <f>IFERROR(__xludf.DUMMYFUNCTION("GOOGLETRANSLATE(C1617, ""en"", ""fr"")"),"irriter, agacer")</f>
        <v>irriter, agacer</v>
      </c>
      <c r="G1617" s="8" t="str">
        <f>IFERROR(__xludf.DUMMYFUNCTION("GOOGLETRANSLATE(C1617, ""en"", ""de"")"),"ärgern, ärgern")</f>
        <v>ärgern, ärgern</v>
      </c>
      <c r="H1617" s="8" t="str">
        <f>IFERROR(__xludf.DUMMYFUNCTION("GOOGLETRANSLATE(C1617, ""en"", ""ru"")"),"раздражать, досаждать")</f>
        <v>раздражать, досаждать</v>
      </c>
      <c r="I1617" s="8" t="str">
        <f>IFERROR(__xludf.DUMMYFUNCTION("GOOGLETRANSLATE(C1617, ""en"", ""ar"")"),"أزعج، أضايق")</f>
        <v>أزعج، أضايق</v>
      </c>
      <c r="J1617" s="8"/>
      <c r="K1617" s="7" t="str">
        <f>IFERROR(__xludf.DUMMYFUNCTION("CONCAT(REGEXREPLACE(C1617,""[ ,]+"",""_""),"".mp3"")"),"irk_annoy.mp3")</f>
        <v>irk_annoy.mp3</v>
      </c>
      <c r="M1617" s="4" t="s">
        <v>10</v>
      </c>
    </row>
    <row r="1618" ht="15.75" customHeight="1">
      <c r="A1618" s="1">
        <v>2986.0</v>
      </c>
      <c r="B1618" s="3">
        <v>155.0</v>
      </c>
      <c r="C1618" s="7" t="s">
        <v>1629</v>
      </c>
      <c r="D1618" s="8" t="str">
        <f>IFERROR(__xludf.DUMMYFUNCTION("GOOGLETRANSLATE(C1618, ""en"", ""pt"")"),"acender, inflamar")</f>
        <v>acender, inflamar</v>
      </c>
      <c r="E1618" s="8" t="str">
        <f>IFERROR(__xludf.DUMMYFUNCTION("GOOGLETRANSLATE(C1618, ""en"", ""es"")"),"encender, prender")</f>
        <v>encender, prender</v>
      </c>
      <c r="F1618" s="8" t="str">
        <f>IFERROR(__xludf.DUMMYFUNCTION("GOOGLETRANSLATE(C1618, ""en"", ""fr"")"),"allumer, enflammer")</f>
        <v>allumer, enflammer</v>
      </c>
      <c r="G1618" s="8" t="str">
        <f>IFERROR(__xludf.DUMMYFUNCTION("GOOGLETRANSLATE(C1618, ""en"", ""de"")"),"entzünden, anzünden")</f>
        <v>entzünden, anzünden</v>
      </c>
      <c r="H1618" s="8" t="str">
        <f>IFERROR(__xludf.DUMMYFUNCTION("GOOGLETRANSLATE(C1618, ""en"", ""ru"")"),"разжечь, поджечь")</f>
        <v>разжечь, поджечь</v>
      </c>
      <c r="I1618" s="8" t="str">
        <f>IFERROR(__xludf.DUMMYFUNCTION("GOOGLETRANSLATE(C1618, ""en"", ""ar"")"),"أشعل، أشعل")</f>
        <v>أشعل، أشعل</v>
      </c>
      <c r="J1618" s="8"/>
      <c r="K1618" s="7" t="str">
        <f>IFERROR(__xludf.DUMMYFUNCTION("CONCAT(REGEXREPLACE(C1618,""[ ,]+"",""_""),"".mp3"")"),"kindle_ignite.mp3")</f>
        <v>kindle_ignite.mp3</v>
      </c>
      <c r="M1618" s="4" t="s">
        <v>10</v>
      </c>
    </row>
    <row r="1619" ht="15.75" customHeight="1">
      <c r="A1619" s="1">
        <v>2987.0</v>
      </c>
      <c r="B1619" s="3">
        <v>155.0</v>
      </c>
      <c r="C1619" s="7" t="s">
        <v>1630</v>
      </c>
      <c r="D1619" s="8" t="str">
        <f>IFERROR(__xludf.DUMMYFUNCTION("GOOGLETRANSLATE(C1619, ""en"", ""pt"")"),"avarento, mesquinho")</f>
        <v>avarento, mesquinho</v>
      </c>
      <c r="E1619" s="8" t="str">
        <f>IFERROR(__xludf.DUMMYFUNCTION("GOOGLETRANSLATE(C1619, ""en"", ""es"")"),"tacaño, avaro")</f>
        <v>tacaño, avaro</v>
      </c>
      <c r="F1619" s="8" t="str">
        <f>IFERROR(__xludf.DUMMYFUNCTION("GOOGLETRANSLATE(C1619, ""en"", ""fr"")"),"avare, radin")</f>
        <v>avare, radin</v>
      </c>
      <c r="G1619" s="8" t="str">
        <f>IFERROR(__xludf.DUMMYFUNCTION("GOOGLETRANSLATE(C1619, ""en"", ""de"")"),"Geizkragen, Geizhals")</f>
        <v>Geizkragen, Geizhals</v>
      </c>
      <c r="H1619" s="8" t="str">
        <f>IFERROR(__xludf.DUMMYFUNCTION("GOOGLETRANSLATE(C1619, ""en"", ""ru"")"),"скупец, скряга")</f>
        <v>скупец, скряга</v>
      </c>
      <c r="I1619" s="8" t="str">
        <f>IFERROR(__xludf.DUMMYFUNCTION("GOOGLETRANSLATE(C1619, ""en"", ""ar"")"),"بخيل، شحيح")</f>
        <v>بخيل، شحيح</v>
      </c>
      <c r="J1619" s="8"/>
      <c r="K1619" s="7" t="str">
        <f>IFERROR(__xludf.DUMMYFUNCTION("CONCAT(REGEXREPLACE(C1619,""[ ,]+"",""_""),"".mp3"")"),"niggard_miser.mp3")</f>
        <v>niggard_miser.mp3</v>
      </c>
      <c r="M1619" s="4" t="s">
        <v>10</v>
      </c>
    </row>
    <row r="1620" ht="15.75" customHeight="1">
      <c r="A1620" s="1">
        <v>2988.0</v>
      </c>
      <c r="B1620" s="3">
        <v>155.0</v>
      </c>
      <c r="C1620" s="7" t="s">
        <v>1631</v>
      </c>
      <c r="D1620" s="8" t="str">
        <f>IFERROR(__xludf.DUMMYFUNCTION("GOOGLETRANSLATE(C1620, ""en"", ""pt"")"),"ostentoso, exibicionista")</f>
        <v>ostentoso, exibicionista</v>
      </c>
      <c r="E1620" s="8" t="str">
        <f>IFERROR(__xludf.DUMMYFUNCTION("GOOGLETRANSLATE(C1620, ""en"", ""es"")"),"ostentoso, llamativo")</f>
        <v>ostentoso, llamativo</v>
      </c>
      <c r="F1620" s="8" t="str">
        <f>IFERROR(__xludf.DUMMYFUNCTION("GOOGLETRANSLATE(C1620, ""en"", ""fr"")"),"ostentatoire, voyant")</f>
        <v>ostentatoire, voyant</v>
      </c>
      <c r="G1620" s="8" t="str">
        <f>IFERROR(__xludf.DUMMYFUNCTION("GOOGLETRANSLATE(C1620, ""en"", ""de"")"),"protzig, auffällig")</f>
        <v>protzig, auffällig</v>
      </c>
      <c r="H1620" s="8" t="str">
        <f>IFERROR(__xludf.DUMMYFUNCTION("GOOGLETRANSLATE(C1620, ""en"", ""ru"")"),"показной, броский")</f>
        <v>показной, броский</v>
      </c>
      <c r="I1620" s="8" t="str">
        <f>IFERROR(__xludf.DUMMYFUNCTION("GOOGLETRANSLATE(C1620, ""en"", ""ar"")"),"متفاخر، استعراضي")</f>
        <v>متفاخر، استعراضي</v>
      </c>
      <c r="J1620" s="8"/>
      <c r="K1620" s="7" t="str">
        <f>IFERROR(__xludf.DUMMYFUNCTION("CONCAT(REGEXREPLACE(C1620,""[ ,]+"",""_""),"".mp3"")"),"ostentatious_showy.mp3")</f>
        <v>ostentatious_showy.mp3</v>
      </c>
      <c r="M1620" s="4" t="s">
        <v>10</v>
      </c>
    </row>
    <row r="1621" ht="15.75" customHeight="1">
      <c r="A1621" s="1">
        <v>2989.0</v>
      </c>
      <c r="B1621" s="3">
        <v>155.0</v>
      </c>
      <c r="C1621" s="7" t="s">
        <v>1632</v>
      </c>
      <c r="D1621" s="8" t="str">
        <f>IFERROR(__xludf.DUMMYFUNCTION("GOOGLETRANSLATE(C1621, ""en"", ""pt"")"),"obstreperoso, barulhento")</f>
        <v>obstreperoso, barulhento</v>
      </c>
      <c r="E1621" s="8" t="str">
        <f>IFERROR(__xludf.DUMMYFUNCTION("GOOGLETRANSLATE(C1621, ""en"", ""es"")"),"estruendoso, ruidoso")</f>
        <v>estruendoso, ruidoso</v>
      </c>
      <c r="F1621" s="8" t="str">
        <f>IFERROR(__xludf.DUMMYFUNCTION("GOOGLETRANSLATE(C1621, ""en"", ""fr"")"),"turbulent, bruyant")</f>
        <v>turbulent, bruyant</v>
      </c>
      <c r="G1621" s="8" t="str">
        <f>IFERROR(__xludf.DUMMYFUNCTION("GOOGLETRANSLATE(C1621, ""en"", ""de"")"),"widerspenstig, laut")</f>
        <v>widerspenstig, laut</v>
      </c>
      <c r="H1621" s="8" t="str">
        <f>IFERROR(__xludf.DUMMYFUNCTION("GOOGLETRANSLATE(C1621, ""en"", ""ru"")"),"шумный, непослушный")</f>
        <v>шумный, непослушный</v>
      </c>
      <c r="I1621" s="8" t="str">
        <f>IFERROR(__xludf.DUMMYFUNCTION("GOOGLETRANSLATE(C1621, ""en"", ""ar"")"),"صاخب، مزعج")</f>
        <v>صاخب، مزعج</v>
      </c>
      <c r="J1621" s="8"/>
      <c r="K1621" s="7" t="str">
        <f>IFERROR(__xludf.DUMMYFUNCTION("CONCAT(REGEXREPLACE(C1621,""[ ,]+"",""_""),"".mp3"")"),"obstreperous_noisy.mp3")</f>
        <v>obstreperous_noisy.mp3</v>
      </c>
      <c r="M1621" s="4" t="s">
        <v>10</v>
      </c>
    </row>
    <row r="1622" ht="15.75" customHeight="1">
      <c r="A1622" s="1">
        <v>2990.0</v>
      </c>
      <c r="B1622" s="3">
        <v>155.0</v>
      </c>
      <c r="C1622" s="7" t="s">
        <v>1633</v>
      </c>
      <c r="D1622" s="8" t="str">
        <f>IFERROR(__xludf.DUMMYFUNCTION("GOOGLETRANSLATE(C1622, ""en"", ""pt"")"),"discutir, argumentar")</f>
        <v>discutir, argumentar</v>
      </c>
      <c r="E1622" s="8" t="str">
        <f>IFERROR(__xludf.DUMMYFUNCTION("GOOGLETRANSLATE(C1622, ""en"", ""es"")"),"discutir, argumentar")</f>
        <v>discutir, argumentar</v>
      </c>
      <c r="F1622" s="8" t="str">
        <f>IFERROR(__xludf.DUMMYFUNCTION("GOOGLETRANSLATE(C1622, ""en"", ""fr"")"),"chipoter, argumenter")</f>
        <v>chipoter, argumenter</v>
      </c>
      <c r="G1622" s="8" t="str">
        <f>IFERROR(__xludf.DUMMYFUNCTION("GOOGLETRANSLATE(C1622, ""en"", ""de"")"),"Haarspalterei, Streiterei")</f>
        <v>Haarspalterei, Streiterei</v>
      </c>
      <c r="H1622" s="8" t="str">
        <f>IFERROR(__xludf.DUMMYFUNCTION("GOOGLETRANSLATE(C1622, ""en"", ""ru"")"),"придираться, спорить")</f>
        <v>придираться, спорить</v>
      </c>
      <c r="I1622" s="8" t="str">
        <f>IFERROR(__xludf.DUMMYFUNCTION("GOOGLETRANSLATE(C1622, ""en"", ""ar"")"),"الجدال، والنقاش")</f>
        <v>الجدال، والنقاش</v>
      </c>
      <c r="J1622" s="8"/>
      <c r="K1622" s="7" t="str">
        <f>IFERROR(__xludf.DUMMYFUNCTION("CONCAT(REGEXREPLACE(C1622,""[ ,]+"",""_""),"".mp3"")"),"quibble_argue.mp3")</f>
        <v>quibble_argue.mp3</v>
      </c>
      <c r="M1622" s="4" t="s">
        <v>10</v>
      </c>
    </row>
    <row r="1623" ht="15.75" customHeight="1">
      <c r="A1623" s="1">
        <v>2991.0</v>
      </c>
      <c r="B1623" s="3">
        <v>155.0</v>
      </c>
      <c r="C1623" s="7" t="s">
        <v>1634</v>
      </c>
      <c r="D1623" s="8" t="str">
        <f>IFERROR(__xludf.DUMMYFUNCTION("GOOGLETRANSLATE(C1623, ""en"", ""pt"")"),"tagarelice, conversa fiada")</f>
        <v>tagarelice, conversa fiada</v>
      </c>
      <c r="E1623" s="8" t="str">
        <f>IFERROR(__xludf.DUMMYFUNCTION("GOOGLETRANSLATE(C1623, ""en"", ""es"")"),"parloteo, charlatanería")</f>
        <v>parloteo, charlatanería</v>
      </c>
      <c r="F1623" s="8" t="str">
        <f>IFERROR(__xludf.DUMMYFUNCTION("GOOGLETRANSLATE(C1623, ""en"", ""fr"")"),"bavardages, blabla")</f>
        <v>bavardages, blabla</v>
      </c>
      <c r="G1623" s="8" t="str">
        <f>IFERROR(__xludf.DUMMYFUNCTION("GOOGLETRANSLATE(C1623, ""en"", ""de"")"),"Geschwätz, Geplapper")</f>
        <v>Geschwätz, Geplapper</v>
      </c>
      <c r="H1623" s="8" t="str">
        <f>IFERROR(__xludf.DUMMYFUNCTION("GOOGLETRANSLATE(C1623, ""en"", ""ru"")"),"болтовня, болтовня")</f>
        <v>болтовня, болтовня</v>
      </c>
      <c r="I1623" s="8" t="str">
        <f>IFERROR(__xludf.DUMMYFUNCTION("GOOGLETRANSLATE(C1623, ""en"", ""ar"")"),"ثرثرة، كلام كثير")</f>
        <v>ثرثرة، كلام كثير</v>
      </c>
      <c r="J1623" s="8"/>
      <c r="K1623" s="7" t="str">
        <f>IFERROR(__xludf.DUMMYFUNCTION("CONCAT(REGEXREPLACE(C1623,""[ ,]+"",""_""),"".mp3"")"),"prattle_chatter.mp3")</f>
        <v>prattle_chatter.mp3</v>
      </c>
      <c r="M1623" s="4" t="s">
        <v>10</v>
      </c>
    </row>
    <row r="1624" ht="15.75" customHeight="1">
      <c r="A1624" s="1">
        <v>2992.0</v>
      </c>
      <c r="B1624" s="3">
        <v>155.0</v>
      </c>
      <c r="C1624" s="7" t="s">
        <v>1635</v>
      </c>
      <c r="D1624" s="8" t="str">
        <f>IFERROR(__xludf.DUMMYFUNCTION("GOOGLETRANSLATE(C1624, ""en"", ""pt"")"),"urtiga, irritar")</f>
        <v>urtiga, irritar</v>
      </c>
      <c r="E1624" s="8" t="str">
        <f>IFERROR(__xludf.DUMMYFUNCTION("GOOGLETRANSLATE(C1624, ""en"", ""es"")"),"ortiga, irritar")</f>
        <v>ortiga, irritar</v>
      </c>
      <c r="F1624" s="8" t="str">
        <f>IFERROR(__xludf.DUMMYFUNCTION("GOOGLETRANSLATE(C1624, ""en"", ""fr"")"),"ortie, irriter")</f>
        <v>ortie, irriter</v>
      </c>
      <c r="G1624" s="8" t="str">
        <f>IFERROR(__xludf.DUMMYFUNCTION("GOOGLETRANSLATE(C1624, ""en"", ""de"")"),"Brennnessel, reizen")</f>
        <v>Brennnessel, reizen</v>
      </c>
      <c r="H1624" s="8" t="str">
        <f>IFERROR(__xludf.DUMMYFUNCTION("GOOGLETRANSLATE(C1624, ""en"", ""ru"")"),"крапива, раздражать")</f>
        <v>крапива, раздражать</v>
      </c>
      <c r="I1624" s="8" t="str">
        <f>IFERROR(__xludf.DUMMYFUNCTION("GOOGLETRANSLATE(C1624, ""en"", ""ar"")"),"نبات القراص، يُهيّج")</f>
        <v>نبات القراص، يُهيّج</v>
      </c>
      <c r="J1624" s="8"/>
      <c r="K1624" s="7" t="str">
        <f>IFERROR(__xludf.DUMMYFUNCTION("CONCAT(REGEXREPLACE(C1624,""[ ,]+"",""_""),"".mp3"")"),"nettle_irritate.mp3")</f>
        <v>nettle_irritate.mp3</v>
      </c>
      <c r="M1624" s="4" t="s">
        <v>10</v>
      </c>
    </row>
    <row r="1625" ht="15.75" customHeight="1">
      <c r="A1625" s="1">
        <v>2993.0</v>
      </c>
      <c r="B1625" s="3">
        <v>155.0</v>
      </c>
      <c r="C1625" s="7" t="s">
        <v>1636</v>
      </c>
      <c r="D1625" s="8" t="str">
        <f>IFERROR(__xludf.DUMMYFUNCTION("GOOGLETRANSLATE(C1625, ""en"", ""pt"")"),"nebuloso, incerto")</f>
        <v>nebuloso, incerto</v>
      </c>
      <c r="E1625" s="8" t="str">
        <f>IFERROR(__xludf.DUMMYFUNCTION("GOOGLETRANSLATE(C1625, ""en"", ""es"")"),"nebuloso, poco claro")</f>
        <v>nebuloso, poco claro</v>
      </c>
      <c r="F1625" s="8" t="str">
        <f>IFERROR(__xludf.DUMMYFUNCTION("GOOGLETRANSLATE(C1625, ""en"", ""fr"")"),"nébuleux, incertain")</f>
        <v>nébuleux, incertain</v>
      </c>
      <c r="G1625" s="8" t="str">
        <f>IFERROR(__xludf.DUMMYFUNCTION("GOOGLETRANSLATE(C1625, ""en"", ""de"")"),"nebulös, unklar")</f>
        <v>nebulös, unklar</v>
      </c>
      <c r="H1625" s="8" t="str">
        <f>IFERROR(__xludf.DUMMYFUNCTION("GOOGLETRANSLATE(C1625, ""en"", ""ru"")"),"туманный, неясный")</f>
        <v>туманный, неясный</v>
      </c>
      <c r="I1625" s="8" t="str">
        <f>IFERROR(__xludf.DUMMYFUNCTION("GOOGLETRANSLATE(C1625, ""en"", ""ar"")"),"غامض، غير واضح")</f>
        <v>غامض، غير واضح</v>
      </c>
      <c r="J1625" s="8"/>
      <c r="K1625" s="7" t="str">
        <f>IFERROR(__xludf.DUMMYFUNCTION("CONCAT(REGEXREPLACE(C1625,""[ ,]+"",""_""),"".mp3"")"),"nebulous_unclear.mp3")</f>
        <v>nebulous_unclear.mp3</v>
      </c>
      <c r="M1625" s="4" t="s">
        <v>10</v>
      </c>
    </row>
    <row r="1626" ht="15.75" customHeight="1">
      <c r="A1626" s="1">
        <v>2994.0</v>
      </c>
      <c r="B1626" s="3">
        <v>155.0</v>
      </c>
      <c r="C1626" s="7" t="s">
        <v>1637</v>
      </c>
      <c r="D1626" s="8" t="str">
        <f>IFERROR(__xludf.DUMMYFUNCTION("GOOGLETRANSLATE(C1626, ""en"", ""pt"")"),"vago, pouco claro")</f>
        <v>vago, pouco claro</v>
      </c>
      <c r="E1626" s="8" t="str">
        <f>IFERROR(__xludf.DUMMYFUNCTION("GOOGLETRANSLATE(C1626, ""en"", ""es"")"),"vago, poco claro")</f>
        <v>vago, poco claro</v>
      </c>
      <c r="F1626" s="8" t="str">
        <f>IFERROR(__xludf.DUMMYFUNCTION("GOOGLETRANSLATE(C1626, ""en"", ""fr"")"),"vague, imprécis")</f>
        <v>vague, imprécis</v>
      </c>
      <c r="G1626" s="8" t="str">
        <f>IFERROR(__xludf.DUMMYFUNCTION("GOOGLETRANSLATE(C1626, ""en"", ""de"")"),"vage, unklar")</f>
        <v>vage, unklar</v>
      </c>
      <c r="H1626" s="8" t="str">
        <f>IFERROR(__xludf.DUMMYFUNCTION("GOOGLETRANSLATE(C1626, ""en"", ""ru"")"),"неясный, нечеткий")</f>
        <v>неясный, нечеткий</v>
      </c>
      <c r="I1626" s="8" t="str">
        <f>IFERROR(__xludf.DUMMYFUNCTION("GOOGLETRANSLATE(C1626, ""en"", ""ar"")"),"غامض، غير واضح")</f>
        <v>غامض، غير واضح</v>
      </c>
      <c r="J1626" s="8"/>
      <c r="K1626" s="7" t="str">
        <f>IFERROR(__xludf.DUMMYFUNCTION("CONCAT(REGEXREPLACE(C1626,""[ ,]+"",""_""),"".mp3"")"),"vague_unclear.mp3")</f>
        <v>vague_unclear.mp3</v>
      </c>
      <c r="M1626" s="4" t="s">
        <v>10</v>
      </c>
    </row>
    <row r="1627" ht="15.75" customHeight="1">
      <c r="A1627" s="1">
        <v>2995.0</v>
      </c>
      <c r="B1627" s="3">
        <v>155.0</v>
      </c>
      <c r="C1627" s="7" t="s">
        <v>1638</v>
      </c>
      <c r="D1627" s="8" t="str">
        <f>IFERROR(__xludf.DUMMYFUNCTION("GOOGLETRANSLATE(C1627, ""en"", ""pt"")"),"nepotismo, favoritismo")</f>
        <v>nepotismo, favoritismo</v>
      </c>
      <c r="E1627" s="8" t="str">
        <f>IFERROR(__xludf.DUMMYFUNCTION("GOOGLETRANSLATE(C1627, ""en"", ""es"")"),"nepotismo, favoritismo")</f>
        <v>nepotismo, favoritismo</v>
      </c>
      <c r="F1627" s="8" t="str">
        <f>IFERROR(__xludf.DUMMYFUNCTION("GOOGLETRANSLATE(C1627, ""en"", ""fr"")"),"népotisme, favoritisme")</f>
        <v>népotisme, favoritisme</v>
      </c>
      <c r="G1627" s="8" t="str">
        <f>IFERROR(__xludf.DUMMYFUNCTION("GOOGLETRANSLATE(C1627, ""en"", ""de"")"),"Vetternwirtschaft, Günstlingswirtschaft")</f>
        <v>Vetternwirtschaft, Günstlingswirtschaft</v>
      </c>
      <c r="H1627" s="8" t="str">
        <f>IFERROR(__xludf.DUMMYFUNCTION("GOOGLETRANSLATE(C1627, ""en"", ""ru"")"),"непотизм, фаворитизм")</f>
        <v>непотизм, фаворитизм</v>
      </c>
      <c r="I1627" s="8" t="str">
        <f>IFERROR(__xludf.DUMMYFUNCTION("GOOGLETRANSLATE(C1627, ""en"", ""ar"")"),"المحسوبية، المحاباة")</f>
        <v>المحسوبية، المحاباة</v>
      </c>
      <c r="J1627" s="8"/>
      <c r="K1627" s="7" t="str">
        <f>IFERROR(__xludf.DUMMYFUNCTION("CONCAT(REGEXREPLACE(C1627,""[ ,]+"",""_""),"".mp3"")"),"nepotism_favouritism.mp3")</f>
        <v>nepotism_favouritism.mp3</v>
      </c>
      <c r="M1627" s="4" t="s">
        <v>10</v>
      </c>
    </row>
    <row r="1628" ht="15.75" customHeight="1">
      <c r="A1628" s="1">
        <v>2996.0</v>
      </c>
      <c r="B1628" s="3">
        <v>155.0</v>
      </c>
      <c r="C1628" s="7" t="s">
        <v>1639</v>
      </c>
      <c r="D1628" s="8" t="str">
        <f>IFERROR(__xludf.DUMMYFUNCTION("GOOGLETRANSLATE(C1628, ""en"", ""pt"")"),"obscurecer, confundir")</f>
        <v>obscurecer, confundir</v>
      </c>
      <c r="E1628" s="8" t="str">
        <f>IFERROR(__xludf.DUMMYFUNCTION("GOOGLETRANSLATE(C1628, ""en"", ""es"")"),"ofuscar, confundir")</f>
        <v>ofuscar, confundir</v>
      </c>
      <c r="F1628" s="8" t="str">
        <f>IFERROR(__xludf.DUMMYFUNCTION("GOOGLETRANSLATE(C1628, ""en"", ""fr"")"),"obscurcir, embrouiller")</f>
        <v>obscurcir, embrouiller</v>
      </c>
      <c r="G1628" s="8" t="str">
        <f>IFERROR(__xludf.DUMMYFUNCTION("GOOGLETRANSLATE(C1628, ""en"", ""de"")"),"verschleiern, verwirren")</f>
        <v>verschleiern, verwirren</v>
      </c>
      <c r="H1628" s="8" t="str">
        <f>IFERROR(__xludf.DUMMYFUNCTION("GOOGLETRANSLATE(C1628, ""en"", ""ru"")"),"запутать, ввести в заблуждение")</f>
        <v>запутать, ввести в заблуждение</v>
      </c>
      <c r="I1628" s="8" t="str">
        <f>IFERROR(__xludf.DUMMYFUNCTION("GOOGLETRANSLATE(C1628, ""en"", ""ar"")"),"التمويه، والتشويش")</f>
        <v>التمويه، والتشويش</v>
      </c>
      <c r="J1628" s="8"/>
      <c r="K1628" s="7" t="str">
        <f>IFERROR(__xludf.DUMMYFUNCTION("CONCAT(REGEXREPLACE(C1628,""[ ,]+"",""_""),"".mp3"")"),"obfuscate_confuse.mp3")</f>
        <v>obfuscate_confuse.mp3</v>
      </c>
      <c r="M1628" s="4" t="s">
        <v>10</v>
      </c>
    </row>
    <row r="1629" ht="15.75" customHeight="1">
      <c r="A1629" s="1">
        <v>2997.0</v>
      </c>
      <c r="B1629" s="3">
        <v>155.0</v>
      </c>
      <c r="C1629" s="7" t="s">
        <v>1640</v>
      </c>
      <c r="D1629" s="8" t="str">
        <f>IFERROR(__xludf.DUMMYFUNCTION("GOOGLETRANSLATE(C1629, ""en"", ""pt"")"),"doença, enfermidade")</f>
        <v>doença, enfermidade</v>
      </c>
      <c r="E1629" s="8" t="str">
        <f>IFERROR(__xludf.DUMMYFUNCTION("GOOGLETRANSLATE(C1629, ""en"", ""es"")"),"enfermedad, dolencia")</f>
        <v>enfermedad, dolencia</v>
      </c>
      <c r="F1629" s="8" t="str">
        <f>IFERROR(__xludf.DUMMYFUNCTION("GOOGLETRANSLATE(C1629, ""en"", ""fr"")"),"maladie, affection")</f>
        <v>maladie, affection</v>
      </c>
      <c r="G1629" s="8" t="str">
        <f>IFERROR(__xludf.DUMMYFUNCTION("GOOGLETRANSLATE(C1629, ""en"", ""de"")"),"Krankheit")</f>
        <v>Krankheit</v>
      </c>
      <c r="H1629" s="8" t="str">
        <f>IFERROR(__xludf.DUMMYFUNCTION("GOOGLETRANSLATE(C1629, ""en"", ""ru"")"),"болезнь, недуг")</f>
        <v>болезнь, недуг</v>
      </c>
      <c r="I1629" s="8" t="str">
        <f>IFERROR(__xludf.DUMMYFUNCTION("GOOGLETRANSLATE(C1629, ""en"", ""ar"")"),"مرض، علة")</f>
        <v>مرض، علة</v>
      </c>
      <c r="J1629" s="8"/>
      <c r="K1629" s="7" t="str">
        <f>IFERROR(__xludf.DUMMYFUNCTION("CONCAT(REGEXREPLACE(C1629,""[ ,]+"",""_""),"".mp3"")"),"malady_disease.mp3")</f>
        <v>malady_disease.mp3</v>
      </c>
      <c r="M1629" s="4" t="s">
        <v>10</v>
      </c>
    </row>
    <row r="1630" ht="15.75" customHeight="1">
      <c r="A1630" s="1">
        <v>2998.0</v>
      </c>
      <c r="B1630" s="3">
        <v>155.0</v>
      </c>
      <c r="C1630" s="7" t="s">
        <v>1641</v>
      </c>
      <c r="D1630" s="8" t="str">
        <f>IFERROR(__xludf.DUMMYFUNCTION("GOOGLETRANSLATE(C1630, ""en"", ""pt"")"),"libidinoso, lascivo")</f>
        <v>libidinoso, lascivo</v>
      </c>
      <c r="E1630" s="8" t="str">
        <f>IFERROR(__xludf.DUMMYFUNCTION("GOOGLETRANSLATE(C1630, ""en"", ""es"")"),"libidinoso, lujurioso")</f>
        <v>libidinoso, lujurioso</v>
      </c>
      <c r="F1630" s="8" t="str">
        <f>IFERROR(__xludf.DUMMYFUNCTION("GOOGLETRANSLATE(C1630, ""en"", ""fr"")"),"libidineux, lubrique")</f>
        <v>libidineux, lubrique</v>
      </c>
      <c r="G1630" s="8" t="str">
        <f>IFERROR(__xludf.DUMMYFUNCTION("GOOGLETRANSLATE(C1630, ""en"", ""de"")"),"lüstern, lüstern")</f>
        <v>lüstern, lüstern</v>
      </c>
      <c r="H1630" s="8" t="str">
        <f>IFERROR(__xludf.DUMMYFUNCTION("GOOGLETRANSLATE(C1630, ""en"", ""ru"")"),"похотливый, страстный")</f>
        <v>похотливый, страстный</v>
      </c>
      <c r="I1630" s="8" t="str">
        <f>IFERROR(__xludf.DUMMYFUNCTION("GOOGLETRANSLATE(C1630, ""en"", ""ar"")"),"شهواني، شهواني")</f>
        <v>شهواني، شهواني</v>
      </c>
      <c r="J1630" s="8"/>
      <c r="K1630" s="7" t="str">
        <f>IFERROR(__xludf.DUMMYFUNCTION("CONCAT(REGEXREPLACE(C1630,""[ ,]+"",""_""),"".mp3"")"),"libidinous_lustful.mp3")</f>
        <v>libidinous_lustful.mp3</v>
      </c>
      <c r="M1630" s="4" t="s">
        <v>10</v>
      </c>
    </row>
    <row r="1631" ht="15.75" customHeight="1">
      <c r="A1631" s="1">
        <v>2999.0</v>
      </c>
      <c r="B1631" s="3">
        <v>155.0</v>
      </c>
      <c r="C1631" s="7" t="s">
        <v>1642</v>
      </c>
      <c r="D1631" s="8" t="str">
        <f>IFERROR(__xludf.DUMMYFUNCTION("GOOGLETRANSLATE(C1631, ""en"", ""pt"")"),"lascivo, libidinoso")</f>
        <v>lascivo, libidinoso</v>
      </c>
      <c r="E1631" s="8" t="str">
        <f>IFERROR(__xludf.DUMMYFUNCTION("GOOGLETRANSLATE(C1631, ""en"", ""es"")"),"lascivo, lujurioso")</f>
        <v>lascivo, lujurioso</v>
      </c>
      <c r="F1631" s="8" t="str">
        <f>IFERROR(__xludf.DUMMYFUNCTION("GOOGLETRANSLATE(C1631, ""en"", ""fr"")"),"lascif, lubrique")</f>
        <v>lascif, lubrique</v>
      </c>
      <c r="G1631" s="8" t="str">
        <f>IFERROR(__xludf.DUMMYFUNCTION("GOOGLETRANSLATE(C1631, ""en"", ""de"")"),"lüstern, lüstern")</f>
        <v>lüstern, lüstern</v>
      </c>
      <c r="H1631" s="8" t="str">
        <f>IFERROR(__xludf.DUMMYFUNCTION("GOOGLETRANSLATE(C1631, ""en"", ""ru"")"),"похотливый, похотливый")</f>
        <v>похотливый, похотливый</v>
      </c>
      <c r="I1631" s="8" t="str">
        <f>IFERROR(__xludf.DUMMYFUNCTION("GOOGLETRANSLATE(C1631, ""en"", ""ar"")"),"شهواني، فاسق")</f>
        <v>شهواني، فاسق</v>
      </c>
      <c r="J1631" s="8"/>
      <c r="K1631" s="7" t="str">
        <f>IFERROR(__xludf.DUMMYFUNCTION("CONCAT(REGEXREPLACE(C1631,""[ ,]+"",""_""),"".mp3"")"),"lascivious_lustful.mp3")</f>
        <v>lascivious_lustful.mp3</v>
      </c>
      <c r="M1631" s="4" t="s">
        <v>10</v>
      </c>
    </row>
    <row r="1632" ht="15.75" customHeight="1">
      <c r="A1632" s="1">
        <v>3000.0</v>
      </c>
      <c r="B1632" s="3">
        <v>155.0</v>
      </c>
      <c r="C1632" s="7" t="s">
        <v>1643</v>
      </c>
      <c r="D1632" s="8" t="str">
        <f>IFERROR(__xludf.DUMMYFUNCTION("GOOGLETRANSLATE(C1632, ""en"", ""pt"")"),"lascivo, libidinoso")</f>
        <v>lascivo, libidinoso</v>
      </c>
      <c r="E1632" s="8" t="str">
        <f>IFERROR(__xludf.DUMMYFUNCTION("GOOGLETRANSLATE(C1632, ""en"", ""es"")"),"lascivo, lujurioso")</f>
        <v>lascivo, lujurioso</v>
      </c>
      <c r="F1632" s="8" t="str">
        <f>IFERROR(__xludf.DUMMYFUNCTION("GOOGLETRANSLATE(C1632, ""en"", ""fr"")"),"obscène, lubrique")</f>
        <v>obscène, lubrique</v>
      </c>
      <c r="G1632" s="8" t="str">
        <f>IFERROR(__xludf.DUMMYFUNCTION("GOOGLETRANSLATE(C1632, ""en"", ""de"")"),"lüstern, lüstern")</f>
        <v>lüstern, lüstern</v>
      </c>
      <c r="H1632" s="8" t="str">
        <f>IFERROR(__xludf.DUMMYFUNCTION("GOOGLETRANSLATE(C1632, ""en"", ""ru"")"),"похотливый, развратный")</f>
        <v>похотливый, развратный</v>
      </c>
      <c r="I1632" s="8" t="str">
        <f>IFERROR(__xludf.DUMMYFUNCTION("GOOGLETRANSLATE(C1632, ""en"", ""ar"")"),"فاحش، شهواني")</f>
        <v>فاحش، شهواني</v>
      </c>
      <c r="J1632" s="8"/>
      <c r="K1632" s="7" t="str">
        <f>IFERROR(__xludf.DUMMYFUNCTION("CONCAT(REGEXREPLACE(C1632,""[ ,]+"",""_""),"".mp3"")"),"lewd_lustful.mp3")</f>
        <v>lewd_lustful.mp3</v>
      </c>
      <c r="M1632" s="4" t="s">
        <v>10</v>
      </c>
    </row>
    <row r="1633" ht="15.75" customHeight="1">
      <c r="A1633" s="1">
        <v>3001.0</v>
      </c>
      <c r="B1633" s="3">
        <v>155.0</v>
      </c>
      <c r="C1633" s="7" t="s">
        <v>1644</v>
      </c>
      <c r="D1633" s="8" t="str">
        <f>IFERROR(__xludf.DUMMYFUNCTION("GOOGLETRANSLATE(C1633, ""en"", ""pt"")"),"ridículo, ilógico")</f>
        <v>ridículo, ilógico</v>
      </c>
      <c r="E1633" s="8" t="str">
        <f>IFERROR(__xludf.DUMMYFUNCTION("GOOGLETRANSLATE(C1633, ""en"", ""es"")"),"ridículo, ilógico")</f>
        <v>ridículo, ilógico</v>
      </c>
      <c r="F1633" s="8" t="str">
        <f>IFERROR(__xludf.DUMMYFUNCTION("GOOGLETRANSLATE(C1633, ""en"", ""fr"")"),"absurde, illogique")</f>
        <v>absurde, illogique</v>
      </c>
      <c r="G1633" s="8" t="str">
        <f>IFERROR(__xludf.DUMMYFUNCTION("GOOGLETRANSLATE(C1633, ""en"", ""de"")"),"lächerlich, unlogisch")</f>
        <v>lächerlich, unlogisch</v>
      </c>
      <c r="H1633" s="8" t="str">
        <f>IFERROR(__xludf.DUMMYFUNCTION("GOOGLETRANSLATE(C1633, ""en"", ""ru"")"),"нелепый, нелогичный")</f>
        <v>нелепый, нелогичный</v>
      </c>
      <c r="I1633" s="8" t="str">
        <f>IFERROR(__xludf.DUMMYFUNCTION("GOOGLETRANSLATE(C1633, ""en"", ""ar"")"),"سخيف، غير منطقي")</f>
        <v>سخيف، غير منطقي</v>
      </c>
      <c r="J1633" s="8"/>
      <c r="K1633" s="7" t="str">
        <f>IFERROR(__xludf.DUMMYFUNCTION("CONCAT(REGEXREPLACE(C1633,""[ ,]+"",""_""),"".mp3"")"),"ludicrous_illogical.mp3")</f>
        <v>ludicrous_illogical.mp3</v>
      </c>
      <c r="M1633" s="4" t="s">
        <v>10</v>
      </c>
    </row>
    <row r="1634" ht="15.75" customHeight="1">
      <c r="A1634" s="1">
        <v>3002.0</v>
      </c>
      <c r="B1634" s="3">
        <v>155.0</v>
      </c>
      <c r="C1634" s="7" t="s">
        <v>1645</v>
      </c>
      <c r="D1634" s="8" t="str">
        <f>IFERROR(__xludf.DUMMYFUNCTION("GOOGLETRANSLATE(C1634, ""en"", ""pt"")"),"absurdo, ilógico")</f>
        <v>absurdo, ilógico</v>
      </c>
      <c r="E1634" s="8" t="str">
        <f>IFERROR(__xludf.DUMMYFUNCTION("GOOGLETRANSLATE(C1634, ""en"", ""es"")"),"absurdo, ilógico")</f>
        <v>absurdo, ilógico</v>
      </c>
      <c r="F1634" s="8" t="str">
        <f>IFERROR(__xludf.DUMMYFUNCTION("GOOGLETRANSLATE(C1634, ""en"", ""fr"")"),"absurde, illogique")</f>
        <v>absurde, illogique</v>
      </c>
      <c r="G1634" s="8" t="str">
        <f>IFERROR(__xludf.DUMMYFUNCTION("GOOGLETRANSLATE(C1634, ""en"", ""de"")"),"absurd, unlogisch")</f>
        <v>absurd, unlogisch</v>
      </c>
      <c r="H1634" s="8" t="str">
        <f>IFERROR(__xludf.DUMMYFUNCTION("GOOGLETRANSLATE(C1634, ""en"", ""ru"")"),"нелепо, нелогично")</f>
        <v>нелепо, нелогично</v>
      </c>
      <c r="I1634" s="8" t="str">
        <f>IFERROR(__xludf.DUMMYFUNCTION("GOOGLETRANSLATE(C1634, ""en"", ""ar"")"),"سخيف، غير منطقي")</f>
        <v>سخيف، غير منطقي</v>
      </c>
      <c r="J1634" s="8"/>
      <c r="K1634" s="7" t="str">
        <f>IFERROR(__xludf.DUMMYFUNCTION("CONCAT(REGEXREPLACE(C1634,""[ ,]+"",""_""),"".mp3"")"),"preposterous_illogical.mp3")</f>
        <v>preposterous_illogical.mp3</v>
      </c>
      <c r="M1634" s="4" t="s">
        <v>10</v>
      </c>
    </row>
    <row r="1635" ht="15.75" customHeight="1">
      <c r="A1635" s="1">
        <v>3003.0</v>
      </c>
      <c r="B1635" s="3">
        <v>155.0</v>
      </c>
      <c r="C1635" s="7" t="s">
        <v>1646</v>
      </c>
      <c r="D1635" s="8" t="str">
        <f>IFERROR(__xludf.DUMMYFUNCTION("GOOGLETRANSLATE(C1635, ""en"", ""pt"")"),"asno, ilógico")</f>
        <v>asno, ilógico</v>
      </c>
      <c r="E1635" s="8" t="str">
        <f>IFERROR(__xludf.DUMMYFUNCTION("GOOGLETRANSLATE(C1635, ""en"", ""es"")"),"absurdo, ilógico")</f>
        <v>absurdo, ilógico</v>
      </c>
      <c r="F1635" s="8" t="str">
        <f>IFERROR(__xludf.DUMMYFUNCTION("GOOGLETRANSLATE(C1635, ""en"", ""fr"")"),"absurde, illogique")</f>
        <v>absurde, illogique</v>
      </c>
      <c r="G1635" s="8" t="str">
        <f>IFERROR(__xludf.DUMMYFUNCTION("GOOGLETRANSLATE(C1635, ""en"", ""de"")"),"dumm, unlogisch")</f>
        <v>dumm, unlogisch</v>
      </c>
      <c r="H1635" s="8" t="str">
        <f>IFERROR(__xludf.DUMMYFUNCTION("GOOGLETRANSLATE(C1635, ""en"", ""ru"")"),"глупый, нелогичный")</f>
        <v>глупый, нелогичный</v>
      </c>
      <c r="I1635" s="8" t="str">
        <f>IFERROR(__xludf.DUMMYFUNCTION("GOOGLETRANSLATE(C1635, ""en"", ""ar"")"),"سخيف، غير منطقي")</f>
        <v>سخيف، غير منطقي</v>
      </c>
      <c r="J1635" s="8"/>
      <c r="K1635" s="7" t="str">
        <f>IFERROR(__xludf.DUMMYFUNCTION("CONCAT(REGEXREPLACE(C1635,""[ ,]+"",""_""),"".mp3"")"),"asinine_illogical.mp3")</f>
        <v>asinine_illogical.mp3</v>
      </c>
      <c r="M1635" s="4" t="s">
        <v>10</v>
      </c>
    </row>
    <row r="1636" ht="15.75" customHeight="1">
      <c r="A1636" s="1">
        <v>3004.0</v>
      </c>
      <c r="B1636" s="3">
        <v>155.0</v>
      </c>
      <c r="C1636" s="7" t="s">
        <v>1647</v>
      </c>
      <c r="D1636" s="8" t="str">
        <f>IFERROR(__xludf.DUMMYFUNCTION("GOOGLETRANSLATE(C1636, ""en"", ""pt"")"),"iota, pequena quantidade")</f>
        <v>iota, pequena quantidade</v>
      </c>
      <c r="E1636" s="8" t="str">
        <f>IFERROR(__xludf.DUMMYFUNCTION("GOOGLETRANSLATE(C1636, ""en"", ""es"")"),"iota, pequeña cantidad")</f>
        <v>iota, pequeña cantidad</v>
      </c>
      <c r="F1636" s="8" t="str">
        <f>IFERROR(__xludf.DUMMYFUNCTION("GOOGLETRANSLATE(C1636, ""en"", ""fr"")"),"iota, petite quantité")</f>
        <v>iota, petite quantité</v>
      </c>
      <c r="G1636" s="8" t="str">
        <f>IFERROR(__xludf.DUMMYFUNCTION("GOOGLETRANSLATE(C1636, ""en"", ""de"")"),"Iota, kleine Menge")</f>
        <v>Iota, kleine Menge</v>
      </c>
      <c r="H1636" s="8" t="str">
        <f>IFERROR(__xludf.DUMMYFUNCTION("GOOGLETRANSLATE(C1636, ""en"", ""ru"")"),"йота, небольшое количество")</f>
        <v>йота, небольшое количество</v>
      </c>
      <c r="I1636" s="8" t="str">
        <f>IFERROR(__xludf.DUMMYFUNCTION("GOOGLETRANSLATE(C1636, ""en"", ""ar"")"),"إيوتا، كمية صغيرة")</f>
        <v>إيوتا، كمية صغيرة</v>
      </c>
      <c r="J1636" s="8"/>
      <c r="K1636" s="7" t="str">
        <f>IFERROR(__xludf.DUMMYFUNCTION("CONCAT(REGEXREPLACE(C1636,""[ ,]+"",""_""),"".mp3"")"),"iota_small_amount.mp3")</f>
        <v>iota_small_amount.mp3</v>
      </c>
      <c r="M1636" s="4" t="s">
        <v>10</v>
      </c>
    </row>
    <row r="1637" ht="15.75" customHeight="1">
      <c r="A1637" s="1">
        <v>3005.0</v>
      </c>
      <c r="B1637" s="3">
        <v>155.0</v>
      </c>
      <c r="C1637" s="7" t="s">
        <v>1648</v>
      </c>
      <c r="D1637" s="8" t="str">
        <f>IFERROR(__xludf.DUMMYFUNCTION("GOOGLETRANSLATE(C1637, ""en"", ""pt"")"),"persuadir, convencer")</f>
        <v>persuadir, convencer</v>
      </c>
      <c r="E1637" s="8" t="str">
        <f>IFERROR(__xludf.DUMMYFUNCTION("GOOGLETRANSLATE(C1637, ""en"", ""es"")"),"engatusar, persuadir")</f>
        <v>engatusar, persuadir</v>
      </c>
      <c r="F1637" s="8" t="str">
        <f>IFERROR(__xludf.DUMMYFUNCTION("GOOGLETRANSLATE(C1637, ""en"", ""fr"")"),"séduire, persuader")</f>
        <v>séduire, persuader</v>
      </c>
      <c r="G1637" s="8" t="str">
        <f>IFERROR(__xludf.DUMMYFUNCTION("GOOGLETRANSLATE(C1637, ""en"", ""de"")"),"verführen, überreden")</f>
        <v>verführen, überreden</v>
      </c>
      <c r="H1637" s="8" t="str">
        <f>IFERROR(__xludf.DUMMYFUNCTION("GOOGLETRANSLATE(C1637, ""en"", ""ru"")"),"обманом склонить, уговорить")</f>
        <v>обманом склонить, уговорить</v>
      </c>
      <c r="I1637" s="8" t="str">
        <f>IFERROR(__xludf.DUMMYFUNCTION("GOOGLETRANSLATE(C1637, ""en"", ""ar"")"),"استمالة، إقناع")</f>
        <v>استمالة، إقناع</v>
      </c>
      <c r="J1637" s="8"/>
      <c r="K1637" s="7" t="str">
        <f>IFERROR(__xludf.DUMMYFUNCTION("CONCAT(REGEXREPLACE(C1637,""[ ,]+"",""_""),"".mp3"")"),"inveigle_persuade.mp3")</f>
        <v>inveigle_persuade.mp3</v>
      </c>
      <c r="M1637" s="4" t="s">
        <v>10</v>
      </c>
    </row>
    <row r="1638" ht="15.75" customHeight="1">
      <c r="A1638" s="1">
        <v>3006.0</v>
      </c>
      <c r="B1638" s="3">
        <v>155.0</v>
      </c>
      <c r="C1638" s="7" t="s">
        <v>1649</v>
      </c>
      <c r="D1638" s="8" t="str">
        <f>IFERROR(__xludf.DUMMYFUNCTION("GOOGLETRANSLATE(C1638, ""en"", ""pt"")"),"intrépido, destemido")</f>
        <v>intrépido, destemido</v>
      </c>
      <c r="E1638" s="8" t="str">
        <f>IFERROR(__xludf.DUMMYFUNCTION("GOOGLETRANSLATE(C1638, ""en"", ""es"")"),"intrépido, valiente")</f>
        <v>intrépido, valiente</v>
      </c>
      <c r="F1638" s="8" t="str">
        <f>IFERROR(__xludf.DUMMYFUNCTION("GOOGLETRANSLATE(C1638, ""en"", ""fr"")"),"intrépide, sans peur")</f>
        <v>intrépide, sans peur</v>
      </c>
      <c r="G1638" s="8" t="str">
        <f>IFERROR(__xludf.DUMMYFUNCTION("GOOGLETRANSLATE(C1638, ""en"", ""de"")"),"unerschrocken, furchtlos")</f>
        <v>unerschrocken, furchtlos</v>
      </c>
      <c r="H1638" s="8" t="str">
        <f>IFERROR(__xludf.DUMMYFUNCTION("GOOGLETRANSLATE(C1638, ""en"", ""ru"")"),"бесстрашный, неустрашимый")</f>
        <v>бесстрашный, неустрашимый</v>
      </c>
      <c r="I1638" s="8" t="str">
        <f>IFERROR(__xludf.DUMMYFUNCTION("GOOGLETRANSLATE(C1638, ""en"", ""ar"")"),"شجاع، لا يخشى شيئاً")</f>
        <v>شجاع، لا يخشى شيئاً</v>
      </c>
      <c r="J1638" s="8"/>
      <c r="K1638" s="7" t="str">
        <f>IFERROR(__xludf.DUMMYFUNCTION("CONCAT(REGEXREPLACE(C1638,""[ ,]+"",""_""),"".mp3"")"),"intrepid_fearless.mp3")</f>
        <v>intrepid_fearless.mp3</v>
      </c>
      <c r="M1638" s="4" t="s">
        <v>10</v>
      </c>
    </row>
    <row r="1639" ht="15.75" customHeight="1">
      <c r="A1639" s="1">
        <v>3007.0</v>
      </c>
      <c r="B1639" s="3">
        <v>155.0</v>
      </c>
      <c r="C1639" s="7" t="s">
        <v>1650</v>
      </c>
      <c r="D1639" s="8" t="str">
        <f>IFERROR(__xludf.DUMMYFUNCTION("GOOGLETRANSLATE(C1639, ""en"", ""pt"")"),"intimidar, assustar")</f>
        <v>intimidar, assustar</v>
      </c>
      <c r="E1639" s="8" t="str">
        <f>IFERROR(__xludf.DUMMYFUNCTION("GOOGLETRANSLATE(C1639, ""en"", ""es"")"),"intimidar, asustar")</f>
        <v>intimidar, asustar</v>
      </c>
      <c r="F1639" s="8" t="str">
        <f>IFERROR(__xludf.DUMMYFUNCTION("GOOGLETRANSLATE(C1639, ""en"", ""fr"")"),"intimider, effrayer")</f>
        <v>intimider, effrayer</v>
      </c>
      <c r="G1639" s="8" t="str">
        <f>IFERROR(__xludf.DUMMYFUNCTION("GOOGLETRANSLATE(C1639, ""en"", ""de"")"),"einschüchtern, erschrecken")</f>
        <v>einschüchtern, erschrecken</v>
      </c>
      <c r="H1639" s="8" t="str">
        <f>IFERROR(__xludf.DUMMYFUNCTION("GOOGLETRANSLATE(C1639, ""en"", ""ru"")"),"запугать, напугать")</f>
        <v>запугать, напугать</v>
      </c>
      <c r="I1639" s="8" t="str">
        <f>IFERROR(__xludf.DUMMYFUNCTION("GOOGLETRANSLATE(C1639, ""en"", ""ar"")"),"ترهيب، إخافة")</f>
        <v>ترهيب، إخافة</v>
      </c>
      <c r="J1639" s="8"/>
      <c r="K1639" s="7" t="str">
        <f>IFERROR(__xludf.DUMMYFUNCTION("CONCAT(REGEXREPLACE(C1639,""[ ,]+"",""_""),"".mp3"")"),"intimidate_frighten.mp3")</f>
        <v>intimidate_frighten.mp3</v>
      </c>
      <c r="M1639" s="4" t="s">
        <v>10</v>
      </c>
    </row>
    <row r="1640" ht="15.75" customHeight="1">
      <c r="A1640" s="1">
        <v>3008.0</v>
      </c>
      <c r="B1640" s="3">
        <v>155.0</v>
      </c>
      <c r="C1640" s="7" t="s">
        <v>1651</v>
      </c>
      <c r="D1640" s="8" t="str">
        <f>IFERROR(__xludf.DUMMYFUNCTION("GOOGLETRANSLATE(C1640, ""en"", ""pt"")"),"conspícuo, visível")</f>
        <v>conspícuo, visível</v>
      </c>
      <c r="E1640" s="8" t="str">
        <f>IFERROR(__xludf.DUMMYFUNCTION("GOOGLETRANSLATE(C1640, ""en"", ""es"")"),"llamativo, visible")</f>
        <v>llamativo, visible</v>
      </c>
      <c r="F1640" s="8" t="str">
        <f>IFERROR(__xludf.DUMMYFUNCTION("GOOGLETRANSLATE(C1640, ""en"", ""fr"")"),"visible, frappant")</f>
        <v>visible, frappant</v>
      </c>
      <c r="G1640" s="8" t="str">
        <f>IFERROR(__xludf.DUMMYFUNCTION("GOOGLETRANSLATE(C1640, ""en"", ""de"")"),"auffällig, sichtbar")</f>
        <v>auffällig, sichtbar</v>
      </c>
      <c r="H1640" s="8" t="str">
        <f>IFERROR(__xludf.DUMMYFUNCTION("GOOGLETRANSLATE(C1640, ""en"", ""ru"")"),"заметный, видимый")</f>
        <v>заметный, видимый</v>
      </c>
      <c r="I1640" s="8" t="str">
        <f>IFERROR(__xludf.DUMMYFUNCTION("GOOGLETRANSLATE(C1640, ""en"", ""ar"")"),"واضح، مرئي")</f>
        <v>واضح، مرئي</v>
      </c>
      <c r="J1640" s="8"/>
      <c r="K1640" s="7" t="str">
        <f>IFERROR(__xludf.DUMMYFUNCTION("CONCAT(REGEXREPLACE(C1640,""[ ,]+"",""_""),"".mp3"")"),"conspicuous_visible.mp3")</f>
        <v>conspicuous_visible.mp3</v>
      </c>
      <c r="M1640" s="4" t="s">
        <v>10</v>
      </c>
    </row>
    <row r="1641" ht="15.75" customHeight="1">
      <c r="A1641" s="1">
        <v>3009.0</v>
      </c>
      <c r="B1641" s="3">
        <v>155.0</v>
      </c>
      <c r="C1641" s="7" t="s">
        <v>1652</v>
      </c>
      <c r="D1641" s="8" t="str">
        <f>IFERROR(__xludf.DUMMYFUNCTION("GOOGLETRANSLATE(C1641, ""en"", ""pt"")"),"caos, destruição")</f>
        <v>caos, destruição</v>
      </c>
      <c r="E1641" s="8" t="str">
        <f>IFERROR(__xludf.DUMMYFUNCTION("GOOGLETRANSLATE(C1641, ""en"", ""es"")"),"caos, destrucción")</f>
        <v>caos, destrucción</v>
      </c>
      <c r="F1641" s="8" t="str">
        <f>IFERROR(__xludf.DUMMYFUNCTION("GOOGLETRANSLATE(C1641, ""en"", ""fr"")"),"chaos, désordre")</f>
        <v>chaos, désordre</v>
      </c>
      <c r="G1641" s="8" t="str">
        <f>IFERROR(__xludf.DUMMYFUNCTION("GOOGLETRANSLATE(C1641, ""en"", ""de"")"),"Chaos, Durcheinander")</f>
        <v>Chaos, Durcheinander</v>
      </c>
      <c r="H1641" s="8" t="str">
        <f>IFERROR(__xludf.DUMMYFUNCTION("GOOGLETRANSLATE(C1641, ""en"", ""ru"")"),"хаос, беспорядок")</f>
        <v>хаос, беспорядок</v>
      </c>
      <c r="I1641" s="8" t="str">
        <f>IFERROR(__xludf.DUMMYFUNCTION("GOOGLETRANSLATE(C1641, ""en"", ""ar"")"),"فوضى عارمة")</f>
        <v>فوضى عارمة</v>
      </c>
      <c r="J1641" s="8"/>
      <c r="K1641" s="7" t="str">
        <f>IFERROR(__xludf.DUMMYFUNCTION("CONCAT(REGEXREPLACE(C1641,""[ ,]+"",""_""),"".mp3"")"),"mayhem_chaos.mp3")</f>
        <v>mayhem_chaos.mp3</v>
      </c>
      <c r="M1641" s="4" t="s">
        <v>10</v>
      </c>
    </row>
    <row r="1642" ht="15.75" customHeight="1">
      <c r="A1642" s="1">
        <v>3010.0</v>
      </c>
      <c r="B1642" s="3">
        <v>155.0</v>
      </c>
      <c r="C1642" s="7" t="s">
        <v>1653</v>
      </c>
      <c r="D1642" s="8" t="str">
        <f>IFERROR(__xludf.DUMMYFUNCTION("GOOGLETRANSLATE(C1642, ""en"", ""pt"")"),"pandemônio, alvoroço")</f>
        <v>pandemônio, alvoroço</v>
      </c>
      <c r="E1642" s="8" t="str">
        <f>IFERROR(__xludf.DUMMYFUNCTION("GOOGLETRANSLATE(C1642, ""en"", ""es"")"),"pandemonio, alboroto")</f>
        <v>pandemonio, alboroto</v>
      </c>
      <c r="F1642" s="8" t="str">
        <f>IFERROR(__xludf.DUMMYFUNCTION("GOOGLETRANSLATE(C1642, ""en"", ""fr"")"),"pandémonium, tumulte")</f>
        <v>pandémonium, tumulte</v>
      </c>
      <c r="G1642" s="8" t="str">
        <f>IFERROR(__xludf.DUMMYFUNCTION("GOOGLETRANSLATE(C1642, ""en"", ""de"")"),"Chaos, Aufruhr")</f>
        <v>Chaos, Aufruhr</v>
      </c>
      <c r="H1642" s="8" t="str">
        <f>IFERROR(__xludf.DUMMYFUNCTION("GOOGLETRANSLATE(C1642, ""en"", ""ru"")"),"хаос, шум")</f>
        <v>хаос, шум</v>
      </c>
      <c r="I1642" s="8" t="str">
        <f>IFERROR(__xludf.DUMMYFUNCTION("GOOGLETRANSLATE(C1642, ""en"", ""ar"")"),"فوضى عارمة، ضجة كبيرة")</f>
        <v>فوضى عارمة، ضجة كبيرة</v>
      </c>
      <c r="J1642" s="8"/>
      <c r="K1642" s="7" t="str">
        <f>IFERROR(__xludf.DUMMYFUNCTION("CONCAT(REGEXREPLACE(C1642,""[ ,]+"",""_""),"".mp3"")"),"pandemonium_uproar.mp3")</f>
        <v>pandemonium_uproar.mp3</v>
      </c>
      <c r="M1642" s="4" t="s">
        <v>10</v>
      </c>
    </row>
    <row r="1643" ht="15.75" customHeight="1">
      <c r="A1643" s="1">
        <v>3011.0</v>
      </c>
      <c r="B1643" s="3">
        <v>155.0</v>
      </c>
      <c r="C1643" s="7" t="s">
        <v>1654</v>
      </c>
      <c r="D1643" s="8" t="str">
        <f>IFERROR(__xludf.DUMMYFUNCTION("GOOGLETRANSLATE(C1643, ""en"", ""pt"")"),"caos, alvoroço")</f>
        <v>caos, alvoroço</v>
      </c>
      <c r="E1643" s="8" t="str">
        <f>IFERROR(__xludf.DUMMYFUNCTION("GOOGLETRANSLATE(C1643, ""en"", ""es"")"),"caos, alboroto")</f>
        <v>caos, alboroto</v>
      </c>
      <c r="F1643" s="8" t="str">
        <f>IFERROR(__xludf.DUMMYFUNCTION("GOOGLETRANSLATE(C1643, ""en"", ""fr"")"),"chaos, tumulte")</f>
        <v>chaos, tumulte</v>
      </c>
      <c r="G1643" s="8" t="str">
        <f>IFERROR(__xludf.DUMMYFUNCTION("GOOGLETRANSLATE(C1643, ""en"", ""de"")"),"Chaos, Aufruhr")</f>
        <v>Chaos, Aufruhr</v>
      </c>
      <c r="H1643" s="8" t="str">
        <f>IFERROR(__xludf.DUMMYFUNCTION("GOOGLETRANSLATE(C1643, ""en"", ""ru"")"),"хаос, бунт")</f>
        <v>хаос, бунт</v>
      </c>
      <c r="I1643" s="8" t="str">
        <f>IFERROR(__xludf.DUMMYFUNCTION("GOOGLETRANSLATE(C1643, ""en"", ""ar"")"),"فوضى عارمة، ضجة")</f>
        <v>فوضى عارمة، ضجة</v>
      </c>
      <c r="J1643" s="8"/>
      <c r="K1643" s="7" t="str">
        <f>IFERROR(__xludf.DUMMYFUNCTION("CONCAT(REGEXREPLACE(C1643,""[ ,]+"",""_""),"".mp3"")"),"bedlam_uproar.mp3")</f>
        <v>bedlam_uproar.mp3</v>
      </c>
      <c r="M1643" s="4" t="s">
        <v>10</v>
      </c>
    </row>
    <row r="1644" ht="15.75" customHeight="1">
      <c r="A1644" s="1">
        <v>3012.0</v>
      </c>
      <c r="B1644" s="3">
        <v>155.0</v>
      </c>
      <c r="C1644" s="7" t="s">
        <v>1655</v>
      </c>
      <c r="D1644" s="8" t="str">
        <f>IFERROR(__xludf.DUMMYFUNCTION("GOOGLETRANSLATE(C1644, ""en"", ""pt"")"),"embriagado, bêbado")</f>
        <v>embriagado, bêbado</v>
      </c>
      <c r="E1644" s="8" t="str">
        <f>IFERROR(__xludf.DUMMYFUNCTION("GOOGLETRANSLATE(C1644, ""en"", ""es"")"),"ebrio, borracho")</f>
        <v>ebrio, borracho</v>
      </c>
      <c r="F1644" s="8" t="str">
        <f>IFERROR(__xludf.DUMMYFUNCTION("GOOGLETRANSLATE(C1644, ""en"", ""fr"")"),"ivre, imbibé d'alcool")</f>
        <v>ivre, imbibé d'alcool</v>
      </c>
      <c r="G1644" s="8" t="str">
        <f>IFERROR(__xludf.DUMMYFUNCTION("GOOGLETRANSLATE(C1644, ""en"", ""de"")"),"betrunken")</f>
        <v>betrunken</v>
      </c>
      <c r="H1644" s="8" t="str">
        <f>IFERROR(__xludf.DUMMYFUNCTION("GOOGLETRANSLATE(C1644, ""en"", ""ru"")"),"опьянеть, пьяный")</f>
        <v>опьянеть, пьяный</v>
      </c>
      <c r="I1644" s="8" t="str">
        <f>IFERROR(__xludf.DUMMYFUNCTION("GOOGLETRANSLATE(C1644, ""en"", ""ar"")"),"ثمل، سكران")</f>
        <v>ثمل، سكران</v>
      </c>
      <c r="J1644" s="8"/>
      <c r="K1644" s="7" t="str">
        <f>IFERROR(__xludf.DUMMYFUNCTION("CONCAT(REGEXREPLACE(C1644,""[ ,]+"",""_""),"".mp3"")"),"inebriate_drunk.mp3")</f>
        <v>inebriate_drunk.mp3</v>
      </c>
      <c r="M1644" s="4" t="s">
        <v>10</v>
      </c>
    </row>
    <row r="1645" ht="15.75" customHeight="1">
      <c r="A1645" s="1">
        <v>3013.0</v>
      </c>
      <c r="B1645" s="3">
        <v>155.0</v>
      </c>
      <c r="C1645" s="7" t="s">
        <v>1656</v>
      </c>
      <c r="D1645" s="8" t="str">
        <f>IFERROR(__xludf.DUMMYFUNCTION("GOOGLETRANSLATE(C1645, ""en"", ""pt"")"),"insípido, entediante")</f>
        <v>insípido, entediante</v>
      </c>
      <c r="E1645" s="8" t="str">
        <f>IFERROR(__xludf.DUMMYFUNCTION("GOOGLETRANSLATE(C1645, ""en"", ""es"")"),"insípido, aburrido")</f>
        <v>insípido, aburrido</v>
      </c>
      <c r="F1645" s="8" t="str">
        <f>IFERROR(__xludf.DUMMYFUNCTION("GOOGLETRANSLATE(C1645, ""en"", ""fr"")"),"insipide, ennuyeux")</f>
        <v>insipide, ennuyeux</v>
      </c>
      <c r="G1645" s="8" t="str">
        <f>IFERROR(__xludf.DUMMYFUNCTION("GOOGLETRANSLATE(C1645, ""en"", ""de"")"),"fade, langweilig")</f>
        <v>fade, langweilig</v>
      </c>
      <c r="H1645" s="8" t="str">
        <f>IFERROR(__xludf.DUMMYFUNCTION("GOOGLETRANSLATE(C1645, ""en"", ""ru"")"),"безвкусный, скучный")</f>
        <v>безвкусный, скучный</v>
      </c>
      <c r="I1645" s="8" t="str">
        <f>IFERROR(__xludf.DUMMYFUNCTION("GOOGLETRANSLATE(C1645, ""en"", ""ar"")"),"باهت، ممل")</f>
        <v>باهت، ممل</v>
      </c>
      <c r="J1645" s="8"/>
      <c r="K1645" s="7" t="str">
        <f>IFERROR(__xludf.DUMMYFUNCTION("CONCAT(REGEXREPLACE(C1645,""[ ,]+"",""_""),"".mp3"")"),"insipid_boring.mp3")</f>
        <v>insipid_boring.mp3</v>
      </c>
      <c r="M1645" s="4" t="s">
        <v>10</v>
      </c>
    </row>
    <row r="1646" ht="15.75" customHeight="1">
      <c r="A1646" s="1">
        <v>3014.0</v>
      </c>
      <c r="B1646" s="3">
        <v>155.0</v>
      </c>
      <c r="C1646" s="7" t="s">
        <v>1657</v>
      </c>
      <c r="D1646" s="8" t="str">
        <f>IFERROR(__xludf.DUMMYFUNCTION("GOOGLETRANSLATE(C1646, ""en"", ""pt"")"),"subterrâneo, secreto")</f>
        <v>subterrâneo, secreto</v>
      </c>
      <c r="E1646" s="8" t="str">
        <f>IFERROR(__xludf.DUMMYFUNCTION("GOOGLETRANSLATE(C1646, ""en"", ""es"")"),"subterráneo, secreto")</f>
        <v>subterráneo, secreto</v>
      </c>
      <c r="F1646" s="8" t="str">
        <f>IFERROR(__xludf.DUMMYFUNCTION("GOOGLETRANSLATE(C1646, ""en"", ""fr"")"),"souterrain, secret")</f>
        <v>souterrain, secret</v>
      </c>
      <c r="G1646" s="8" t="str">
        <f>IFERROR(__xludf.DUMMYFUNCTION("GOOGLETRANSLATE(C1646, ""en"", ""de"")"),"unterirdisch, geheim")</f>
        <v>unterirdisch, geheim</v>
      </c>
      <c r="H1646" s="8" t="str">
        <f>IFERROR(__xludf.DUMMYFUNCTION("GOOGLETRANSLATE(C1646, ""en"", ""ru"")"),"подземный, секретный")</f>
        <v>подземный, секретный</v>
      </c>
      <c r="I1646" s="8" t="str">
        <f>IFERROR(__xludf.DUMMYFUNCTION("GOOGLETRANSLATE(C1646, ""en"", ""ar"")"),"تحت الأرض، سري")</f>
        <v>تحت الأرض، سري</v>
      </c>
      <c r="J1646" s="8"/>
      <c r="K1646" s="7" t="str">
        <f>IFERROR(__xludf.DUMMYFUNCTION("CONCAT(REGEXREPLACE(C1646,""[ ,]+"",""_""),"".mp3"")"),"subterranean_secret.mp3")</f>
        <v>subterranean_secret.mp3</v>
      </c>
      <c r="M1646" s="4" t="s">
        <v>10</v>
      </c>
    </row>
    <row r="1647" ht="15.75" customHeight="1">
      <c r="A1647" s="1">
        <v>3015.0</v>
      </c>
      <c r="B1647" s="3">
        <v>155.0</v>
      </c>
      <c r="C1647" s="7" t="s">
        <v>1658</v>
      </c>
      <c r="D1647" s="8" t="str">
        <f>IFERROR(__xludf.DUMMYFUNCTION("GOOGLETRANSLATE(C1647, ""en"", ""pt"")"),"insondável, enigmático")</f>
        <v>insondável, enigmático</v>
      </c>
      <c r="E1647" s="8" t="str">
        <f>IFERROR(__xludf.DUMMYFUNCTION("GOOGLETRANSLATE(C1647, ""en"", ""es"")"),"inescrutable, enigmático")</f>
        <v>inescrutable, enigmático</v>
      </c>
      <c r="F1647" s="8" t="str">
        <f>IFERROR(__xludf.DUMMYFUNCTION("GOOGLETRANSLATE(C1647, ""en"", ""fr"")"),"insondable, énigmatique")</f>
        <v>insondable, énigmatique</v>
      </c>
      <c r="G1647" s="8" t="str">
        <f>IFERROR(__xludf.DUMMYFUNCTION("GOOGLETRANSLATE(C1647, ""en"", ""de"")"),"unergründlich, rätselhaft")</f>
        <v>unergründlich, rätselhaft</v>
      </c>
      <c r="H1647" s="8" t="str">
        <f>IFERROR(__xludf.DUMMYFUNCTION("GOOGLETRANSLATE(C1647, ""en"", ""ru"")"),"непостижимый, загадочный")</f>
        <v>непостижимый, загадочный</v>
      </c>
      <c r="I1647" s="8" t="str">
        <f>IFERROR(__xludf.DUMMYFUNCTION("GOOGLETRANSLATE(C1647, ""en"", ""ar"")"),"غامض، مبهم")</f>
        <v>غامض، مبهم</v>
      </c>
      <c r="J1647" s="8"/>
      <c r="K1647" s="7" t="str">
        <f>IFERROR(__xludf.DUMMYFUNCTION("CONCAT(REGEXREPLACE(C1647,""[ ,]+"",""_""),"".mp3"")"),"inscrutable_enigmatic.mp3")</f>
        <v>inscrutable_enigmatic.mp3</v>
      </c>
      <c r="M1647" s="4" t="s">
        <v>10</v>
      </c>
    </row>
    <row r="1648" ht="15.75" customHeight="1">
      <c r="A1648" s="1">
        <v>3016.0</v>
      </c>
      <c r="B1648" s="3">
        <v>155.0</v>
      </c>
      <c r="C1648" s="7" t="s">
        <v>1659</v>
      </c>
      <c r="D1648" s="8" t="str">
        <f>IFERROR(__xludf.DUMMYFUNCTION("GOOGLETRANSLATE(C1648, ""en"", ""pt"")"),"copioso, abundante")</f>
        <v>copioso, abundante</v>
      </c>
      <c r="E1648" s="8" t="str">
        <f>IFERROR(__xludf.DUMMYFUNCTION("GOOGLETRANSLATE(C1648, ""en"", ""es"")"),"copioso, abundante")</f>
        <v>copioso, abundante</v>
      </c>
      <c r="F1648" s="8" t="str">
        <f>IFERROR(__xludf.DUMMYFUNCTION("GOOGLETRANSLATE(C1648, ""en"", ""fr"")"),"copieux, abondant")</f>
        <v>copieux, abondant</v>
      </c>
      <c r="G1648" s="8" t="str">
        <f>IFERROR(__xludf.DUMMYFUNCTION("GOOGLETRANSLATE(C1648, ""en"", ""de"")"),"reichlich, im Überfluss")</f>
        <v>reichlich, im Überfluss</v>
      </c>
      <c r="H1648" s="8" t="str">
        <f>IFERROR(__xludf.DUMMYFUNCTION("GOOGLETRANSLATE(C1648, ""en"", ""ru"")"),"обильный, в изобилии")</f>
        <v>обильный, в изобилии</v>
      </c>
      <c r="I1648" s="8" t="str">
        <f>IFERROR(__xludf.DUMMYFUNCTION("GOOGLETRANSLATE(C1648, ""en"", ""ar"")"),"وفير، غزير")</f>
        <v>وفير، غزير</v>
      </c>
      <c r="J1648" s="8"/>
      <c r="K1648" s="7" t="str">
        <f>IFERROR(__xludf.DUMMYFUNCTION("CONCAT(REGEXREPLACE(C1648,""[ ,]+"",""_""),"".mp3"")"),"copious_abundant.mp3")</f>
        <v>copious_abundant.mp3</v>
      </c>
      <c r="M1648" s="4" t="s">
        <v>10</v>
      </c>
    </row>
    <row r="1649" ht="15.75" customHeight="1">
      <c r="A1649" s="1">
        <v>3017.0</v>
      </c>
      <c r="B1649" s="3">
        <v>155.0</v>
      </c>
      <c r="C1649" s="7" t="s">
        <v>1660</v>
      </c>
      <c r="D1649" s="8" t="str">
        <f>IFERROR(__xludf.DUMMYFUNCTION("GOOGLETRANSLATE(C1649, ""en"", ""pt"")"),"cordial, amigável")</f>
        <v>cordial, amigável</v>
      </c>
      <c r="E1649" s="8" t="str">
        <f>IFERROR(__xludf.DUMMYFUNCTION("GOOGLETRANSLATE(C1649, ""en"", ""es"")"),"cordial, amable")</f>
        <v>cordial, amable</v>
      </c>
      <c r="F1649" s="8" t="str">
        <f>IFERROR(__xludf.DUMMYFUNCTION("GOOGLETRANSLATE(C1649, ""en"", ""fr"")"),"cordial, amical")</f>
        <v>cordial, amical</v>
      </c>
      <c r="G1649" s="8" t="str">
        <f>IFERROR(__xludf.DUMMYFUNCTION("GOOGLETRANSLATE(C1649, ""en"", ""de"")"),"herzlich, freundlich")</f>
        <v>herzlich, freundlich</v>
      </c>
      <c r="H1649" s="8" t="str">
        <f>IFERROR(__xludf.DUMMYFUNCTION("GOOGLETRANSLATE(C1649, ""en"", ""ru"")"),"приветливый, дружелюбный")</f>
        <v>приветливый, дружелюбный</v>
      </c>
      <c r="I1649" s="8" t="str">
        <f>IFERROR(__xludf.DUMMYFUNCTION("GOOGLETRANSLATE(C1649, ""en"", ""ar"")"),"ودود، لطيف")</f>
        <v>ودود، لطيف</v>
      </c>
      <c r="J1649" s="8"/>
      <c r="K1649" s="7" t="str">
        <f>IFERROR(__xludf.DUMMYFUNCTION("CONCAT(REGEXREPLACE(C1649,""[ ,]+"",""_""),"".mp3"")"),"cordial_friendly.mp3")</f>
        <v>cordial_friendly.mp3</v>
      </c>
      <c r="M1649" s="4" t="s">
        <v>10</v>
      </c>
    </row>
    <row r="1650" ht="15.75" customHeight="1">
      <c r="A1650" s="1">
        <v>3018.0</v>
      </c>
      <c r="B1650" s="3">
        <v>155.0</v>
      </c>
      <c r="C1650" s="7" t="s">
        <v>1661</v>
      </c>
      <c r="D1650" s="8" t="str">
        <f>IFERROR(__xludf.DUMMYFUNCTION("GOOGLETRANSLATE(C1650, ""en"", ""pt"")"),"afável, amigável")</f>
        <v>afável, amigável</v>
      </c>
      <c r="E1650" s="8" t="str">
        <f>IFERROR(__xludf.DUMMYFUNCTION("GOOGLETRANSLATE(C1650, ""en"", ""es"")"),"afable, amigable")</f>
        <v>afable, amigable</v>
      </c>
      <c r="F1650" s="8" t="str">
        <f>IFERROR(__xludf.DUMMYFUNCTION("GOOGLETRANSLATE(C1650, ""en"", ""fr"")"),"affable, amical")</f>
        <v>affable, amical</v>
      </c>
      <c r="G1650" s="8" t="str">
        <f>IFERROR(__xludf.DUMMYFUNCTION("GOOGLETRANSLATE(C1650, ""en"", ""de"")"),"liebenswürdig, freundlich")</f>
        <v>liebenswürdig, freundlich</v>
      </c>
      <c r="H1650" s="8" t="str">
        <f>IFERROR(__xludf.DUMMYFUNCTION("GOOGLETRANSLATE(C1650, ""en"", ""ru"")"),"приветливый, дружелюбный")</f>
        <v>приветливый, дружелюбный</v>
      </c>
      <c r="I1650" s="8" t="str">
        <f>IFERROR(__xludf.DUMMYFUNCTION("GOOGLETRANSLATE(C1650, ""en"", ""ar"")"),"ودود، لطيف")</f>
        <v>ودود، لطيف</v>
      </c>
      <c r="J1650" s="8"/>
      <c r="K1650" s="7" t="str">
        <f>IFERROR(__xludf.DUMMYFUNCTION("CONCAT(REGEXREPLACE(C1650,""[ ,]+"",""_""),"".mp3"")"),"affable_friendly.mp3")</f>
        <v>affable_friendly.mp3</v>
      </c>
      <c r="M1650" s="4" t="s">
        <v>10</v>
      </c>
    </row>
    <row r="1651" ht="15.75" customHeight="1">
      <c r="A1651" s="1">
        <v>3019.0</v>
      </c>
      <c r="B1651" s="3">
        <v>155.0</v>
      </c>
      <c r="C1651" s="7" t="s">
        <v>1662</v>
      </c>
      <c r="D1651" s="8" t="str">
        <f>IFERROR(__xludf.DUMMYFUNCTION("GOOGLETRANSLATE(C1651, ""en"", ""pt"")"),"contorcer, torcer")</f>
        <v>contorcer, torcer</v>
      </c>
      <c r="E1651" s="8" t="str">
        <f>IFERROR(__xludf.DUMMYFUNCTION("GOOGLETRANSLATE(C1651, ""en"", ""es"")"),"contorsionar, retorcerse")</f>
        <v>contorsionar, retorcerse</v>
      </c>
      <c r="F1651" s="8" t="str">
        <f>IFERROR(__xludf.DUMMYFUNCTION("GOOGLETRANSLATE(C1651, ""en"", ""fr"")"),"se contorsionner, se tordre")</f>
        <v>se contorsionner, se tordre</v>
      </c>
      <c r="G1651" s="8" t="str">
        <f>IFERROR(__xludf.DUMMYFUNCTION("GOOGLETRANSLATE(C1651, ""en"", ""de"")"),"verrenken, drehen")</f>
        <v>verrenken, drehen</v>
      </c>
      <c r="H1651" s="8" t="str">
        <f>IFERROR(__xludf.DUMMYFUNCTION("GOOGLETRANSLATE(C1651, ""en"", ""ru"")"),"изгибаться, скручиваться")</f>
        <v>изгибаться, скручиваться</v>
      </c>
      <c r="I1651" s="8" t="str">
        <f>IFERROR(__xludf.DUMMYFUNCTION("GOOGLETRANSLATE(C1651, ""en"", ""ar"")"),"التواء، ثني")</f>
        <v>التواء، ثني</v>
      </c>
      <c r="J1651" s="8"/>
      <c r="K1651" s="7" t="str">
        <f>IFERROR(__xludf.DUMMYFUNCTION("CONCAT(REGEXREPLACE(C1651,""[ ,]+"",""_""),"".mp3"")"),"contort_twist.mp3")</f>
        <v>contort_twist.mp3</v>
      </c>
      <c r="M1651" s="4" t="s">
        <v>10</v>
      </c>
    </row>
    <row r="1652" ht="15.75" customHeight="1">
      <c r="A1652" s="1">
        <v>3020.0</v>
      </c>
      <c r="B1652" s="3">
        <v>155.0</v>
      </c>
      <c r="C1652" s="7" t="s">
        <v>1663</v>
      </c>
      <c r="D1652" s="8" t="str">
        <f>IFERROR(__xludf.DUMMYFUNCTION("GOOGLETRANSLATE(C1652, ""en"", ""pt"")"),"burlesco, zombaria")</f>
        <v>burlesco, zombaria</v>
      </c>
      <c r="E1652" s="8" t="str">
        <f>IFERROR(__xludf.DUMMYFUNCTION("GOOGLETRANSLATE(C1652, ""en"", ""es"")"),"burlesque, burla")</f>
        <v>burlesque, burla</v>
      </c>
      <c r="F1652" s="8" t="str">
        <f>IFERROR(__xludf.DUMMYFUNCTION("GOOGLETRANSLATE(C1652, ""en"", ""fr"")"),"burlesque, parodie")</f>
        <v>burlesque, parodie</v>
      </c>
      <c r="G1652" s="8" t="str">
        <f>IFERROR(__xludf.DUMMYFUNCTION("GOOGLETRANSLATE(C1652, ""en"", ""de"")"),"Burleske, Parodie")</f>
        <v>Burleske, Parodie</v>
      </c>
      <c r="H1652" s="8" t="str">
        <f>IFERROR(__xludf.DUMMYFUNCTION("GOOGLETRANSLATE(C1652, ""en"", ""ru"")"),"бурлеск, пародия")</f>
        <v>бурлеск, пародия</v>
      </c>
      <c r="I1652" s="8" t="str">
        <f>IFERROR(__xludf.DUMMYFUNCTION("GOOGLETRANSLATE(C1652, ""en"", ""ar"")"),"استعراض هزلي، ساخر")</f>
        <v>استعراض هزلي، ساخر</v>
      </c>
      <c r="J1652" s="8"/>
      <c r="K1652" s="7" t="str">
        <f>IFERROR(__xludf.DUMMYFUNCTION("CONCAT(REGEXREPLACE(C1652,""[ ,]+"",""_""),"".mp3"")"),"burlesque_mock.mp3")</f>
        <v>burlesque_mock.mp3</v>
      </c>
      <c r="M1652" s="4" t="s">
        <v>10</v>
      </c>
    </row>
    <row r="1653" ht="15.75" customHeight="1">
      <c r="A1653" s="1">
        <v>3021.0</v>
      </c>
      <c r="B1653" s="3">
        <v>155.0</v>
      </c>
      <c r="C1653" s="7" t="s">
        <v>1664</v>
      </c>
      <c r="D1653" s="8" t="str">
        <f>IFERROR(__xludf.DUMMYFUNCTION("GOOGLETRANSLATE(C1653, ""en"", ""pt"")"),"compêndio, resumo")</f>
        <v>compêndio, resumo</v>
      </c>
      <c r="E1653" s="8" t="str">
        <f>IFERROR(__xludf.DUMMYFUNCTION("GOOGLETRANSLATE(C1653, ""en"", ""es"")"),"Compendio, resumen")</f>
        <v>Compendio, resumen</v>
      </c>
      <c r="F1653" s="8" t="str">
        <f>IFERROR(__xludf.DUMMYFUNCTION("GOOGLETRANSLATE(C1653, ""en"", ""fr"")"),"recueil, résumé")</f>
        <v>recueil, résumé</v>
      </c>
      <c r="G1653" s="8" t="str">
        <f>IFERROR(__xludf.DUMMYFUNCTION("GOOGLETRANSLATE(C1653, ""en"", ""de"")"),"Kompendium, Zusammenfassung")</f>
        <v>Kompendium, Zusammenfassung</v>
      </c>
      <c r="H1653" s="8" t="str">
        <f>IFERROR(__xludf.DUMMYFUNCTION("GOOGLETRANSLATE(C1653, ""en"", ""ru"")"),"сборник, краткое содержание")</f>
        <v>сборник, краткое содержание</v>
      </c>
      <c r="I1653" s="8" t="str">
        <f>IFERROR(__xludf.DUMMYFUNCTION("GOOGLETRANSLATE(C1653, ""en"", ""ar"")"),"مُلخّص، مُلخّص")</f>
        <v>مُلخّص، مُلخّص</v>
      </c>
      <c r="J1653" s="8"/>
      <c r="K1653" s="7" t="str">
        <f>IFERROR(__xludf.DUMMYFUNCTION("CONCAT(REGEXREPLACE(C1653,""[ ,]+"",""_""),"".mp3"")"),"compendium_summary.mp3")</f>
        <v>compendium_summary.mp3</v>
      </c>
      <c r="M1653" s="4" t="s">
        <v>10</v>
      </c>
    </row>
    <row r="1654" ht="15.75" customHeight="1">
      <c r="A1654" s="1">
        <v>3022.0</v>
      </c>
      <c r="B1654" s="3">
        <v>155.0</v>
      </c>
      <c r="C1654" s="7" t="s">
        <v>1665</v>
      </c>
      <c r="D1654" s="8" t="str">
        <f>IFERROR(__xludf.DUMMYFUNCTION("GOOGLETRANSLATE(C1654, ""en"", ""pt"")"),"cataclismo, desastre")</f>
        <v>cataclismo, desastre</v>
      </c>
      <c r="E1654" s="8" t="str">
        <f>IFERROR(__xludf.DUMMYFUNCTION("GOOGLETRANSLATE(C1654, ""en"", ""es"")"),"cataclismo, desastre")</f>
        <v>cataclismo, desastre</v>
      </c>
      <c r="F1654" s="8" t="str">
        <f>IFERROR(__xludf.DUMMYFUNCTION("GOOGLETRANSLATE(C1654, ""en"", ""fr"")"),"cataclysme, catastrophe")</f>
        <v>cataclysme, catastrophe</v>
      </c>
      <c r="G1654" s="8" t="str">
        <f>IFERROR(__xludf.DUMMYFUNCTION("GOOGLETRANSLATE(C1654, ""en"", ""de"")"),"Katastrophe, Desaster")</f>
        <v>Katastrophe, Desaster</v>
      </c>
      <c r="H1654" s="8" t="str">
        <f>IFERROR(__xludf.DUMMYFUNCTION("GOOGLETRANSLATE(C1654, ""en"", ""ru"")"),"катаклизм, катастрофа")</f>
        <v>катаклизм, катастрофа</v>
      </c>
      <c r="I1654" s="8" t="str">
        <f>IFERROR(__xludf.DUMMYFUNCTION("GOOGLETRANSLATE(C1654, ""en"", ""ar"")"),"كارثة، كارثة")</f>
        <v>كارثة، كارثة</v>
      </c>
      <c r="J1654" s="8"/>
      <c r="K1654" s="7" t="str">
        <f>IFERROR(__xludf.DUMMYFUNCTION("CONCAT(REGEXREPLACE(C1654,""[ ,]+"",""_""),"".mp3"")"),"cataclysm_disaster.mp3")</f>
        <v>cataclysm_disaster.mp3</v>
      </c>
      <c r="M1654" s="4" t="s">
        <v>10</v>
      </c>
    </row>
    <row r="1655" ht="15.75" customHeight="1">
      <c r="A1655" s="1">
        <v>3023.0</v>
      </c>
      <c r="B1655" s="3">
        <v>155.0</v>
      </c>
      <c r="C1655" s="7" t="s">
        <v>1666</v>
      </c>
      <c r="D1655" s="8" t="str">
        <f>IFERROR(__xludf.DUMMYFUNCTION("GOOGLETRANSLATE(C1655, ""en"", ""pt"")"),"catástrofe, desastre")</f>
        <v>catástrofe, desastre</v>
      </c>
      <c r="E1655" s="8" t="str">
        <f>IFERROR(__xludf.DUMMYFUNCTION("GOOGLETRANSLATE(C1655, ""en"", ""es"")"),"catástrofe, desastre")</f>
        <v>catástrofe, desastre</v>
      </c>
      <c r="F1655" s="8" t="str">
        <f>IFERROR(__xludf.DUMMYFUNCTION("GOOGLETRANSLATE(C1655, ""en"", ""fr"")"),"catastrophe, désastre")</f>
        <v>catastrophe, désastre</v>
      </c>
      <c r="G1655" s="8" t="str">
        <f>IFERROR(__xludf.DUMMYFUNCTION("GOOGLETRANSLATE(C1655, ""en"", ""de"")"),"Katastrophe, Unglück")</f>
        <v>Katastrophe, Unglück</v>
      </c>
      <c r="H1655" s="8" t="str">
        <f>IFERROR(__xludf.DUMMYFUNCTION("GOOGLETRANSLATE(C1655, ""en"", ""ru"")"),"катастрофа, бедствие")</f>
        <v>катастрофа, бедствие</v>
      </c>
      <c r="I1655" s="8" t="str">
        <f>IFERROR(__xludf.DUMMYFUNCTION("GOOGLETRANSLATE(C1655, ""en"", ""ar"")"),"كارثة، مصيبة")</f>
        <v>كارثة، مصيبة</v>
      </c>
      <c r="J1655" s="8"/>
      <c r="K1655" s="7" t="str">
        <f>IFERROR(__xludf.DUMMYFUNCTION("CONCAT(REGEXREPLACE(C1655,""[ ,]+"",""_""),"".mp3"")"),"catastrophe_disaster.mp3")</f>
        <v>catastrophe_disaster.mp3</v>
      </c>
      <c r="M1655" s="4" t="s">
        <v>10</v>
      </c>
    </row>
    <row r="1656" ht="15.75" customHeight="1">
      <c r="A1656" s="1">
        <v>3024.0</v>
      </c>
      <c r="B1656" s="3">
        <v>155.0</v>
      </c>
      <c r="C1656" s="7" t="s">
        <v>1667</v>
      </c>
      <c r="D1656" s="8" t="str">
        <f>IFERROR(__xludf.DUMMYFUNCTION("GOOGLETRANSLATE(C1656, ""en"", ""pt"")"),"bandido, ladrão")</f>
        <v>bandido, ladrão</v>
      </c>
      <c r="E1656" s="8" t="str">
        <f>IFERROR(__xludf.DUMMYFUNCTION("GOOGLETRANSLATE(C1656, ""en"", ""es"")"),"bandido, ladrón")</f>
        <v>bandido, ladrón</v>
      </c>
      <c r="F1656" s="8" t="str">
        <f>IFERROR(__xludf.DUMMYFUNCTION("GOOGLETRANSLATE(C1656, ""en"", ""fr"")"),"bandit, voleur")</f>
        <v>bandit, voleur</v>
      </c>
      <c r="G1656" s="8" t="str">
        <f>IFERROR(__xludf.DUMMYFUNCTION("GOOGLETRANSLATE(C1656, ""en"", ""de"")"),"Bandit, Räuber")</f>
        <v>Bandit, Räuber</v>
      </c>
      <c r="H1656" s="8" t="str">
        <f>IFERROR(__xludf.DUMMYFUNCTION("GOOGLETRANSLATE(C1656, ""en"", ""ru"")"),"бандит, грабитель")</f>
        <v>бандит, грабитель</v>
      </c>
      <c r="I1656" s="8" t="str">
        <f>IFERROR(__xludf.DUMMYFUNCTION("GOOGLETRANSLATE(C1656, ""en"", ""ar"")"),"لص، سارق")</f>
        <v>لص، سارق</v>
      </c>
      <c r="J1656" s="8"/>
      <c r="K1656" s="7" t="str">
        <f>IFERROR(__xludf.DUMMYFUNCTION("CONCAT(REGEXREPLACE(C1656,""[ ,]+"",""_""),"".mp3"")"),"bandit_robber.mp3")</f>
        <v>bandit_robber.mp3</v>
      </c>
      <c r="M1656" s="4" t="s">
        <v>10</v>
      </c>
    </row>
    <row r="1657" ht="15.75" customHeight="1">
      <c r="A1657" s="1">
        <v>3025.0</v>
      </c>
      <c r="B1657" s="3">
        <v>155.0</v>
      </c>
      <c r="C1657" s="7" t="s">
        <v>1668</v>
      </c>
      <c r="D1657" s="8" t="str">
        <f>IFERROR(__xludf.DUMMYFUNCTION("GOOGLETRANSLATE(C1657, ""en"", ""pt"")"),"barulhento, ruidoso")</f>
        <v>barulhento, ruidoso</v>
      </c>
      <c r="E1657" s="8" t="str">
        <f>IFERROR(__xludf.DUMMYFUNCTION("GOOGLETRANSLATE(C1657, ""en"", ""es"")"),"bullicioso, ruidoso")</f>
        <v>bullicioso, ruidoso</v>
      </c>
      <c r="F1657" s="8" t="str">
        <f>IFERROR(__xludf.DUMMYFUNCTION("GOOGLETRANSLATE(C1657, ""en"", ""fr"")"),"bruyant, agité")</f>
        <v>bruyant, agité</v>
      </c>
      <c r="G1657" s="8" t="str">
        <f>IFERROR(__xludf.DUMMYFUNCTION("GOOGLETRANSLATE(C1657, ""en"", ""de"")"),"ausgelassen, laut")</f>
        <v>ausgelassen, laut</v>
      </c>
      <c r="H1657" s="8" t="str">
        <f>IFERROR(__xludf.DUMMYFUNCTION("GOOGLETRANSLATE(C1657, ""en"", ""ru"")"),"шумный, буйный")</f>
        <v>шумный, буйный</v>
      </c>
      <c r="I1657" s="8" t="str">
        <f>IFERROR(__xludf.DUMMYFUNCTION("GOOGLETRANSLATE(C1657, ""en"", ""ar"")"),"صاخب، صاخب")</f>
        <v>صاخب، صاخب</v>
      </c>
      <c r="J1657" s="8"/>
      <c r="K1657" s="7" t="str">
        <f>IFERROR(__xludf.DUMMYFUNCTION("CONCAT(REGEXREPLACE(C1657,""[ ,]+"",""_""),"".mp3"")"),"boisterous_noisy.mp3")</f>
        <v>boisterous_noisy.mp3</v>
      </c>
      <c r="M1657" s="4" t="s">
        <v>10</v>
      </c>
    </row>
    <row r="1658" ht="15.75" customHeight="1">
      <c r="A1658" s="1">
        <v>3026.0</v>
      </c>
      <c r="B1658" s="3">
        <v>155.0</v>
      </c>
      <c r="C1658" s="7" t="s">
        <v>1669</v>
      </c>
      <c r="D1658" s="8" t="str">
        <f>IFERROR(__xludf.DUMMYFUNCTION("GOOGLETRANSLATE(C1658, ""en"", ""pt"")"),"colossal, enorme")</f>
        <v>colossal, enorme</v>
      </c>
      <c r="E1658" s="8" t="str">
        <f>IFERROR(__xludf.DUMMYFUNCTION("GOOGLETRANSLATE(C1658, ""en"", ""es"")"),"colosal, enorme")</f>
        <v>colosal, enorme</v>
      </c>
      <c r="F1658" s="8" t="str">
        <f>IFERROR(__xludf.DUMMYFUNCTION("GOOGLETRANSLATE(C1658, ""en"", ""fr"")"),"colossal, énorme")</f>
        <v>colossal, énorme</v>
      </c>
      <c r="G1658" s="8" t="str">
        <f>IFERROR(__xludf.DUMMYFUNCTION("GOOGLETRANSLATE(C1658, ""en"", ""de"")"),"kolossal, riesig")</f>
        <v>kolossal, riesig</v>
      </c>
      <c r="H1658" s="8" t="str">
        <f>IFERROR(__xludf.DUMMYFUNCTION("GOOGLETRANSLATE(C1658, ""en"", ""ru"")"),"колоссальный, огромный")</f>
        <v>колоссальный, огромный</v>
      </c>
      <c r="I1658" s="8" t="str">
        <f>IFERROR(__xludf.DUMMYFUNCTION("GOOGLETRANSLATE(C1658, ""en"", ""ar"")"),"ضخم، هائل")</f>
        <v>ضخم، هائل</v>
      </c>
      <c r="J1658" s="8"/>
      <c r="K1658" s="7" t="str">
        <f>IFERROR(__xludf.DUMMYFUNCTION("CONCAT(REGEXREPLACE(C1658,""[ ,]+"",""_""),"".mp3"")"),"colossal_huge.mp3")</f>
        <v>colossal_huge.mp3</v>
      </c>
      <c r="M1658" s="4" t="s">
        <v>10</v>
      </c>
    </row>
    <row r="1659" ht="15.75" customHeight="1">
      <c r="A1659" s="1">
        <v>3027.0</v>
      </c>
      <c r="B1659" s="3">
        <v>155.0</v>
      </c>
      <c r="C1659" s="7" t="s">
        <v>1670</v>
      </c>
      <c r="D1659" s="8" t="str">
        <f>IFERROR(__xludf.DUMMYFUNCTION("GOOGLETRANSLATE(C1659, ""en"", ""pt"")"),"abominar, odiar")</f>
        <v>abominar, odiar</v>
      </c>
      <c r="E1659" s="8" t="str">
        <f>IFERROR(__xludf.DUMMYFUNCTION("GOOGLETRANSLATE(C1659, ""en"", ""es"")"),"abominar, odiar")</f>
        <v>abominar, odiar</v>
      </c>
      <c r="F1659" s="8" t="str">
        <f>IFERROR(__xludf.DUMMYFUNCTION("GOOGLETRANSLATE(C1659, ""en"", ""fr"")"),"abominer, haïr")</f>
        <v>abominer, haïr</v>
      </c>
      <c r="G1659" s="8" t="str">
        <f>IFERROR(__xludf.DUMMYFUNCTION("GOOGLETRANSLATE(C1659, ""en"", ""de"")"),"verabscheuen, hassen")</f>
        <v>verabscheuen, hassen</v>
      </c>
      <c r="H1659" s="8" t="str">
        <f>IFERROR(__xludf.DUMMYFUNCTION("GOOGLETRANSLATE(C1659, ""en"", ""ru"")"),"ненавидеть, презирать")</f>
        <v>ненавидеть, презирать</v>
      </c>
      <c r="I1659" s="8" t="str">
        <f>IFERROR(__xludf.DUMMYFUNCTION("GOOGLETRANSLATE(C1659, ""en"", ""ar"")"),"اكره، ابغض")</f>
        <v>اكره، ابغض</v>
      </c>
      <c r="J1659" s="8"/>
      <c r="K1659" s="7" t="str">
        <f>IFERROR(__xludf.DUMMYFUNCTION("CONCAT(REGEXREPLACE(C1659,""[ ,]+"",""_""),"".mp3"")"),"abominate_hate.mp3")</f>
        <v>abominate_hate.mp3</v>
      </c>
      <c r="M1659" s="4" t="s">
        <v>10</v>
      </c>
    </row>
    <row r="1660" ht="15.75" customHeight="1">
      <c r="A1660" s="1">
        <v>3028.0</v>
      </c>
      <c r="B1660" s="3">
        <v>155.0</v>
      </c>
      <c r="C1660" s="7" t="s">
        <v>1671</v>
      </c>
      <c r="D1660" s="8" t="str">
        <f>IFERROR(__xludf.DUMMYFUNCTION("GOOGLETRANSLATE(C1660, ""en"", ""pt"")"),"execrar, odiar")</f>
        <v>execrar, odiar</v>
      </c>
      <c r="E1660" s="8" t="str">
        <f>IFERROR(__xludf.DUMMYFUNCTION("GOOGLETRANSLATE(C1660, ""en"", ""es"")"),"execrar, odiar")</f>
        <v>execrar, odiar</v>
      </c>
      <c r="F1660" s="8" t="str">
        <f>IFERROR(__xludf.DUMMYFUNCTION("GOOGLETRANSLATE(C1660, ""en"", ""fr"")"),"exécrer, haïr")</f>
        <v>exécrer, haïr</v>
      </c>
      <c r="G1660" s="8" t="str">
        <f>IFERROR(__xludf.DUMMYFUNCTION("GOOGLETRANSLATE(C1660, ""en"", ""de"")"),"verabscheuen, hassen")</f>
        <v>verabscheuen, hassen</v>
      </c>
      <c r="H1660" s="8" t="str">
        <f>IFERROR(__xludf.DUMMYFUNCTION("GOOGLETRANSLATE(C1660, ""en"", ""ru"")"),"проклинать, ненавидеть")</f>
        <v>проклинать, ненавидеть</v>
      </c>
      <c r="I1660" s="8" t="str">
        <f>IFERROR(__xludf.DUMMYFUNCTION("GOOGLETRANSLATE(C1660, ""en"", ""ar"")"),"ألعن، أكره")</f>
        <v>ألعن، أكره</v>
      </c>
      <c r="J1660" s="8"/>
      <c r="K1660" s="7" t="str">
        <f>IFERROR(__xludf.DUMMYFUNCTION("CONCAT(REGEXREPLACE(C1660,""[ ,]+"",""_""),"".mp3"")"),"execrate_hate.mp3")</f>
        <v>execrate_hate.mp3</v>
      </c>
      <c r="M1660" s="4" t="s">
        <v>10</v>
      </c>
    </row>
    <row r="1661" ht="15.75" customHeight="1">
      <c r="A1661" s="1">
        <v>3029.0</v>
      </c>
      <c r="B1661" s="3">
        <v>155.0</v>
      </c>
      <c r="C1661" s="7" t="s">
        <v>1672</v>
      </c>
      <c r="D1661" s="8" t="str">
        <f>IFERROR(__xludf.DUMMYFUNCTION("GOOGLETRANSLATE(C1661, ""en"", ""pt"")"),"abominar, odiar")</f>
        <v>abominar, odiar</v>
      </c>
      <c r="E1661" s="8" t="str">
        <f>IFERROR(__xludf.DUMMYFUNCTION("GOOGLETRANSLATE(C1661, ""en"", ""es"")"),"aborrecer, odiar")</f>
        <v>aborrecer, odiar</v>
      </c>
      <c r="F1661" s="8" t="str">
        <f>IFERROR(__xludf.DUMMYFUNCTION("GOOGLETRANSLATE(C1661, ""en"", ""fr"")"),"abhorrer, haïr")</f>
        <v>abhorrer, haïr</v>
      </c>
      <c r="G1661" s="8" t="str">
        <f>IFERROR(__xludf.DUMMYFUNCTION("GOOGLETRANSLATE(C1661, ""en"", ""de"")"),"verabscheuen, hassen")</f>
        <v>verabscheuen, hassen</v>
      </c>
      <c r="H1661" s="8" t="str">
        <f>IFERROR(__xludf.DUMMYFUNCTION("GOOGLETRANSLATE(C1661, ""en"", ""ru"")"),"ненавидеть, испытывать отвращение")</f>
        <v>ненавидеть, испытывать отвращение</v>
      </c>
      <c r="I1661" s="8" t="str">
        <f>IFERROR(__xludf.DUMMYFUNCTION("GOOGLETRANSLATE(C1661, ""en"", ""ar"")"),"أكره، أبغض")</f>
        <v>أكره، أبغض</v>
      </c>
      <c r="J1661" s="8"/>
      <c r="K1661" s="7" t="str">
        <f>IFERROR(__xludf.DUMMYFUNCTION("CONCAT(REGEXREPLACE(C1661,""[ ,]+"",""_""),"".mp3"")"),"abhor_hate.mp3")</f>
        <v>abhor_hate.mp3</v>
      </c>
      <c r="M1661" s="4" t="s">
        <v>10</v>
      </c>
    </row>
    <row r="1662" ht="15.75" customHeight="1">
      <c r="A1662" s="1">
        <v>3030.0</v>
      </c>
      <c r="B1662" s="3">
        <v>155.0</v>
      </c>
      <c r="C1662" s="7" t="s">
        <v>1673</v>
      </c>
      <c r="D1662" s="8" t="str">
        <f>IFERROR(__xludf.DUMMYFUNCTION("GOOGLETRANSLATE(C1662, ""en"", ""pt"")"),"expiar, reparar")</f>
        <v>expiar, reparar</v>
      </c>
      <c r="E1662" s="8" t="str">
        <f>IFERROR(__xludf.DUMMYFUNCTION("GOOGLETRANSLATE(C1662, ""en"", ""es"")"),"expiar, reparar")</f>
        <v>expiar, reparar</v>
      </c>
      <c r="F1662" s="8" t="str">
        <f>IFERROR(__xludf.DUMMYFUNCTION("GOOGLETRANSLATE(C1662, ""en"", ""fr"")"),"expier, réparer ses torts")</f>
        <v>expier, réparer ses torts</v>
      </c>
      <c r="G1662" s="8" t="str">
        <f>IFERROR(__xludf.DUMMYFUNCTION("GOOGLETRANSLATE(C1662, ""en"", ""de"")"),"sühnen, Wiedergutmachung leisten")</f>
        <v>sühnen, Wiedergutmachung leisten</v>
      </c>
      <c r="H1662" s="8" t="str">
        <f>IFERROR(__xludf.DUMMYFUNCTION("GOOGLETRANSLATE(C1662, ""en"", ""ru"")"),"искупить, загладить вину")</f>
        <v>искупить, загладить вину</v>
      </c>
      <c r="I1662" s="8" t="str">
        <f>IFERROR(__xludf.DUMMYFUNCTION("GOOGLETRANSLATE(C1662, ""en"", ""ar"")"),"كفّر عن ذنوبك، واصلح ما أفسدته")</f>
        <v>كفّر عن ذنوبك، واصلح ما أفسدته</v>
      </c>
      <c r="J1662" s="8"/>
      <c r="K1662" s="7" t="str">
        <f>IFERROR(__xludf.DUMMYFUNCTION("CONCAT(REGEXREPLACE(C1662,""[ ,]+"",""_""),"".mp3"")"),"expiate_make_amends.mp3")</f>
        <v>expiate_make_amends.mp3</v>
      </c>
      <c r="M1662" s="4" t="s">
        <v>10</v>
      </c>
    </row>
    <row r="1663" ht="15.75" customHeight="1">
      <c r="A1663" s="1">
        <v>3031.0</v>
      </c>
      <c r="B1663" s="3">
        <v>155.0</v>
      </c>
      <c r="C1663" s="7" t="s">
        <v>1674</v>
      </c>
      <c r="D1663" s="8" t="str">
        <f>IFERROR(__xludf.DUMMYFUNCTION("GOOGLETRANSLATE(C1663, ""en"", ""pt"")"),"discorrer, elaborar")</f>
        <v>discorrer, elaborar</v>
      </c>
      <c r="E1663" s="8" t="str">
        <f>IFERROR(__xludf.DUMMYFUNCTION("GOOGLETRANSLATE(C1663, ""en"", ""es"")"),"explayarse, elaborar")</f>
        <v>explayarse, elaborar</v>
      </c>
      <c r="F1663" s="8" t="str">
        <f>IFERROR(__xludf.DUMMYFUNCTION("GOOGLETRANSLATE(C1663, ""en"", ""fr"")"),"développer, élaborer")</f>
        <v>développer, élaborer</v>
      </c>
      <c r="G1663" s="8" t="str">
        <f>IFERROR(__xludf.DUMMYFUNCTION("GOOGLETRANSLATE(C1663, ""en"", ""de"")"),"ausführlich, detailliert")</f>
        <v>ausführlich, detailliert</v>
      </c>
      <c r="H1663" s="8" t="str">
        <f>IFERROR(__xludf.DUMMYFUNCTION("GOOGLETRANSLATE(C1663, ""en"", ""ru"")"),"подробно, детально")</f>
        <v>подробно, детально</v>
      </c>
      <c r="I1663" s="8" t="str">
        <f>IFERROR(__xludf.DUMMYFUNCTION("GOOGLETRANSLATE(C1663, ""en"", ""ar"")"),"شرح، توسع، فصّل")</f>
        <v>شرح، توسع، فصّل</v>
      </c>
      <c r="J1663" s="8"/>
      <c r="K1663" s="7" t="str">
        <f>IFERROR(__xludf.DUMMYFUNCTION("CONCAT(REGEXREPLACE(C1663,""[ ,]+"",""_""),"".mp3"")"),"expatiate_elaborate.mp3")</f>
        <v>expatiate_elaborate.mp3</v>
      </c>
      <c r="M1663" s="4" t="s">
        <v>10</v>
      </c>
    </row>
    <row r="1664" ht="15.75" customHeight="1">
      <c r="A1664" s="1">
        <v>3032.0</v>
      </c>
      <c r="B1664" s="3">
        <v>155.0</v>
      </c>
      <c r="C1664" s="7" t="s">
        <v>1675</v>
      </c>
      <c r="D1664" s="8" t="str">
        <f>IFERROR(__xludf.DUMMYFUNCTION("GOOGLETRANSLATE(C1664, ""en"", ""pt"")"),"expatriado, deportado")</f>
        <v>expatriado, deportado</v>
      </c>
      <c r="E1664" s="8" t="str">
        <f>IFERROR(__xludf.DUMMYFUNCTION("GOOGLETRANSLATE(C1664, ""en"", ""es"")"),"expatriado, deportar")</f>
        <v>expatriado, deportar</v>
      </c>
      <c r="F1664" s="8" t="str">
        <f>IFERROR(__xludf.DUMMYFUNCTION("GOOGLETRANSLATE(C1664, ""en"", ""fr"")"),"expatrié, déporter")</f>
        <v>expatrié, déporter</v>
      </c>
      <c r="G1664" s="8" t="str">
        <f>IFERROR(__xludf.DUMMYFUNCTION("GOOGLETRANSLATE(C1664, ""en"", ""de"")"),"Auswanderer, Abschiebung")</f>
        <v>Auswanderer, Abschiebung</v>
      </c>
      <c r="H1664" s="8" t="str">
        <f>IFERROR(__xludf.DUMMYFUNCTION("GOOGLETRANSLATE(C1664, ""en"", ""ru"")"),"экспат, депортировать")</f>
        <v>экспат, депортировать</v>
      </c>
      <c r="I1664" s="8" t="str">
        <f>IFERROR(__xludf.DUMMYFUNCTION("GOOGLETRANSLATE(C1664, ""en"", ""ar"")"),"مغترب، ترحيل")</f>
        <v>مغترب، ترحيل</v>
      </c>
      <c r="J1664" s="8"/>
      <c r="K1664" s="7" t="str">
        <f>IFERROR(__xludf.DUMMYFUNCTION("CONCAT(REGEXREPLACE(C1664,""[ ,]+"",""_""),"".mp3"")"),"expatriate_deport.mp3")</f>
        <v>expatriate_deport.mp3</v>
      </c>
      <c r="M1664" s="4" t="s">
        <v>10</v>
      </c>
    </row>
    <row r="1665" ht="15.75" customHeight="1">
      <c r="A1665" s="1">
        <v>3033.0</v>
      </c>
      <c r="B1665" s="3">
        <v>155.0</v>
      </c>
      <c r="C1665" s="7" t="s">
        <v>1676</v>
      </c>
      <c r="D1665" s="8" t="str">
        <f>IFERROR(__xludf.DUMMYFUNCTION("GOOGLETRANSLATE(C1665, ""en"", ""pt"")"),"equívoco, ambíguo")</f>
        <v>equívoco, ambíguo</v>
      </c>
      <c r="E1665" s="8" t="str">
        <f>IFERROR(__xludf.DUMMYFUNCTION("GOOGLETRANSLATE(C1665, ""en"", ""es"")"),"equívoco, ambiguo")</f>
        <v>equívoco, ambiguo</v>
      </c>
      <c r="F1665" s="8" t="str">
        <f>IFERROR(__xludf.DUMMYFUNCTION("GOOGLETRANSLATE(C1665, ""en"", ""fr"")"),"équivoque, ambigu")</f>
        <v>équivoque, ambigu</v>
      </c>
      <c r="G1665" s="8" t="str">
        <f>IFERROR(__xludf.DUMMYFUNCTION("GOOGLETRANSLATE(C1665, ""en"", ""de"")"),"zweideutig, mehrdeutig")</f>
        <v>zweideutig, mehrdeutig</v>
      </c>
      <c r="H1665" s="8" t="str">
        <f>IFERROR(__xludf.DUMMYFUNCTION("GOOGLETRANSLATE(C1665, ""en"", ""ru"")"),"двусмысленный, неоднозначный")</f>
        <v>двусмысленный, неоднозначный</v>
      </c>
      <c r="I1665" s="8" t="str">
        <f>IFERROR(__xludf.DUMMYFUNCTION("GOOGLETRANSLATE(C1665, ""en"", ""ar"")"),"غامض، مبهم")</f>
        <v>غامض، مبهم</v>
      </c>
      <c r="J1665" s="8"/>
      <c r="K1665" s="7" t="str">
        <f>IFERROR(__xludf.DUMMYFUNCTION("CONCAT(REGEXREPLACE(C1665,""[ ,]+"",""_""),"".mp3"")"),"equivocal_ambiguous.mp3")</f>
        <v>equivocal_ambiguous.mp3</v>
      </c>
      <c r="M1665" s="4" t="s">
        <v>10</v>
      </c>
    </row>
    <row r="1666" ht="15.75" customHeight="1">
      <c r="A1666" s="1">
        <v>3034.0</v>
      </c>
      <c r="B1666" s="3">
        <v>155.0</v>
      </c>
      <c r="C1666" s="7" t="s">
        <v>1677</v>
      </c>
      <c r="D1666" s="8" t="str">
        <f>IFERROR(__xludf.DUMMYFUNCTION("GOOGLETRANSLATE(C1666, ""en"", ""pt"")"),"avareza, ganância")</f>
        <v>avareza, ganância</v>
      </c>
      <c r="E1666" s="8" t="str">
        <f>IFERROR(__xludf.DUMMYFUNCTION("GOOGLETRANSLATE(C1666, ""en"", ""es"")"),"avaricia, codicia")</f>
        <v>avaricia, codicia</v>
      </c>
      <c r="F1666" s="8" t="str">
        <f>IFERROR(__xludf.DUMMYFUNCTION("GOOGLETRANSLATE(C1666, ""en"", ""fr"")"),"avarice, cupidité")</f>
        <v>avarice, cupidité</v>
      </c>
      <c r="G1666" s="8" t="str">
        <f>IFERROR(__xludf.DUMMYFUNCTION("GOOGLETRANSLATE(C1666, ""en"", ""de"")"),"Habgier, Geiz")</f>
        <v>Habgier, Geiz</v>
      </c>
      <c r="H1666" s="8" t="str">
        <f>IFERROR(__xludf.DUMMYFUNCTION("GOOGLETRANSLATE(C1666, ""en"", ""ru"")"),"алчность, жадность")</f>
        <v>алчность, жадность</v>
      </c>
      <c r="I1666" s="8" t="str">
        <f>IFERROR(__xludf.DUMMYFUNCTION("GOOGLETRANSLATE(C1666, ""en"", ""ar"")"),"الجشع، الطمع")</f>
        <v>الجشع، الطمع</v>
      </c>
      <c r="J1666" s="8"/>
      <c r="K1666" s="7" t="str">
        <f>IFERROR(__xludf.DUMMYFUNCTION("CONCAT(REGEXREPLACE(C1666,""[ ,]+"",""_""),"".mp3"")"),"avarice_greed.mp3")</f>
        <v>avarice_greed.mp3</v>
      </c>
      <c r="M1666" s="4" t="s">
        <v>10</v>
      </c>
    </row>
    <row r="1667" ht="15.75" customHeight="1">
      <c r="A1667" s="1">
        <v>3035.0</v>
      </c>
      <c r="B1667" s="3">
        <v>155.0</v>
      </c>
      <c r="C1667" s="7" t="s">
        <v>1678</v>
      </c>
      <c r="D1667" s="8" t="str">
        <f>IFERROR(__xludf.DUMMYFUNCTION("GOOGLETRANSLATE(C1667, ""en"", ""pt"")"),"ensaio, avaliar")</f>
        <v>ensaio, avaliar</v>
      </c>
      <c r="E1667" s="8" t="str">
        <f>IFERROR(__xludf.DUMMYFUNCTION("GOOGLETRANSLATE(C1667, ""en"", ""es"")"),"ensayo, evaluar")</f>
        <v>ensayo, evaluar</v>
      </c>
      <c r="F1667" s="8" t="str">
        <f>IFERROR(__xludf.DUMMYFUNCTION("GOOGLETRANSLATE(C1667, ""en"", ""fr"")"),"analyse, évaluation")</f>
        <v>analyse, évaluation</v>
      </c>
      <c r="G1667" s="8" t="str">
        <f>IFERROR(__xludf.DUMMYFUNCTION("GOOGLETRANSLATE(C1667, ""en"", ""de"")"),"Analyse, Bewertung")</f>
        <v>Analyse, Bewertung</v>
      </c>
      <c r="H1667" s="8" t="str">
        <f>IFERROR(__xludf.DUMMYFUNCTION("GOOGLETRANSLATE(C1667, ""en"", ""ru"")"),"анализировать, оценивать")</f>
        <v>анализировать, оценивать</v>
      </c>
      <c r="I1667" s="8" t="str">
        <f>IFERROR(__xludf.DUMMYFUNCTION("GOOGLETRANSLATE(C1667, ""en"", ""ar"")"),"فحص، تقييم")</f>
        <v>فحص، تقييم</v>
      </c>
      <c r="J1667" s="8"/>
      <c r="K1667" s="7" t="str">
        <f>IFERROR(__xludf.DUMMYFUNCTION("CONCAT(REGEXREPLACE(C1667,""[ ,]+"",""_""),"".mp3"")"),"assay_evaluate.mp3")</f>
        <v>assay_evaluate.mp3</v>
      </c>
      <c r="M1667" s="4" t="s">
        <v>10</v>
      </c>
    </row>
    <row r="1668" ht="15.75" customHeight="1">
      <c r="A1668" s="1">
        <v>3036.0</v>
      </c>
      <c r="B1668" s="3">
        <v>155.0</v>
      </c>
      <c r="C1668" s="7" t="s">
        <v>1679</v>
      </c>
      <c r="D1668" s="8" t="str">
        <f>IFERROR(__xludf.DUMMYFUNCTION("GOOGLETRANSLATE(C1668, ""en"", ""pt"")"),"audacioso, destemido")</f>
        <v>audacioso, destemido</v>
      </c>
      <c r="E1668" s="8" t="str">
        <f>IFERROR(__xludf.DUMMYFUNCTION("GOOGLETRANSLATE(C1668, ""en"", ""es"")"),"audaz, intrépido")</f>
        <v>audaz, intrépido</v>
      </c>
      <c r="F1668" s="8" t="str">
        <f>IFERROR(__xludf.DUMMYFUNCTION("GOOGLETRANSLATE(C1668, ""en"", ""fr"")"),"audacieux, intrépide")</f>
        <v>audacieux, intrépide</v>
      </c>
      <c r="G1668" s="8" t="str">
        <f>IFERROR(__xludf.DUMMYFUNCTION("GOOGLETRANSLATE(C1668, ""en"", ""de"")"),"kühn, furchtlos")</f>
        <v>kühn, furchtlos</v>
      </c>
      <c r="H1668" s="8" t="str">
        <f>IFERROR(__xludf.DUMMYFUNCTION("GOOGLETRANSLATE(C1668, ""en"", ""ru"")"),"дерзкий, бесстрашный")</f>
        <v>дерзкий, бесстрашный</v>
      </c>
      <c r="I1668" s="8" t="str">
        <f>IFERROR(__xludf.DUMMYFUNCTION("GOOGLETRANSLATE(C1668, ""en"", ""ar"")"),"جريء، لا يخشى شيئاً")</f>
        <v>جريء، لا يخشى شيئاً</v>
      </c>
      <c r="J1668" s="8"/>
      <c r="K1668" s="7" t="str">
        <f>IFERROR(__xludf.DUMMYFUNCTION("CONCAT(REGEXREPLACE(C1668,""[ ,]+"",""_""),"".mp3"")"),"audacious_fearless.mp3")</f>
        <v>audacious_fearless.mp3</v>
      </c>
      <c r="M1668" s="4" t="s">
        <v>10</v>
      </c>
    </row>
    <row r="1669" ht="15.75" customHeight="1">
      <c r="A1669" s="1">
        <v>3037.0</v>
      </c>
      <c r="B1669" s="3">
        <v>155.0</v>
      </c>
      <c r="C1669" s="7" t="s">
        <v>1680</v>
      </c>
      <c r="D1669" s="8" t="str">
        <f>IFERROR(__xludf.DUMMYFUNCTION("GOOGLETRANSLATE(C1669, ""en"", ""pt"")"),"confundir, desorientar")</f>
        <v>confundir, desorientar</v>
      </c>
      <c r="E1669" s="8" t="str">
        <f>IFERROR(__xludf.DUMMYFUNCTION("GOOGLETRANSLATE(C1669, ""en"", ""es"")"),"desconcertar, confundir")</f>
        <v>desconcertar, confundir</v>
      </c>
      <c r="F1669" s="8" t="str">
        <f>IFERROR(__xludf.DUMMYFUNCTION("GOOGLETRANSLATE(C1669, ""en"", ""fr"")"),"déconcerter, embrouiller")</f>
        <v>déconcerter, embrouiller</v>
      </c>
      <c r="G1669" s="8" t="str">
        <f>IFERROR(__xludf.DUMMYFUNCTION("GOOGLETRANSLATE(C1669, ""en"", ""de"")"),"verwirren, verwirren")</f>
        <v>verwirren, verwirren</v>
      </c>
      <c r="H1669" s="8" t="str">
        <f>IFERROR(__xludf.DUMMYFUNCTION("GOOGLETRANSLATE(C1669, ""en"", ""ru"")"),"сбить с толку, запутать")</f>
        <v>сбить с толку, запутать</v>
      </c>
      <c r="I1669" s="8" t="str">
        <f>IFERROR(__xludf.DUMMYFUNCTION("GOOGLETRANSLATE(C1669, ""en"", ""ar"")"),"حيرة، إرباك")</f>
        <v>حيرة، إرباك</v>
      </c>
      <c r="J1669" s="8"/>
      <c r="K1669" s="7" t="str">
        <f>IFERROR(__xludf.DUMMYFUNCTION("CONCAT(REGEXREPLACE(C1669,""[ ,]+"",""_""),"".mp3"")"),"baffle_confuse.mp3")</f>
        <v>baffle_confuse.mp3</v>
      </c>
      <c r="M1669" s="4" t="s">
        <v>10</v>
      </c>
    </row>
    <row r="1670" ht="15.75" customHeight="1">
      <c r="A1670" s="1">
        <v>3038.0</v>
      </c>
      <c r="B1670" s="3">
        <v>155.0</v>
      </c>
      <c r="C1670" s="7" t="s">
        <v>1681</v>
      </c>
      <c r="D1670" s="8" t="str">
        <f>IFERROR(__xludf.DUMMYFUNCTION("GOOGLETRANSLATE(C1670, ""en"", ""pt"")"),"confessar, declarar")</f>
        <v>confessar, declarar</v>
      </c>
      <c r="E1670" s="8" t="str">
        <f>IFERROR(__xludf.DUMMYFUNCTION("GOOGLETRANSLATE(C1670, ""en"", ""es"")"),"afirmar, declarar")</f>
        <v>afirmar, declarar</v>
      </c>
      <c r="F1670" s="8" t="str">
        <f>IFERROR(__xludf.DUMMYFUNCTION("GOOGLETRANSLATE(C1670, ""en"", ""fr"")"),"avouer, déclarer")</f>
        <v>avouer, déclarer</v>
      </c>
      <c r="G1670" s="8" t="str">
        <f>IFERROR(__xludf.DUMMYFUNCTION("GOOGLETRANSLATE(C1670, ""en"", ""de"")"),"bekennen, erklären")</f>
        <v>bekennen, erklären</v>
      </c>
      <c r="H1670" s="8" t="str">
        <f>IFERROR(__xludf.DUMMYFUNCTION("GOOGLETRANSLATE(C1670, ""en"", ""ru"")"),"признать, заявить")</f>
        <v>признать, заявить</v>
      </c>
      <c r="I1670" s="8" t="str">
        <f>IFERROR(__xludf.DUMMYFUNCTION("GOOGLETRANSLATE(C1670, ""en"", ""ar"")"),"أقسم، أعلن")</f>
        <v>أقسم، أعلن</v>
      </c>
      <c r="J1670" s="8"/>
      <c r="K1670" s="7" t="str">
        <f>IFERROR(__xludf.DUMMYFUNCTION("CONCAT(REGEXREPLACE(C1670,""[ ,]+"",""_""),"".mp3"")"),"avow_declare.mp3")</f>
        <v>avow_declare.mp3</v>
      </c>
      <c r="M1670" s="4" t="s">
        <v>10</v>
      </c>
    </row>
    <row r="1671" ht="15.75" customHeight="1">
      <c r="A1671" s="1">
        <v>3039.0</v>
      </c>
      <c r="B1671" s="3">
        <v>155.0</v>
      </c>
      <c r="C1671" s="7" t="s">
        <v>1682</v>
      </c>
      <c r="D1671" s="8" t="str">
        <f>IFERROR(__xludf.DUMMYFUNCTION("GOOGLETRANSLATE(C1671, ""en"", ""pt"")"),"elogio, louvor")</f>
        <v>elogio, louvor</v>
      </c>
      <c r="E1671" s="8" t="str">
        <f>IFERROR(__xludf.DUMMYFUNCTION("GOOGLETRANSLATE(C1671, ""en"", ""es"")"),"elogio, alabanza")</f>
        <v>elogio, alabanza</v>
      </c>
      <c r="F1671" s="8" t="str">
        <f>IFERROR(__xludf.DUMMYFUNCTION("GOOGLETRANSLATE(C1671, ""en"", ""fr"")"),"éloge funèbre, louange")</f>
        <v>éloge funèbre, louange</v>
      </c>
      <c r="G1671" s="8" t="str">
        <f>IFERROR(__xludf.DUMMYFUNCTION("GOOGLETRANSLATE(C1671, ""en"", ""de"")"),"Lobrede, Lobpreis")</f>
        <v>Lobrede, Lobpreis</v>
      </c>
      <c r="H1671" s="8" t="str">
        <f>IFERROR(__xludf.DUMMYFUNCTION("GOOGLETRANSLATE(C1671, ""en"", ""ru"")"),"панегирик, хвала")</f>
        <v>панегирик, хвала</v>
      </c>
      <c r="I1671" s="8" t="str">
        <f>IFERROR(__xludf.DUMMYFUNCTION("GOOGLETRANSLATE(C1671, ""en"", ""ar"")"),"رثاء، مديح")</f>
        <v>رثاء، مديح</v>
      </c>
      <c r="J1671" s="8"/>
      <c r="K1671" s="7" t="str">
        <f>IFERROR(__xludf.DUMMYFUNCTION("CONCAT(REGEXREPLACE(C1671,""[ ,]+"",""_""),"".mp3"")"),"eulogy_praise.mp3")</f>
        <v>eulogy_praise.mp3</v>
      </c>
      <c r="M1671" s="4" t="s">
        <v>10</v>
      </c>
    </row>
    <row r="1672" ht="15.75" customHeight="1">
      <c r="A1672" s="1">
        <v>3040.0</v>
      </c>
      <c r="B1672" s="3">
        <v>155.0</v>
      </c>
      <c r="C1672" s="7" t="s">
        <v>1683</v>
      </c>
      <c r="D1672" s="8" t="str">
        <f>IFERROR(__xludf.DUMMYFUNCTION("GOOGLETRANSLATE(C1672, ""en"", ""pt"")"),"afastar, alienar")</f>
        <v>afastar, alienar</v>
      </c>
      <c r="E1672" s="8" t="str">
        <f>IFERROR(__xludf.DUMMYFUNCTION("GOOGLETRANSLATE(C1672, ""en"", ""es"")"),"extrañar, alienar")</f>
        <v>extrañar, alienar</v>
      </c>
      <c r="F1672" s="8" t="str">
        <f>IFERROR(__xludf.DUMMYFUNCTION("GOOGLETRANSLATE(C1672, ""en"", ""fr"")"),"éloigner, aliéner")</f>
        <v>éloigner, aliéner</v>
      </c>
      <c r="G1672" s="8" t="str">
        <f>IFERROR(__xludf.DUMMYFUNCTION("GOOGLETRANSLATE(C1672, ""en"", ""de"")"),"entfremden, entfremden")</f>
        <v>entfremden, entfremden</v>
      </c>
      <c r="H1672" s="8" t="str">
        <f>IFERROR(__xludf.DUMMYFUNCTION("GOOGLETRANSLATE(C1672, ""en"", ""ru"")"),"отчуждать, отчуждать")</f>
        <v>отчуждать, отчуждать</v>
      </c>
      <c r="I1672" s="8" t="str">
        <f>IFERROR(__xludf.DUMMYFUNCTION("GOOGLETRANSLATE(C1672, ""en"", ""ar"")"),"نفور، اغتراب")</f>
        <v>نفور، اغتراب</v>
      </c>
      <c r="J1672" s="8"/>
      <c r="K1672" s="7" t="str">
        <f>IFERROR(__xludf.DUMMYFUNCTION("CONCAT(REGEXREPLACE(C1672,""[ ,]+"",""_""),"".mp3"")"),"estrange_alienate.mp3")</f>
        <v>estrange_alienate.mp3</v>
      </c>
      <c r="M1672" s="4" t="s">
        <v>10</v>
      </c>
    </row>
    <row r="1673" ht="15.75" customHeight="1">
      <c r="A1673" s="1">
        <v>3041.0</v>
      </c>
      <c r="B1673" s="3">
        <v>155.0</v>
      </c>
      <c r="C1673" s="7" t="s">
        <v>1684</v>
      </c>
      <c r="D1673" s="8" t="str">
        <f>IFERROR(__xludf.DUMMYFUNCTION("GOOGLETRANSLATE(C1673, ""en"", ""pt"")"),"efêmero, momentâneo")</f>
        <v>efêmero, momentâneo</v>
      </c>
      <c r="E1673" s="8" t="str">
        <f>IFERROR(__xludf.DUMMYFUNCTION("GOOGLETRANSLATE(C1673, ""en"", ""es"")"),"efímero, momentáneo")</f>
        <v>efímero, momentáneo</v>
      </c>
      <c r="F1673" s="8" t="str">
        <f>IFERROR(__xludf.DUMMYFUNCTION("GOOGLETRANSLATE(C1673, ""en"", ""fr"")"),"éphémère, momentané")</f>
        <v>éphémère, momentané</v>
      </c>
      <c r="G1673" s="8" t="str">
        <f>IFERROR(__xludf.DUMMYFUNCTION("GOOGLETRANSLATE(C1673, ""en"", ""de"")"),"flüchtig, kurzzeitig")</f>
        <v>flüchtig, kurzzeitig</v>
      </c>
      <c r="H1673" s="8" t="str">
        <f>IFERROR(__xludf.DUMMYFUNCTION("GOOGLETRANSLATE(C1673, ""en"", ""ru"")"),"эфемерный, мгновенный")</f>
        <v>эфемерный, мгновенный</v>
      </c>
      <c r="I1673" s="8" t="str">
        <f>IFERROR(__xludf.DUMMYFUNCTION("GOOGLETRANSLATE(C1673, ""en"", ""ar"")"),"عابر، لحظي")</f>
        <v>عابر، لحظي</v>
      </c>
      <c r="J1673" s="8"/>
      <c r="K1673" s="7" t="str">
        <f>IFERROR(__xludf.DUMMYFUNCTION("CONCAT(REGEXREPLACE(C1673,""[ ,]+"",""_""),"".mp3"")"),"ephemeral_momentary.mp3")</f>
        <v>ephemeral_momentary.mp3</v>
      </c>
      <c r="M1673" s="4" t="s">
        <v>10</v>
      </c>
    </row>
    <row r="1674" ht="15.75" customHeight="1">
      <c r="A1674" s="1">
        <v>3042.0</v>
      </c>
      <c r="B1674" s="3">
        <v>155.0</v>
      </c>
      <c r="C1674" s="7" t="s">
        <v>1685</v>
      </c>
      <c r="D1674" s="8" t="str">
        <f>IFERROR(__xludf.DUMMYFUNCTION("GOOGLETRANSLATE(C1674, ""en"", ""pt"")"),"transitório, momentâneo")</f>
        <v>transitório, momentâneo</v>
      </c>
      <c r="E1674" s="8" t="str">
        <f>IFERROR(__xludf.DUMMYFUNCTION("GOOGLETRANSLATE(C1674, ""en"", ""es"")"),"transitorio, momentáneo")</f>
        <v>transitorio, momentáneo</v>
      </c>
      <c r="F1674" s="8" t="str">
        <f>IFERROR(__xludf.DUMMYFUNCTION("GOOGLETRANSLATE(C1674, ""en"", ""fr"")"),"transitoire, momentané")</f>
        <v>transitoire, momentané</v>
      </c>
      <c r="G1674" s="8" t="str">
        <f>IFERROR(__xludf.DUMMYFUNCTION("GOOGLETRANSLATE(C1674, ""en"", ""de"")"),"vorübergehend, momentan")</f>
        <v>vorübergehend, momentan</v>
      </c>
      <c r="H1674" s="8" t="str">
        <f>IFERROR(__xludf.DUMMYFUNCTION("GOOGLETRANSLATE(C1674, ""en"", ""ru"")"),"преходящий, мгновенный")</f>
        <v>преходящий, мгновенный</v>
      </c>
      <c r="I1674" s="8" t="str">
        <f>IFERROR(__xludf.DUMMYFUNCTION("GOOGLETRANSLATE(C1674, ""en"", ""ar"")"),"عابر، لحظي")</f>
        <v>عابر، لحظي</v>
      </c>
      <c r="J1674" s="8"/>
      <c r="K1674" s="7" t="str">
        <f>IFERROR(__xludf.DUMMYFUNCTION("CONCAT(REGEXREPLACE(C1674,""[ ,]+"",""_""),"".mp3"")"),"transitory_momentary.mp3")</f>
        <v>transitory_momentary.mp3</v>
      </c>
      <c r="M1674" s="4" t="s">
        <v>10</v>
      </c>
    </row>
    <row r="1675" ht="15.75" customHeight="1">
      <c r="A1675" s="1">
        <v>3043.0</v>
      </c>
      <c r="B1675" s="3">
        <v>155.0</v>
      </c>
      <c r="C1675" s="7" t="s">
        <v>1686</v>
      </c>
      <c r="D1675" s="8" t="str">
        <f>IFERROR(__xludf.DUMMYFUNCTION("GOOGLETRANSLATE(C1675, ""en"", ""pt"")"),"transitório, momentâneo")</f>
        <v>transitório, momentâneo</v>
      </c>
      <c r="E1675" s="8" t="str">
        <f>IFERROR(__xludf.DUMMYFUNCTION("GOOGLETRANSLATE(C1675, ""en"", ""es"")"),"transitorio, momentáneo")</f>
        <v>transitorio, momentáneo</v>
      </c>
      <c r="F1675" s="8" t="str">
        <f>IFERROR(__xludf.DUMMYFUNCTION("GOOGLETRANSLATE(C1675, ""en"", ""fr"")"),"transitoire, momentané")</f>
        <v>transitoire, momentané</v>
      </c>
      <c r="G1675" s="8" t="str">
        <f>IFERROR(__xludf.DUMMYFUNCTION("GOOGLETRANSLATE(C1675, ""en"", ""de"")"),"vorübergehend, momentan")</f>
        <v>vorübergehend, momentan</v>
      </c>
      <c r="H1675" s="8" t="str">
        <f>IFERROR(__xludf.DUMMYFUNCTION("GOOGLETRANSLATE(C1675, ""en"", ""ru"")"),"преходящий, мгновенный")</f>
        <v>преходящий, мгновенный</v>
      </c>
      <c r="I1675" s="8" t="str">
        <f>IFERROR(__xludf.DUMMYFUNCTION("GOOGLETRANSLATE(C1675, ""en"", ""ar"")"),"عابر، لحظي")</f>
        <v>عابر، لحظي</v>
      </c>
      <c r="J1675" s="8"/>
      <c r="K1675" s="7" t="str">
        <f>IFERROR(__xludf.DUMMYFUNCTION("CONCAT(REGEXREPLACE(C1675,""[ ,]+"",""_""),"".mp3"")"),"transient_momentary.mp3")</f>
        <v>transient_momentary.mp3</v>
      </c>
      <c r="M1675" s="4" t="s">
        <v>10</v>
      </c>
    </row>
    <row r="1676" ht="15.75" customHeight="1">
      <c r="A1676" s="1">
        <v>3044.0</v>
      </c>
      <c r="B1676" s="3">
        <v>155.0</v>
      </c>
      <c r="C1676" s="7" t="s">
        <v>1687</v>
      </c>
      <c r="D1676" s="8" t="str">
        <f>IFERROR(__xludf.DUMMYFUNCTION("GOOGLETRANSLATE(C1676, ""en"", ""pt"")"),"urgência, emergência")</f>
        <v>urgência, emergência</v>
      </c>
      <c r="E1676" s="8" t="str">
        <f>IFERROR(__xludf.DUMMYFUNCTION("GOOGLETRANSLATE(C1676, ""en"", ""es"")"),"urgencia, emergencia")</f>
        <v>urgencia, emergencia</v>
      </c>
      <c r="F1676" s="8" t="str">
        <f>IFERROR(__xludf.DUMMYFUNCTION("GOOGLETRANSLATE(C1676, ""en"", ""fr"")"),"situation d'urgence, urgence")</f>
        <v>situation d'urgence, urgence</v>
      </c>
      <c r="G1676" s="8" t="str">
        <f>IFERROR(__xludf.DUMMYFUNCTION("GOOGLETRANSLATE(C1676, ""en"", ""de"")"),"Notstand")</f>
        <v>Notstand</v>
      </c>
      <c r="H1676" s="8" t="str">
        <f>IFERROR(__xludf.DUMMYFUNCTION("GOOGLETRANSLATE(C1676, ""en"", ""ru"")"),"чрезвычайное положение, экстренная ситуация")</f>
        <v>чрезвычайное положение, экстренная ситуация</v>
      </c>
      <c r="I1676" s="8" t="str">
        <f>IFERROR(__xludf.DUMMYFUNCTION("GOOGLETRANSLATE(C1676, ""en"", ""ar"")"),"حالة طارئة، حالة طوارئ")</f>
        <v>حالة طارئة، حالة طوارئ</v>
      </c>
      <c r="J1676" s="8"/>
      <c r="K1676" s="7" t="str">
        <f>IFERROR(__xludf.DUMMYFUNCTION("CONCAT(REGEXREPLACE(C1676,""[ ,]+"",""_""),"".mp3"")"),"exigency_emergency.mp3")</f>
        <v>exigency_emergency.mp3</v>
      </c>
      <c r="M1676" s="4" t="s">
        <v>10</v>
      </c>
    </row>
    <row r="1677" ht="15.75" customHeight="1">
      <c r="A1677" s="1">
        <v>3045.0</v>
      </c>
      <c r="B1677" s="3">
        <v>155.0</v>
      </c>
      <c r="C1677" s="7" t="s">
        <v>1688</v>
      </c>
      <c r="D1677" s="8" t="str">
        <f>IFERROR(__xludf.DUMMYFUNCTION("GOOGLETRANSLATE(C1677, ""en"", ""pt"")"),"protestar, protestar")</f>
        <v>protestar, protestar</v>
      </c>
      <c r="E1677" s="8" t="str">
        <f>IFERROR(__xludf.DUMMYFUNCTION("GOOGLETRANSLATE(C1677, ""en"", ""es"")"),"protestar, manifestarse")</f>
        <v>protestar, manifestarse</v>
      </c>
      <c r="F1677" s="8" t="str">
        <f>IFERROR(__xludf.DUMMYFUNCTION("GOOGLETRANSLATE(C1677, ""en"", ""fr"")"),"protester, manifester")</f>
        <v>protester, manifester</v>
      </c>
      <c r="G1677" s="8" t="str">
        <f>IFERROR(__xludf.DUMMYFUNCTION("GOOGLETRANSLATE(C1677, ""en"", ""de"")"),"ausrufen, protestieren")</f>
        <v>ausrufen, protestieren</v>
      </c>
      <c r="H1677" s="8" t="str">
        <f>IFERROR(__xludf.DUMMYFUNCTION("GOOGLETRANSLATE(C1677, ""en"", ""ru"")"),"возмущаться, протестовать")</f>
        <v>возмущаться, протестовать</v>
      </c>
      <c r="I1677" s="8" t="str">
        <f>IFERROR(__xludf.DUMMYFUNCTION("GOOGLETRANSLATE(C1677, ""en"", ""ar"")"),"استنكر، احتج")</f>
        <v>استنكر، احتج</v>
      </c>
      <c r="J1677" s="8"/>
      <c r="K1677" s="7" t="str">
        <f>IFERROR(__xludf.DUMMYFUNCTION("CONCAT(REGEXREPLACE(C1677,""[ ,]+"",""_""),"".mp3"")"),"expostulate_protest.mp3")</f>
        <v>expostulate_protest.mp3</v>
      </c>
      <c r="M1677" s="4" t="s">
        <v>10</v>
      </c>
    </row>
    <row r="1678" ht="15.75" customHeight="1">
      <c r="A1678" s="1">
        <v>3046.0</v>
      </c>
      <c r="B1678" s="3">
        <v>155.0</v>
      </c>
      <c r="C1678" s="7" t="s">
        <v>1689</v>
      </c>
      <c r="D1678" s="8" t="str">
        <f>IFERROR(__xludf.DUMMYFUNCTION("GOOGLETRANSLATE(C1678, ""en"", ""pt"")"),"atrair, seduzir")</f>
        <v>atrair, seduzir</v>
      </c>
      <c r="E1678" s="8" t="str">
        <f>IFERROR(__xludf.DUMMYFUNCTION("GOOGLETRANSLATE(C1678, ""en"", ""es"")"),"atraer, seducir")</f>
        <v>atraer, seducir</v>
      </c>
      <c r="F1678" s="8" t="str">
        <f>IFERROR(__xludf.DUMMYFUNCTION("GOOGLETRANSLATE(C1678, ""en"", ""fr"")"),"attirer, séduire")</f>
        <v>attirer, séduire</v>
      </c>
      <c r="G1678" s="8" t="str">
        <f>IFERROR(__xludf.DUMMYFUNCTION("GOOGLETRANSLATE(C1678, ""en"", ""de"")"),"anlocken, verführen")</f>
        <v>anlocken, verführen</v>
      </c>
      <c r="H1678" s="8" t="str">
        <f>IFERROR(__xludf.DUMMYFUNCTION("GOOGLETRANSLATE(C1678, ""en"", ""ru"")"),"соблазнять, заманивать")</f>
        <v>соблазнять, заманивать</v>
      </c>
      <c r="I1678" s="8" t="str">
        <f>IFERROR(__xludf.DUMMYFUNCTION("GOOGLETRANSLATE(C1678, ""en"", ""ar"")"),"إغراء، إغراء")</f>
        <v>إغراء، إغراء</v>
      </c>
      <c r="J1678" s="8"/>
      <c r="K1678" s="7" t="str">
        <f>IFERROR(__xludf.DUMMYFUNCTION("CONCAT(REGEXREPLACE(C1678,""[ ,]+"",""_""),"".mp3"")"),"entice_lure.mp3")</f>
        <v>entice_lure.mp3</v>
      </c>
      <c r="M1678" s="4" t="s">
        <v>10</v>
      </c>
    </row>
    <row r="1679" ht="15.75" customHeight="1">
      <c r="A1679" s="1">
        <v>3047.0</v>
      </c>
      <c r="B1679" s="3">
        <v>155.0</v>
      </c>
      <c r="C1679" s="7" t="s">
        <v>1690</v>
      </c>
      <c r="D1679" s="8" t="str">
        <f>IFERROR(__xludf.DUMMYFUNCTION("GOOGLETRANSLATE(C1679, ""en"", ""pt"")"),"cativar, fascinar")</f>
        <v>cativar, fascinar</v>
      </c>
      <c r="E1679" s="8" t="str">
        <f>IFERROR(__xludf.DUMMYFUNCTION("GOOGLETRANSLATE(C1679, ""en"", ""es"")"),"cautivar, fascinar")</f>
        <v>cautivar, fascinar</v>
      </c>
      <c r="F1679" s="8" t="str">
        <f>IFERROR(__xludf.DUMMYFUNCTION("GOOGLETRANSLATE(C1679, ""en"", ""fr"")"),"captiver, fasciner")</f>
        <v>captiver, fasciner</v>
      </c>
      <c r="G1679" s="8" t="str">
        <f>IFERROR(__xludf.DUMMYFUNCTION("GOOGLETRANSLATE(C1679, ""en"", ""de"")"),"fesseln, faszinieren")</f>
        <v>fesseln, faszinieren</v>
      </c>
      <c r="H1679" s="8" t="str">
        <f>IFERROR(__xludf.DUMMYFUNCTION("GOOGLETRANSLATE(C1679, ""en"", ""ru"")"),"очаровывать, завораживать")</f>
        <v>очаровывать, завораживать</v>
      </c>
      <c r="I1679" s="8" t="str">
        <f>IFERROR(__xludf.DUMMYFUNCTION("GOOGLETRANSLATE(C1679, ""en"", ""ar"")"),"يأسر، يبهر")</f>
        <v>يأسر، يبهر</v>
      </c>
      <c r="J1679" s="8"/>
      <c r="K1679" s="7" t="str">
        <f>IFERROR(__xludf.DUMMYFUNCTION("CONCAT(REGEXREPLACE(C1679,""[ ,]+"",""_""),"".mp3"")"),"enthrall_fascinate.mp3")</f>
        <v>enthrall_fascinate.mp3</v>
      </c>
      <c r="M1679" s="4" t="s">
        <v>10</v>
      </c>
    </row>
    <row r="1680" ht="15.75" customHeight="1">
      <c r="A1680" s="1">
        <v>3048.0</v>
      </c>
      <c r="B1680" s="3">
        <v>155.0</v>
      </c>
      <c r="C1680" s="7" t="s">
        <v>1691</v>
      </c>
      <c r="D1680" s="8" t="str">
        <f>IFERROR(__xludf.DUMMYFUNCTION("GOOGLETRANSLATE(C1680, ""en"", ""pt"")"),"gerar, produzir")</f>
        <v>gerar, produzir</v>
      </c>
      <c r="E1680" s="8" t="str">
        <f>IFERROR(__xludf.DUMMYFUNCTION("GOOGLETRANSLATE(C1680, ""en"", ""es"")"),"engendrar, producir")</f>
        <v>engendrar, producir</v>
      </c>
      <c r="F1680" s="8" t="str">
        <f>IFERROR(__xludf.DUMMYFUNCTION("GOOGLETRANSLATE(C1680, ""en"", ""fr"")"),"engendrer, produire")</f>
        <v>engendrer, produire</v>
      </c>
      <c r="G1680" s="8" t="str">
        <f>IFERROR(__xludf.DUMMYFUNCTION("GOOGLETRANSLATE(C1680, ""en"", ""de"")"),"erzeugen, hervorbringen")</f>
        <v>erzeugen, hervorbringen</v>
      </c>
      <c r="H1680" s="8" t="str">
        <f>IFERROR(__xludf.DUMMYFUNCTION("GOOGLETRANSLATE(C1680, ""en"", ""ru"")"),"порождать, производить")</f>
        <v>порождать, производить</v>
      </c>
      <c r="I1680" s="8" t="str">
        <f>IFERROR(__xludf.DUMMYFUNCTION("GOOGLETRANSLATE(C1680, ""en"", ""ar"")"),"إنجاب، إنتاج")</f>
        <v>إنجاب، إنتاج</v>
      </c>
      <c r="J1680" s="8"/>
      <c r="K1680" s="7" t="str">
        <f>IFERROR(__xludf.DUMMYFUNCTION("CONCAT(REGEXREPLACE(C1680,""[ ,]+"",""_""),"".mp3"")"),"engender_produce.mp3")</f>
        <v>engender_produce.mp3</v>
      </c>
      <c r="M1680" s="4" t="s">
        <v>10</v>
      </c>
    </row>
    <row r="1681" ht="15.75" customHeight="1">
      <c r="A1681" s="1">
        <v>3049.0</v>
      </c>
      <c r="B1681" s="3">
        <v>155.0</v>
      </c>
      <c r="C1681" s="7" t="s">
        <v>1562</v>
      </c>
      <c r="D1681" s="8" t="str">
        <f>IFERROR(__xludf.DUMMYFUNCTION("GOOGLETRANSLATE(C1681, ""en"", ""pt"")"),"enigma, quebra-cabeça")</f>
        <v>enigma, quebra-cabeça</v>
      </c>
      <c r="E1681" s="8" t="str">
        <f>IFERROR(__xludf.DUMMYFUNCTION("GOOGLETRANSLATE(C1681, ""en"", ""es"")"),"enigma, rompecabezas")</f>
        <v>enigma, rompecabezas</v>
      </c>
      <c r="F1681" s="8" t="str">
        <f>IFERROR(__xludf.DUMMYFUNCTION("GOOGLETRANSLATE(C1681, ""en"", ""fr"")"),"énigme, casse-tête")</f>
        <v>énigme, casse-tête</v>
      </c>
      <c r="G1681" s="8" t="str">
        <f>IFERROR(__xludf.DUMMYFUNCTION("GOOGLETRANSLATE(C1681, ""en"", ""de"")"),"Rätsel, Puzzle")</f>
        <v>Rätsel, Puzzle</v>
      </c>
      <c r="H1681" s="8" t="str">
        <f>IFERROR(__xludf.DUMMYFUNCTION("GOOGLETRANSLATE(C1681, ""en"", ""ru"")"),"загадка, головоломка")</f>
        <v>загадка, головоломка</v>
      </c>
      <c r="I1681" s="8" t="str">
        <f>IFERROR(__xludf.DUMMYFUNCTION("GOOGLETRANSLATE(C1681, ""en"", ""ar"")"),"لغز، أحجية")</f>
        <v>لغز، أحجية</v>
      </c>
      <c r="J1681" s="8"/>
      <c r="K1681" s="7" t="str">
        <f>IFERROR(__xludf.DUMMYFUNCTION("CONCAT(REGEXREPLACE(C1681,""[ ,]+"",""_""),"".mp3"")"),"enigma_puzzle.mp3")</f>
        <v>enigma_puzzle.mp3</v>
      </c>
      <c r="M1681" s="4" t="s">
        <v>10</v>
      </c>
    </row>
    <row r="1682" ht="15.75" customHeight="1">
      <c r="A1682" s="1">
        <v>3050.0</v>
      </c>
      <c r="B1682" s="3">
        <v>155.0</v>
      </c>
      <c r="C1682" s="7" t="s">
        <v>1692</v>
      </c>
      <c r="D1682" s="8" t="str">
        <f>IFERROR(__xludf.DUMMYFUNCTION("GOOGLETRANSLATE(C1682, ""en"", ""pt"")"),"enganar, ludibriar")</f>
        <v>enganar, ludibriar</v>
      </c>
      <c r="E1682" s="8" t="str">
        <f>IFERROR(__xludf.DUMMYFUNCTION("GOOGLETRANSLATE(C1682, ""en"", ""es"")"),"engañar, embaucar")</f>
        <v>engañar, embaucar</v>
      </c>
      <c r="F1682" s="8" t="str">
        <f>IFERROR(__xludf.DUMMYFUNCTION("GOOGLETRANSLATE(C1682, ""en"", ""fr"")"),"duper, tromper")</f>
        <v>duper, tromper</v>
      </c>
      <c r="G1682" s="8" t="str">
        <f>IFERROR(__xludf.DUMMYFUNCTION("GOOGLETRANSLATE(C1682, ""en"", ""de"")"),"betrügen, täuschen")</f>
        <v>betrügen, täuschen</v>
      </c>
      <c r="H1682" s="8" t="str">
        <f>IFERROR(__xludf.DUMMYFUNCTION("GOOGLETRANSLATE(C1682, ""en"", ""ru"")"),"обманывать, вводить в заблуждение")</f>
        <v>обманывать, вводить в заблуждение</v>
      </c>
      <c r="I1682" s="8" t="str">
        <f>IFERROR(__xludf.DUMMYFUNCTION("GOOGLETRANSLATE(C1682, ""en"", ""ar"")"),"خداع، تضليل")</f>
        <v>خداع، تضليل</v>
      </c>
      <c r="J1682" s="8"/>
      <c r="K1682" s="7" t="str">
        <f>IFERROR(__xludf.DUMMYFUNCTION("CONCAT(REGEXREPLACE(C1682,""[ ,]+"",""_""),"".mp3"")"),"dupe_deceive.mp3")</f>
        <v>dupe_deceive.mp3</v>
      </c>
      <c r="M1682" s="4" t="s">
        <v>10</v>
      </c>
    </row>
    <row r="1683" ht="15.75" customHeight="1">
      <c r="A1683" s="1">
        <v>3051.0</v>
      </c>
      <c r="B1683" s="3">
        <v>155.0</v>
      </c>
      <c r="C1683" s="7" t="s">
        <v>1693</v>
      </c>
      <c r="D1683" s="8" t="str">
        <f>IFERROR(__xludf.DUMMYFUNCTION("GOOGLETRANSLATE(C1683, ""en"", ""pt"")"),"enganar, ludibriar")</f>
        <v>enganar, ludibriar</v>
      </c>
      <c r="E1683" s="8" t="str">
        <f>IFERROR(__xludf.DUMMYFUNCTION("GOOGLETRANSLATE(C1683, ""en"", ""es"")"),"estafar, engañar")</f>
        <v>estafar, engañar</v>
      </c>
      <c r="F1683" s="8" t="str">
        <f>IFERROR(__xludf.DUMMYFUNCTION("GOOGLETRANSLATE(C1683, ""en"", ""fr"")"),"escroquer, tromper")</f>
        <v>escroquer, tromper</v>
      </c>
      <c r="G1683" s="8" t="str">
        <f>IFERROR(__xludf.DUMMYFUNCTION("GOOGLETRANSLATE(C1683, ""en"", ""de"")"),"betrügen, täuschen")</f>
        <v>betrügen, täuschen</v>
      </c>
      <c r="H1683" s="8" t="str">
        <f>IFERROR(__xludf.DUMMYFUNCTION("GOOGLETRANSLATE(C1683, ""en"", ""ru"")"),"обманывать, вводить в заблуждение")</f>
        <v>обманывать, вводить в заблуждение</v>
      </c>
      <c r="I1683" s="8" t="str">
        <f>IFERROR(__xludf.DUMMYFUNCTION("GOOGLETRANSLATE(C1683, ""en"", ""ar"")"),"الاحتيال والخداع")</f>
        <v>الاحتيال والخداع</v>
      </c>
      <c r="J1683" s="8"/>
      <c r="K1683" s="7" t="str">
        <f>IFERROR(__xludf.DUMMYFUNCTION("CONCAT(REGEXREPLACE(C1683,""[ ,]+"",""_""),"".mp3"")"),"swindle_deceive.mp3")</f>
        <v>swindle_deceive.mp3</v>
      </c>
      <c r="M1683" s="4" t="s">
        <v>10</v>
      </c>
    </row>
    <row r="1684" ht="15.75" customHeight="1">
      <c r="A1684" s="1">
        <v>3052.0</v>
      </c>
      <c r="B1684" s="3">
        <v>155.0</v>
      </c>
      <c r="C1684" s="7" t="s">
        <v>1694</v>
      </c>
      <c r="D1684" s="8" t="str">
        <f>IFERROR(__xludf.DUMMYFUNCTION("GOOGLETRANSLATE(C1684, ""en"", ""pt"")"),"repreender, repreender")</f>
        <v>repreender, repreender</v>
      </c>
      <c r="E1684" s="8" t="str">
        <f>IFERROR(__xludf.DUMMYFUNCTION("GOOGLETRANSLATE(C1684, ""en"", ""es"")"),"reprender, regañar")</f>
        <v>reprender, regañar</v>
      </c>
      <c r="F1684" s="8" t="str">
        <f>IFERROR(__xludf.DUMMYFUNCTION("GOOGLETRANSLATE(C1684, ""en"", ""fr"")"),"réprimander, gronder")</f>
        <v>réprimander, gronder</v>
      </c>
      <c r="G1684" s="8" t="str">
        <f>IFERROR(__xludf.DUMMYFUNCTION("GOOGLETRANSLATE(C1684, ""en"", ""de"")"),"zur Rede stellen, tadeln")</f>
        <v>zur Rede stellen, tadeln</v>
      </c>
      <c r="H1684" s="8" t="str">
        <f>IFERROR(__xludf.DUMMYFUNCTION("GOOGLETRANSLATE(C1684, ""en"", ""ru"")"),"отчитывать, ругать")</f>
        <v>отчитывать, ругать</v>
      </c>
      <c r="I1684" s="8" t="str">
        <f>IFERROR(__xludf.DUMMYFUNCTION("GOOGLETRANSLATE(C1684, ""en"", ""ar"")"),"محاسبة، توبيخ")</f>
        <v>محاسبة، توبيخ</v>
      </c>
      <c r="J1684" s="8"/>
      <c r="K1684" s="7" t="str">
        <f>IFERROR(__xludf.DUMMYFUNCTION("CONCAT(REGEXREPLACE(C1684,""[ ,]+"",""_""),"".mp3"")"),"take_to_task_scold.mp3")</f>
        <v>take_to_task_scold.mp3</v>
      </c>
      <c r="M1684" s="4" t="s">
        <v>10</v>
      </c>
    </row>
    <row r="1685" ht="15.75" customHeight="1">
      <c r="A1685" s="1">
        <v>3053.0</v>
      </c>
      <c r="B1685" s="3">
        <v>155.0</v>
      </c>
      <c r="C1685" s="7" t="s">
        <v>1695</v>
      </c>
      <c r="D1685" s="8" t="str">
        <f>IFERROR(__xludf.DUMMYFUNCTION("GOOGLETRANSLATE(C1685, ""en"", ""pt"")"),"perplexo, espantoso")</f>
        <v>perplexo, espantoso</v>
      </c>
      <c r="E1685" s="8" t="str">
        <f>IFERROR(__xludf.DUMMYFUNCTION("GOOGLETRANSLATE(C1685, ""en"", ""es"")"),"estupefacto, asombrado")</f>
        <v>estupefacto, asombrado</v>
      </c>
      <c r="F1685" s="8" t="str">
        <f>IFERROR(__xludf.DUMMYFUNCTION("GOOGLETRANSLATE(C1685, ""en"", ""fr"")"),"stupéfait, abasourdi")</f>
        <v>stupéfait, abasourdi</v>
      </c>
      <c r="G1685" s="8" t="str">
        <f>IFERROR(__xludf.DUMMYFUNCTION("GOOGLETRANSLATE(C1685, ""en"", ""de"")"),"verblüfft, erstaunt")</f>
        <v>verblüfft, erstaunt</v>
      </c>
      <c r="H1685" s="8" t="str">
        <f>IFERROR(__xludf.DUMMYFUNCTION("GOOGLETRANSLATE(C1685, ""en"", ""ru"")"),"ошеломлен, поражен")</f>
        <v>ошеломлен, поражен</v>
      </c>
      <c r="I1685" s="8" t="str">
        <f>IFERROR(__xludf.DUMMYFUNCTION("GOOGLETRANSLATE(C1685, ""en"", ""ar"")"),"مذهول، مندهش")</f>
        <v>مذهول، مندهش</v>
      </c>
      <c r="J1685" s="8"/>
      <c r="K1685" s="7" t="str">
        <f>IFERROR(__xludf.DUMMYFUNCTION("CONCAT(REGEXREPLACE(C1685,""[ ,]+"",""_""),"".mp3"")"),"flabbergast_astonish.mp3")</f>
        <v>flabbergast_astonish.mp3</v>
      </c>
      <c r="M1685" s="4" t="s">
        <v>10</v>
      </c>
    </row>
    <row r="1686" ht="15.75" customHeight="1">
      <c r="A1686" s="1">
        <v>3054.0</v>
      </c>
      <c r="B1686" s="3">
        <v>155.0</v>
      </c>
      <c r="C1686" s="7" t="s">
        <v>1696</v>
      </c>
      <c r="D1686" s="8" t="str">
        <f>IFERROR(__xludf.DUMMYFUNCTION("GOOGLETRANSLATE(C1686, ""en"", ""pt"")"),"susto, surpresa")</f>
        <v>susto, surpresa</v>
      </c>
      <c r="E1686" s="8" t="str">
        <f>IFERROR(__xludf.DUMMYFUNCTION("GOOGLETRANSLATE(C1686, ""en"", ""es"")"),"sobresalto, sorpresa")</f>
        <v>sobresalto, sorpresa</v>
      </c>
      <c r="F1686" s="8" t="str">
        <f>IFERROR(__xludf.DUMMYFUNCTION("GOOGLETRANSLATE(C1686, ""en"", ""fr"")"),"sursauter, surprendre")</f>
        <v>sursauter, surprendre</v>
      </c>
      <c r="G1686" s="8" t="str">
        <f>IFERROR(__xludf.DUMMYFUNCTION("GOOGLETRANSLATE(C1686, ""en"", ""de"")"),"erschrecken, überraschen")</f>
        <v>erschrecken, überraschen</v>
      </c>
      <c r="H1686" s="8" t="str">
        <f>IFERROR(__xludf.DUMMYFUNCTION("GOOGLETRANSLATE(C1686, ""en"", ""ru"")"),"испугать, удивить")</f>
        <v>испугать, удивить</v>
      </c>
      <c r="I1686" s="8" t="str">
        <f>IFERROR(__xludf.DUMMYFUNCTION("GOOGLETRANSLATE(C1686, ""en"", ""ar"")"),"فزع، مفاجأة")</f>
        <v>فزع، مفاجأة</v>
      </c>
      <c r="J1686" s="8"/>
      <c r="K1686" s="7" t="str">
        <f>IFERROR(__xludf.DUMMYFUNCTION("CONCAT(REGEXREPLACE(C1686,""[ ,]+"",""_""),"".mp3"")"),"startle_surprise.mp3")</f>
        <v>startle_surprise.mp3</v>
      </c>
      <c r="M1686" s="4" t="s">
        <v>10</v>
      </c>
    </row>
    <row r="1687" ht="15.75" customHeight="1">
      <c r="A1687" s="1">
        <v>3055.0</v>
      </c>
      <c r="B1687" s="3">
        <v>155.0</v>
      </c>
      <c r="C1687" s="7" t="s">
        <v>1697</v>
      </c>
      <c r="D1687" s="8" t="str">
        <f>IFERROR(__xludf.DUMMYFUNCTION("GOOGLETRANSLATE(C1687, ""en"", ""pt"")"),"hiato, intervalo")</f>
        <v>hiato, intervalo</v>
      </c>
      <c r="E1687" s="8" t="str">
        <f>IFERROR(__xludf.DUMMYFUNCTION("GOOGLETRANSLATE(C1687, ""en"", ""es"")"),"pausa, intervalo")</f>
        <v>pausa, intervalo</v>
      </c>
      <c r="F1687" s="8" t="str">
        <f>IFERROR(__xludf.DUMMYFUNCTION("GOOGLETRANSLATE(C1687, ""en"", ""fr"")"),"hiatus, intervalle")</f>
        <v>hiatus, intervalle</v>
      </c>
      <c r="G1687" s="8" t="str">
        <f>IFERROR(__xludf.DUMMYFUNCTION("GOOGLETRANSLATE(C1687, ""en"", ""de"")"),"Pause, Intervall")</f>
        <v>Pause, Intervall</v>
      </c>
      <c r="H1687" s="8" t="str">
        <f>IFERROR(__xludf.DUMMYFUNCTION("GOOGLETRANSLATE(C1687, ""en"", ""ru"")"),"перерыв, интервал")</f>
        <v>перерыв, интервал</v>
      </c>
      <c r="I1687" s="8" t="str">
        <f>IFERROR(__xludf.DUMMYFUNCTION("GOOGLETRANSLATE(C1687, ""en"", ""ar"")"),"انقطاع، فاصل")</f>
        <v>انقطاع، فاصل</v>
      </c>
      <c r="J1687" s="8"/>
      <c r="K1687" s="7" t="str">
        <f>IFERROR(__xludf.DUMMYFUNCTION("CONCAT(REGEXREPLACE(C1687,""[ ,]+"",""_""),"".mp3"")"),"hiatus_interval.mp3")</f>
        <v>hiatus_interval.mp3</v>
      </c>
      <c r="M1687" s="4" t="s">
        <v>10</v>
      </c>
    </row>
    <row r="1688" ht="15.75" customHeight="1">
      <c r="A1688" s="1">
        <v>3056.0</v>
      </c>
      <c r="B1688" s="3">
        <v>155.0</v>
      </c>
      <c r="C1688" s="7" t="s">
        <v>1698</v>
      </c>
      <c r="D1688" s="8" t="str">
        <f>IFERROR(__xludf.DUMMYFUNCTION("GOOGLETRANSLATE(C1688, ""en"", ""pt"")"),"bandido, criminoso")</f>
        <v>bandido, criminoso</v>
      </c>
      <c r="E1688" s="8" t="str">
        <f>IFERROR(__xludf.DUMMYFUNCTION("GOOGLETRANSLATE(C1688, ""en"", ""es"")"),"matón, criminal")</f>
        <v>matón, criminal</v>
      </c>
      <c r="F1688" s="8" t="str">
        <f>IFERROR(__xludf.DUMMYFUNCTION("GOOGLETRANSLATE(C1688, ""en"", ""fr"")"),"voyou, criminel")</f>
        <v>voyou, criminel</v>
      </c>
      <c r="G1688" s="8" t="str">
        <f>IFERROR(__xludf.DUMMYFUNCTION("GOOGLETRANSLATE(C1688, ""en"", ""de"")"),"Ganove, Krimineller")</f>
        <v>Ganove, Krimineller</v>
      </c>
      <c r="H1688" s="8" t="str">
        <f>IFERROR(__xludf.DUMMYFUNCTION("GOOGLETRANSLATE(C1688, ""en"", ""ru"")"),"бандит, преступник")</f>
        <v>бандит, преступник</v>
      </c>
      <c r="I1688" s="8" t="str">
        <f>IFERROR(__xludf.DUMMYFUNCTION("GOOGLETRANSLATE(C1688, ""en"", ""ar"")"),"مجرم، بلطجي")</f>
        <v>مجرم، بلطجي</v>
      </c>
      <c r="J1688" s="8"/>
      <c r="K1688" s="7" t="str">
        <f>IFERROR(__xludf.DUMMYFUNCTION("CONCAT(REGEXREPLACE(C1688,""[ ,]+"",""_""),"".mp3"")"),"hoodlum_criminal.mp3")</f>
        <v>hoodlum_criminal.mp3</v>
      </c>
      <c r="M1688" s="4" t="s">
        <v>10</v>
      </c>
    </row>
    <row r="1689" ht="15.75" customHeight="1">
      <c r="A1689" s="1">
        <v>3057.0</v>
      </c>
      <c r="B1689" s="3">
        <v>155.0</v>
      </c>
      <c r="C1689" s="7" t="s">
        <v>1699</v>
      </c>
      <c r="D1689" s="8" t="str">
        <f>IFERROR(__xludf.DUMMYFUNCTION("GOOGLETRANSLATE(C1689, ""en"", ""pt"")"),"delinquente, criminoso")</f>
        <v>delinquente, criminoso</v>
      </c>
      <c r="E1689" s="8" t="str">
        <f>IFERROR(__xludf.DUMMYFUNCTION("GOOGLETRANSLATE(C1689, ""en"", ""es"")"),"delincuente, criminal")</f>
        <v>delincuente, criminal</v>
      </c>
      <c r="F1689" s="8" t="str">
        <f>IFERROR(__xludf.DUMMYFUNCTION("GOOGLETRANSLATE(C1689, ""en"", ""fr"")"),"délinquant, criminel")</f>
        <v>délinquant, criminel</v>
      </c>
      <c r="G1689" s="8" t="str">
        <f>IFERROR(__xludf.DUMMYFUNCTION("GOOGLETRANSLATE(C1689, ""en"", ""de"")"),"Delinquent, kriminell")</f>
        <v>Delinquent, kriminell</v>
      </c>
      <c r="H1689" s="8" t="str">
        <f>IFERROR(__xludf.DUMMYFUNCTION("GOOGLETRANSLATE(C1689, ""en"", ""ru"")"),"правонарушитель, преступник")</f>
        <v>правонарушитель, преступник</v>
      </c>
      <c r="I1689" s="8" t="str">
        <f>IFERROR(__xludf.DUMMYFUNCTION("GOOGLETRANSLATE(C1689, ""en"", ""ar"")"),"جانح، مجرم")</f>
        <v>جانح، مجرم</v>
      </c>
      <c r="J1689" s="8"/>
      <c r="K1689" s="7" t="str">
        <f>IFERROR(__xludf.DUMMYFUNCTION("CONCAT(REGEXREPLACE(C1689,""[ ,]+"",""_""),"".mp3"")"),"delinquent_criminal.mp3")</f>
        <v>delinquent_criminal.mp3</v>
      </c>
      <c r="M1689" s="4" t="s">
        <v>10</v>
      </c>
    </row>
    <row r="1690" ht="15.75" customHeight="1">
      <c r="A1690" s="1">
        <v>3058.0</v>
      </c>
      <c r="B1690" s="3">
        <v>155.0</v>
      </c>
      <c r="C1690" s="7" t="s">
        <v>1700</v>
      </c>
      <c r="D1690" s="8" t="str">
        <f>IFERROR(__xludf.DUMMYFUNCTION("GOOGLETRANSLATE(C1690, ""en"", ""pt"")"),"tédio, enfado")</f>
        <v>tédio, enfado</v>
      </c>
      <c r="E1690" s="8" t="str">
        <f>IFERROR(__xludf.DUMMYFUNCTION("GOOGLETRANSLATE(C1690, ""en"", ""es"")"),"hastío, aburrimiento")</f>
        <v>hastío, aburrimiento</v>
      </c>
      <c r="F1690" s="8" t="str">
        <f>IFERROR(__xludf.DUMMYFUNCTION("GOOGLETRANSLATE(C1690, ""en"", ""fr"")"),"ennui, lassitude")</f>
        <v>ennui, lassitude</v>
      </c>
      <c r="G1690" s="8" t="str">
        <f>IFERROR(__xludf.DUMMYFUNCTION("GOOGLETRANSLATE(C1690, ""en"", ""de"")"),"Langeweile, Überforderung")</f>
        <v>Langeweile, Überforderung</v>
      </c>
      <c r="H1690" s="8" t="str">
        <f>IFERROR(__xludf.DUMMYFUNCTION("GOOGLETRANSLATE(C1690, ""en"", ""ru"")"),"скука, тоска")</f>
        <v>скука, тоска</v>
      </c>
      <c r="I1690" s="8" t="str">
        <f>IFERROR(__xludf.DUMMYFUNCTION("GOOGLETRANSLATE(C1690, ""en"", ""ar"")"),"الملل، الضجر")</f>
        <v>الملل، الضجر</v>
      </c>
      <c r="J1690" s="8"/>
      <c r="K1690" s="7" t="str">
        <f>IFERROR(__xludf.DUMMYFUNCTION("CONCAT(REGEXREPLACE(C1690,""[ ,]+"",""_""),"".mp3"")"),"ennui_boredom.mp3")</f>
        <v>ennui_boredom.mp3</v>
      </c>
      <c r="M1690" s="4" t="s">
        <v>10</v>
      </c>
    </row>
    <row r="1691" ht="15.75" customHeight="1">
      <c r="A1691" s="1">
        <v>3059.0</v>
      </c>
      <c r="B1691" s="3">
        <v>155.0</v>
      </c>
      <c r="C1691" s="7" t="s">
        <v>1701</v>
      </c>
      <c r="D1691" s="8" t="str">
        <f>IFERROR(__xludf.DUMMYFUNCTION("GOOGLETRANSLATE(C1691, ""en"", ""pt"")"),"gélido, muito frio")</f>
        <v>gélido, muito frio</v>
      </c>
      <c r="E1691" s="8" t="str">
        <f>IFERROR(__xludf.DUMMYFUNCTION("GOOGLETRANSLATE(C1691, ""en"", ""es"")"),"gélido, muy frío")</f>
        <v>gélido, muy frío</v>
      </c>
      <c r="F1691" s="8" t="str">
        <f>IFERROR(__xludf.DUMMYFUNCTION("GOOGLETRANSLATE(C1691, ""en"", ""fr"")"),"glacial, très froid")</f>
        <v>glacial, très froid</v>
      </c>
      <c r="G1691" s="8" t="str">
        <f>IFERROR(__xludf.DUMMYFUNCTION("GOOGLETRANSLATE(C1691, ""en"", ""de"")"),"eiskalt")</f>
        <v>eiskalt</v>
      </c>
      <c r="H1691" s="8" t="str">
        <f>IFERROR(__xludf.DUMMYFUNCTION("GOOGLETRANSLATE(C1691, ""en"", ""ru"")"),"холодный, очень холодный")</f>
        <v>холодный, очень холодный</v>
      </c>
      <c r="I1691" s="8" t="str">
        <f>IFERROR(__xludf.DUMMYFUNCTION("GOOGLETRANSLATE(C1691, ""en"", ""ar"")"),"بارد جداً، شديد البرودة")</f>
        <v>بارد جداً، شديد البرودة</v>
      </c>
      <c r="J1691" s="8"/>
      <c r="K1691" s="7" t="str">
        <f>IFERROR(__xludf.DUMMYFUNCTION("CONCAT(REGEXREPLACE(C1691,""[ ,]+"",""_""),"".mp3"")"),"frigid_very_cold.mp3")</f>
        <v>frigid_very_cold.mp3</v>
      </c>
      <c r="M1691" s="4" t="s">
        <v>10</v>
      </c>
    </row>
    <row r="1692" ht="15.75" customHeight="1">
      <c r="A1692" s="1">
        <v>3060.0</v>
      </c>
      <c r="B1692" s="3">
        <v>155.0</v>
      </c>
      <c r="C1692" s="7" t="s">
        <v>1702</v>
      </c>
      <c r="D1692" s="8" t="str">
        <f>IFERROR(__xludf.DUMMYFUNCTION("GOOGLETRANSLATE(C1692, ""en"", ""pt"")"),"euforia, felicidade")</f>
        <v>euforia, felicidade</v>
      </c>
      <c r="E1692" s="8" t="str">
        <f>IFERROR(__xludf.DUMMYFUNCTION("GOOGLETRANSLATE(C1692, ""en"", ""es"")"),"euforia, felicidad")</f>
        <v>euforia, felicidad</v>
      </c>
      <c r="F1692" s="8" t="str">
        <f>IFERROR(__xludf.DUMMYFUNCTION("GOOGLETRANSLATE(C1692, ""en"", ""fr"")"),"euphorie, bonheur")</f>
        <v>euphorie, bonheur</v>
      </c>
      <c r="G1692" s="8" t="str">
        <f>IFERROR(__xludf.DUMMYFUNCTION("GOOGLETRANSLATE(C1692, ""en"", ""de"")"),"Euphorie, Glück")</f>
        <v>Euphorie, Glück</v>
      </c>
      <c r="H1692" s="8" t="str">
        <f>IFERROR(__xludf.DUMMYFUNCTION("GOOGLETRANSLATE(C1692, ""en"", ""ru"")"),"эйфория, счастье")</f>
        <v>эйфория, счастье</v>
      </c>
      <c r="I1692" s="8" t="str">
        <f>IFERROR(__xludf.DUMMYFUNCTION("GOOGLETRANSLATE(C1692, ""en"", ""ar"")"),"النشوة، السعادة")</f>
        <v>النشوة، السعادة</v>
      </c>
      <c r="J1692" s="8"/>
      <c r="K1692" s="7" t="str">
        <f>IFERROR(__xludf.DUMMYFUNCTION("CONCAT(REGEXREPLACE(C1692,""[ ,]+"",""_""),"".mp3"")"),"euphoria_happiness.mp3")</f>
        <v>euphoria_happiness.mp3</v>
      </c>
      <c r="M1692" s="4" t="s">
        <v>10</v>
      </c>
    </row>
    <row r="1693" ht="15.75" customHeight="1">
      <c r="A1693" s="1">
        <v>3061.0</v>
      </c>
      <c r="B1693" s="3">
        <v>155.0</v>
      </c>
      <c r="C1693" s="7" t="s">
        <v>1703</v>
      </c>
      <c r="D1693" s="8" t="str">
        <f>IFERROR(__xludf.DUMMYFUNCTION("GOOGLETRANSLATE(C1693, ""en"", ""pt"")"),"fecundo, fértil")</f>
        <v>fecundo, fértil</v>
      </c>
      <c r="E1693" s="8" t="str">
        <f>IFERROR(__xludf.DUMMYFUNCTION("GOOGLETRANSLATE(C1693, ""en"", ""es"")"),"fecundo, fértil")</f>
        <v>fecundo, fértil</v>
      </c>
      <c r="F1693" s="8" t="str">
        <f>IFERROR(__xludf.DUMMYFUNCTION("GOOGLETRANSLATE(C1693, ""en"", ""fr"")"),"fécond, fertile")</f>
        <v>fécond, fertile</v>
      </c>
      <c r="G1693" s="8" t="str">
        <f>IFERROR(__xludf.DUMMYFUNCTION("GOOGLETRANSLATE(C1693, ""en"", ""de"")"),"fruchtbar, fruchtbar")</f>
        <v>fruchtbar, fruchtbar</v>
      </c>
      <c r="H1693" s="8" t="str">
        <f>IFERROR(__xludf.DUMMYFUNCTION("GOOGLETRANSLATE(C1693, ""en"", ""ru"")"),"плодовитый, плодородный")</f>
        <v>плодовитый, плодородный</v>
      </c>
      <c r="I1693" s="8" t="str">
        <f>IFERROR(__xludf.DUMMYFUNCTION("GOOGLETRANSLATE(C1693, ""en"", ""ar"")"),"خصب، مثمر")</f>
        <v>خصب، مثمر</v>
      </c>
      <c r="J1693" s="8"/>
      <c r="K1693" s="7" t="str">
        <f>IFERROR(__xludf.DUMMYFUNCTION("CONCAT(REGEXREPLACE(C1693,""[ ,]+"",""_""),"".mp3"")"),"fecund_fertile.mp3")</f>
        <v>fecund_fertile.mp3</v>
      </c>
      <c r="M1693" s="4" t="s">
        <v>10</v>
      </c>
    </row>
    <row r="1694" ht="15.75" customHeight="1">
      <c r="A1694" s="1">
        <v>3062.0</v>
      </c>
      <c r="B1694" s="3">
        <v>155.0</v>
      </c>
      <c r="C1694" s="7" t="s">
        <v>1704</v>
      </c>
      <c r="D1694" s="8" t="str">
        <f>IFERROR(__xludf.DUMMYFUNCTION("GOOGLETRANSLATE(C1694, ""en"", ""pt"")"),"contestar, negar")</f>
        <v>contestar, negar</v>
      </c>
      <c r="E1694" s="8" t="str">
        <f>IFERROR(__xludf.DUMMYFUNCTION("GOOGLETRANSLATE(C1694, ""en"", ""es"")"),"refutar, negar")</f>
        <v>refutar, negar</v>
      </c>
      <c r="F1694" s="8" t="str">
        <f>IFERROR(__xludf.DUMMYFUNCTION("GOOGLETRANSLATE(C1694, ""en"", ""fr"")"),"contester, nier")</f>
        <v>contester, nier</v>
      </c>
      <c r="G1694" s="8" t="str">
        <f>IFERROR(__xludf.DUMMYFUNCTION("GOOGLETRANSLATE(C1694, ""en"", ""de"")"),"widersprechen, leugnen")</f>
        <v>widersprechen, leugnen</v>
      </c>
      <c r="H1694" s="8" t="str">
        <f>IFERROR(__xludf.DUMMYFUNCTION("GOOGLETRANSLATE(C1694, ""en"", ""ru"")"),"опровергнуть, отрицать")</f>
        <v>опровергнуть, отрицать</v>
      </c>
      <c r="I1694" s="8" t="str">
        <f>IFERROR(__xludf.DUMMYFUNCTION("GOOGLETRANSLATE(C1694, ""en"", ""ar"")"),"معارضة، إنكار")</f>
        <v>معارضة، إنكار</v>
      </c>
      <c r="J1694" s="8"/>
      <c r="K1694" s="7" t="str">
        <f>IFERROR(__xludf.DUMMYFUNCTION("CONCAT(REGEXREPLACE(C1694,""[ ,]+"",""_""),"".mp3"")"),"gainsay_deny.mp3")</f>
        <v>gainsay_deny.mp3</v>
      </c>
      <c r="M1694" s="4" t="s">
        <v>10</v>
      </c>
    </row>
    <row r="1695" ht="15.75" customHeight="1">
      <c r="A1695" s="1">
        <v>3063.0</v>
      </c>
      <c r="B1695" s="3">
        <v>155.0</v>
      </c>
      <c r="C1695" s="7" t="s">
        <v>1705</v>
      </c>
      <c r="D1695" s="8" t="str">
        <f>IFERROR(__xludf.DUMMYFUNCTION("GOOGLETRANSLATE(C1695, ""en"", ""pt"")"),"desequilibrado, assimétrico")</f>
        <v>desequilibrado, assimétrico</v>
      </c>
      <c r="E1695" s="8" t="str">
        <f>IFERROR(__xludf.DUMMYFUNCTION("GOOGLETRANSLATE(C1695, ""en"", ""es"")"),"asimétrico, desequilibrado")</f>
        <v>asimétrico, desequilibrado</v>
      </c>
      <c r="F1695" s="8" t="str">
        <f>IFERROR(__xludf.DUMMYFUNCTION("GOOGLETRANSLATE(C1695, ""en"", ""fr"")"),"asymétrique, déséquilibré")</f>
        <v>asymétrique, déséquilibré</v>
      </c>
      <c r="G1695" s="8" t="str">
        <f>IFERROR(__xludf.DUMMYFUNCTION("GOOGLETRANSLATE(C1695, ""en"", ""de"")"),"einseitig, unausgewogen")</f>
        <v>einseitig, unausgewogen</v>
      </c>
      <c r="H1695" s="8" t="str">
        <f>IFERROR(__xludf.DUMMYFUNCTION("GOOGLETRANSLATE(C1695, ""en"", ""ru"")"),"асимметричный, несбалансированный")</f>
        <v>асимметричный, несбалансированный</v>
      </c>
      <c r="I1695" s="8" t="str">
        <f>IFERROR(__xludf.DUMMYFUNCTION("GOOGLETRANSLATE(C1695, ""en"", ""ar"")"),"غير متوازن، غير متناسق")</f>
        <v>غير متوازن، غير متناسق</v>
      </c>
      <c r="J1695" s="8"/>
      <c r="K1695" s="7" t="str">
        <f>IFERROR(__xludf.DUMMYFUNCTION("CONCAT(REGEXREPLACE(C1695,""[ ,]+"",""_""),"".mp3"")"),"lopsided_unbalanced.mp3")</f>
        <v>lopsided_unbalanced.mp3</v>
      </c>
      <c r="M1695" s="4" t="s">
        <v>10</v>
      </c>
    </row>
    <row r="1696" ht="15.75" customHeight="1">
      <c r="A1696" s="1">
        <v>3064.0</v>
      </c>
      <c r="B1696" s="3">
        <v>155.0</v>
      </c>
      <c r="C1696" s="7" t="s">
        <v>1706</v>
      </c>
      <c r="D1696" s="8" t="str">
        <f>IFERROR(__xludf.DUMMYFUNCTION("GOOGLETRANSLATE(C1696, ""en"", ""pt"")"),"proliferar, crescer rapidamente")</f>
        <v>proliferar, crescer rapidamente</v>
      </c>
      <c r="E1696" s="8" t="str">
        <f>IFERROR(__xludf.DUMMYFUNCTION("GOOGLETRANSLATE(C1696, ""en"", ""es"")"),"proliferar, crecer rápidamente")</f>
        <v>proliferar, crecer rápidamente</v>
      </c>
      <c r="F1696" s="8" t="str">
        <f>IFERROR(__xludf.DUMMYFUNCTION("GOOGLETRANSLATE(C1696, ""en"", ""fr"")"),"proliférer, croître rapidement")</f>
        <v>proliférer, croître rapidement</v>
      </c>
      <c r="G1696" s="8" t="str">
        <f>IFERROR(__xludf.DUMMYFUNCTION("GOOGLETRANSLATE(C1696, ""en"", ""de"")"),"sich vermehren, schnell wachsen")</f>
        <v>sich vermehren, schnell wachsen</v>
      </c>
      <c r="H1696" s="8" t="str">
        <f>IFERROR(__xludf.DUMMYFUNCTION("GOOGLETRANSLATE(C1696, ""en"", ""ru"")"),"размножаться, быстро расти")</f>
        <v>размножаться, быстро расти</v>
      </c>
      <c r="I1696" s="8" t="str">
        <f>IFERROR(__xludf.DUMMYFUNCTION("GOOGLETRANSLATE(C1696, ""en"", ""ar"")"),"تتكاثر، تنمو بسرعة")</f>
        <v>تتكاثر، تنمو بسرعة</v>
      </c>
      <c r="J1696" s="8"/>
      <c r="K1696" s="7" t="str">
        <f>IFERROR(__xludf.DUMMYFUNCTION("CONCAT(REGEXREPLACE(C1696,""[ ,]+"",""_""),"".mp3"")"),"proliferate_grow_rapidly.mp3")</f>
        <v>proliferate_grow_rapidly.mp3</v>
      </c>
      <c r="M1696" s="4" t="s">
        <v>10</v>
      </c>
    </row>
    <row r="1697" ht="15.75" customHeight="1">
      <c r="A1697" s="1">
        <v>3065.0</v>
      </c>
      <c r="B1697" s="3">
        <v>155.0</v>
      </c>
      <c r="C1697" s="7" t="s">
        <v>1707</v>
      </c>
      <c r="D1697" s="8" t="str">
        <f>IFERROR(__xludf.DUMMYFUNCTION("GOOGLETRANSLATE(C1697, ""en"", ""pt"")"),"briga, discussão")</f>
        <v>briga, discussão</v>
      </c>
      <c r="E1697" s="8" t="str">
        <f>IFERROR(__xludf.DUMMYFUNCTION("GOOGLETRANSLATE(C1697, ""en"", ""es"")"),"riña, disputa")</f>
        <v>riña, disputa</v>
      </c>
      <c r="F1697" s="8" t="str">
        <f>IFERROR(__xludf.DUMMYFUNCTION("GOOGLETRANSLATE(C1697, ""en"", ""fr"")"),"dispute, querelle")</f>
        <v>dispute, querelle</v>
      </c>
      <c r="G1697" s="8" t="str">
        <f>IFERROR(__xludf.DUMMYFUNCTION("GOOGLETRANSLATE(C1697, ""en"", ""de"")"),"Zank, Streit")</f>
        <v>Zank, Streit</v>
      </c>
      <c r="H1697" s="8" t="str">
        <f>IFERROR(__xludf.DUMMYFUNCTION("GOOGLETRANSLATE(C1697, ""en"", ""ru"")"),"ссора, драка")</f>
        <v>ссора, драка</v>
      </c>
      <c r="I1697" s="8" t="str">
        <f>IFERROR(__xludf.DUMMYFUNCTION("GOOGLETRANSLATE(C1697, ""en"", ""ar"")"),"مشادة، شجار")</f>
        <v>مشادة، شجار</v>
      </c>
      <c r="J1697" s="8"/>
      <c r="K1697" s="7" t="str">
        <f>IFERROR(__xludf.DUMMYFUNCTION("CONCAT(REGEXREPLACE(C1697,""[ ,]+"",""_""),"".mp3"")"),"squabble_quarrel.mp3")</f>
        <v>squabble_quarrel.mp3</v>
      </c>
      <c r="M1697" s="4" t="s">
        <v>10</v>
      </c>
    </row>
    <row r="1698" ht="15.75" customHeight="1">
      <c r="A1698" s="1">
        <v>3066.0</v>
      </c>
      <c r="B1698" s="3">
        <v>155.0</v>
      </c>
      <c r="C1698" s="7" t="s">
        <v>1708</v>
      </c>
      <c r="D1698" s="8" t="str">
        <f>IFERROR(__xludf.DUMMYFUNCTION("GOOGLETRANSLATE(C1698, ""en"", ""pt"")"),"falso, espúrio")</f>
        <v>falso, espúrio</v>
      </c>
      <c r="E1698" s="8" t="str">
        <f>IFERROR(__xludf.DUMMYFUNCTION("GOOGLETRANSLATE(C1698, ""en"", ""es"")"),"falso, fraudulento")</f>
        <v>falso, fraudulento</v>
      </c>
      <c r="F1698" s="8" t="str">
        <f>IFERROR(__xludf.DUMMYFUNCTION("GOOGLETRANSLATE(C1698, ""en"", ""fr"")"),"contrefait, faux")</f>
        <v>contrefait, faux</v>
      </c>
      <c r="G1698" s="8" t="str">
        <f>IFERROR(__xludf.DUMMYFUNCTION("GOOGLETRANSLATE(C1698, ""en"", ""de"")"),"gefälscht, unecht")</f>
        <v>gefälscht, unecht</v>
      </c>
      <c r="H1698" s="8" t="str">
        <f>IFERROR(__xludf.DUMMYFUNCTION("GOOGLETRANSLATE(C1698, ""en"", ""ru"")"),"поддельный, фальшивый")</f>
        <v>поддельный, фальшивый</v>
      </c>
      <c r="I1698" s="8" t="str">
        <f>IFERROR(__xludf.DUMMYFUNCTION("GOOGLETRANSLATE(C1698, ""en"", ""ar"")"),"زائف، مزيف")</f>
        <v>زائف، مزيف</v>
      </c>
      <c r="J1698" s="8"/>
      <c r="K1698" s="7" t="str">
        <f>IFERROR(__xludf.DUMMYFUNCTION("CONCAT(REGEXREPLACE(C1698,""[ ,]+"",""_""),"".mp3"")"),"spurious_fake.mp3")</f>
        <v>spurious_fake.mp3</v>
      </c>
      <c r="M1698" s="4" t="s">
        <v>10</v>
      </c>
    </row>
    <row r="1699" ht="15.75" customHeight="1">
      <c r="A1699" s="1">
        <v>3067.0</v>
      </c>
      <c r="B1699" s="3">
        <v>155.0</v>
      </c>
      <c r="C1699" s="7" t="s">
        <v>1709</v>
      </c>
      <c r="D1699" s="8" t="str">
        <f>IFERROR(__xludf.DUMMYFUNCTION("GOOGLETRANSLATE(C1699, ""en"", ""pt"")"),"pródigo, extravagante")</f>
        <v>pródigo, extravagante</v>
      </c>
      <c r="E1699" s="8" t="str">
        <f>IFERROR(__xludf.DUMMYFUNCTION("GOOGLETRANSLATE(C1699, ""en"", ""es"")"),"pródigo, extravagante")</f>
        <v>pródigo, extravagante</v>
      </c>
      <c r="F1699" s="8" t="str">
        <f>IFERROR(__xludf.DUMMYFUNCTION("GOOGLETRANSLATE(C1699, ""en"", ""fr"")"),"prodigue, extravagant")</f>
        <v>prodigue, extravagant</v>
      </c>
      <c r="G1699" s="8" t="str">
        <f>IFERROR(__xludf.DUMMYFUNCTION("GOOGLETRANSLATE(C1699, ""en"", ""de"")"),"verschwenderisch, extravagant")</f>
        <v>verschwenderisch, extravagant</v>
      </c>
      <c r="H1699" s="8" t="str">
        <f>IFERROR(__xludf.DUMMYFUNCTION("GOOGLETRANSLATE(C1699, ""en"", ""ru"")"),"расточительный, экстравагантный")</f>
        <v>расточительный, экстравагантный</v>
      </c>
      <c r="I1699" s="8" t="str">
        <f>IFERROR(__xludf.DUMMYFUNCTION("GOOGLETRANSLATE(C1699, ""en"", ""ar"")"),"مبذر، مسرف")</f>
        <v>مبذر، مسرف</v>
      </c>
      <c r="J1699" s="8"/>
      <c r="K1699" s="7" t="str">
        <f>IFERROR(__xludf.DUMMYFUNCTION("CONCAT(REGEXREPLACE(C1699,""[ ,]+"",""_""),"".mp3"")"),"prodigal_extravagant.mp3")</f>
        <v>prodigal_extravagant.mp3</v>
      </c>
      <c r="M1699" s="4" t="s">
        <v>10</v>
      </c>
    </row>
    <row r="1700" ht="15.75" customHeight="1">
      <c r="A1700" s="1">
        <v>3068.0</v>
      </c>
      <c r="B1700" s="3">
        <v>155.0</v>
      </c>
      <c r="C1700" s="7" t="s">
        <v>1710</v>
      </c>
      <c r="D1700" s="8" t="str">
        <f>IFERROR(__xludf.DUMMYFUNCTION("GOOGLETRANSLATE(C1700, ""en"", ""pt"")"),"impedir, prevenir")</f>
        <v>impedir, prevenir</v>
      </c>
      <c r="E1700" s="8" t="str">
        <f>IFERROR(__xludf.DUMMYFUNCTION("GOOGLETRANSLATE(C1700, ""en"", ""es"")"),"excluir, prevenir")</f>
        <v>excluir, prevenir</v>
      </c>
      <c r="F1700" s="8" t="str">
        <f>IFERROR(__xludf.DUMMYFUNCTION("GOOGLETRANSLATE(C1700, ""en"", ""fr"")"),"exclure, empêcher")</f>
        <v>exclure, empêcher</v>
      </c>
      <c r="G1700" s="8" t="str">
        <f>IFERROR(__xludf.DUMMYFUNCTION("GOOGLETRANSLATE(C1700, ""en"", ""de"")"),"ausschließen, verhindern")</f>
        <v>ausschließen, verhindern</v>
      </c>
      <c r="H1700" s="8" t="str">
        <f>IFERROR(__xludf.DUMMYFUNCTION("GOOGLETRANSLATE(C1700, ""en"", ""ru"")"),"исключить, предотвратить")</f>
        <v>исключить, предотвратить</v>
      </c>
      <c r="I1700" s="8" t="str">
        <f>IFERROR(__xludf.DUMMYFUNCTION("GOOGLETRANSLATE(C1700, ""en"", ""ar"")"),"استبعاد، منع")</f>
        <v>استبعاد، منع</v>
      </c>
      <c r="J1700" s="8"/>
      <c r="K1700" s="7" t="str">
        <f>IFERROR(__xludf.DUMMYFUNCTION("CONCAT(REGEXREPLACE(C1700,""[ ,]+"",""_""),"".mp3"")"),"preclude_prevent.mp3")</f>
        <v>preclude_prevent.mp3</v>
      </c>
      <c r="M1700" s="4" t="s">
        <v>10</v>
      </c>
    </row>
    <row r="1701" ht="15.75" customHeight="1">
      <c r="A1701" s="1">
        <v>3069.0</v>
      </c>
      <c r="B1701" s="3">
        <v>155.0</v>
      </c>
      <c r="C1701" s="7" t="s">
        <v>1711</v>
      </c>
      <c r="D1701" s="8" t="str">
        <f>IFERROR(__xludf.DUMMYFUNCTION("GOOGLETRANSLATE(C1701, ""en"", ""pt"")"),"perturbado, preocupado")</f>
        <v>perturbado, preocupado</v>
      </c>
      <c r="E1701" s="8" t="str">
        <f>IFERROR(__xludf.DUMMYFUNCTION("GOOGLETRANSLATE(C1701, ""en"", ""es"")"),"perturbado, preocupado")</f>
        <v>perturbado, preocupado</v>
      </c>
      <c r="F1701" s="8" t="str">
        <f>IFERROR(__xludf.DUMMYFUNCTION("GOOGLETRANSLATE(C1701, ""en"", ""fr"")"),"perturbé, inquiet")</f>
        <v>perturbé, inquiet</v>
      </c>
      <c r="G1701" s="8" t="str">
        <f>IFERROR(__xludf.DUMMYFUNCTION("GOOGLETRANSLATE(C1701, ""en"", ""de"")"),"beunruhigt, besorgt")</f>
        <v>beunruhigt, besorgt</v>
      </c>
      <c r="H1701" s="8" t="str">
        <f>IFERROR(__xludf.DUMMYFUNCTION("GOOGLETRANSLATE(C1701, ""en"", ""ru"")"),"встревоженный, обеспокоенный")</f>
        <v>встревоженный, обеспокоенный</v>
      </c>
      <c r="I1701" s="8" t="str">
        <f>IFERROR(__xludf.DUMMYFUNCTION("GOOGLETRANSLATE(C1701, ""en"", ""ar"")"),"منزعج، قلق")</f>
        <v>منزعج، قلق</v>
      </c>
      <c r="J1701" s="8"/>
      <c r="K1701" s="7" t="str">
        <f>IFERROR(__xludf.DUMMYFUNCTION("CONCAT(REGEXREPLACE(C1701,""[ ,]+"",""_""),"".mp3"")"),"perturbed_worried.mp3")</f>
        <v>perturbed_worried.mp3</v>
      </c>
      <c r="M1701" s="4" t="s">
        <v>10</v>
      </c>
    </row>
    <row r="1702" ht="15.75" customHeight="1">
      <c r="A1702" s="1">
        <v>3070.0</v>
      </c>
      <c r="B1702" s="3">
        <v>155.0</v>
      </c>
      <c r="C1702" s="7" t="s">
        <v>1712</v>
      </c>
      <c r="D1702" s="8" t="str">
        <f>IFERROR(__xludf.DUMMYFUNCTION("GOOGLETRANSLATE(C1702, ""en"", ""pt"")"),"agonia, dor extrema")</f>
        <v>agonia, dor extrema</v>
      </c>
      <c r="E1702" s="8" t="str">
        <f>IFERROR(__xludf.DUMMYFUNCTION("GOOGLETRANSLATE(C1702, ""en"", ""es"")"),"agonía, dolor extremo")</f>
        <v>agonía, dolor extremo</v>
      </c>
      <c r="F1702" s="8" t="str">
        <f>IFERROR(__xludf.DUMMYFUNCTION("GOOGLETRANSLATE(C1702, ""en"", ""fr"")"),"agonie, douleur extrême")</f>
        <v>agonie, douleur extrême</v>
      </c>
      <c r="G1702" s="8" t="str">
        <f>IFERROR(__xludf.DUMMYFUNCTION("GOOGLETRANSLATE(C1702, ""en"", ""de"")"),"Qualen, extreme Schmerzen")</f>
        <v>Qualen, extreme Schmerzen</v>
      </c>
      <c r="H1702" s="8" t="str">
        <f>IFERROR(__xludf.DUMMYFUNCTION("GOOGLETRANSLATE(C1702, ""en"", ""ru"")"),"агония, невыносимая боль")</f>
        <v>агония, невыносимая боль</v>
      </c>
      <c r="I1702" s="8" t="str">
        <f>IFERROR(__xludf.DUMMYFUNCTION("GOOGLETRANSLATE(C1702, ""en"", ""ar"")"),"معاناة شديدة، ألم مبرح")</f>
        <v>معاناة شديدة، ألم مبرح</v>
      </c>
      <c r="J1702" s="8"/>
      <c r="K1702" s="7" t="str">
        <f>IFERROR(__xludf.DUMMYFUNCTION("CONCAT(REGEXREPLACE(C1702,""[ ,]+"",""_""),"".mp3"")"),"agony_extreme_pain.mp3")</f>
        <v>agony_extreme_pain.mp3</v>
      </c>
      <c r="M1702" s="4" t="s">
        <v>10</v>
      </c>
    </row>
    <row r="1703" ht="15.75" customHeight="1">
      <c r="A1703" s="1">
        <v>3071.0</v>
      </c>
      <c r="B1703" s="3">
        <v>155.0</v>
      </c>
      <c r="C1703" s="7" t="s">
        <v>1713</v>
      </c>
      <c r="D1703" s="8" t="str">
        <f>IFERROR(__xludf.DUMMYFUNCTION("GOOGLETRANSLATE(C1703, ""en"", ""pt"")"),"propício, favorável")</f>
        <v>propício, favorável</v>
      </c>
      <c r="E1703" s="8" t="str">
        <f>IFERROR(__xludf.DUMMYFUNCTION("GOOGLETRANSLATE(C1703, ""en"", ""es"")"),"propicio, favorable")</f>
        <v>propicio, favorable</v>
      </c>
      <c r="F1703" s="8" t="str">
        <f>IFERROR(__xludf.DUMMYFUNCTION("GOOGLETRANSLATE(C1703, ""en"", ""fr"")"),"propice, favorable")</f>
        <v>propice, favorable</v>
      </c>
      <c r="G1703" s="8" t="str">
        <f>IFERROR(__xludf.DUMMYFUNCTION("GOOGLETRANSLATE(C1703, ""en"", ""de"")"),"förderlich, günstig")</f>
        <v>förderlich, günstig</v>
      </c>
      <c r="H1703" s="8" t="str">
        <f>IFERROR(__xludf.DUMMYFUNCTION("GOOGLETRANSLATE(C1703, ""en"", ""ru"")"),"благоприятный, благоприятный")</f>
        <v>благоприятный, благоприятный</v>
      </c>
      <c r="I1703" s="8" t="str">
        <f>IFERROR(__xludf.DUMMYFUNCTION("GOOGLETRANSLATE(C1703, ""en"", ""ar"")"),"مواتية، مواتية")</f>
        <v>مواتية، مواتية</v>
      </c>
      <c r="J1703" s="8"/>
      <c r="K1703" s="7" t="str">
        <f>IFERROR(__xludf.DUMMYFUNCTION("CONCAT(REGEXREPLACE(C1703,""[ ,]+"",""_""),"".mp3"")"),"conducive_favourable.mp3")</f>
        <v>conducive_favourable.mp3</v>
      </c>
      <c r="M1703" s="4" t="s">
        <v>10</v>
      </c>
    </row>
    <row r="1704" ht="15.75" customHeight="1">
      <c r="A1704" s="1">
        <v>3072.0</v>
      </c>
      <c r="B1704" s="3">
        <v>155.0</v>
      </c>
      <c r="C1704" s="7" t="s">
        <v>1714</v>
      </c>
      <c r="D1704" s="8" t="str">
        <f>IFERROR(__xludf.DUMMYFUNCTION("GOOGLETRANSLATE(C1704, ""en"", ""pt"")"),"assimilar, absorver")</f>
        <v>assimilar, absorver</v>
      </c>
      <c r="E1704" s="8" t="str">
        <f>IFERROR(__xludf.DUMMYFUNCTION("GOOGLETRANSLATE(C1704, ""en"", ""es"")"),"asimilar, absorber")</f>
        <v>asimilar, absorber</v>
      </c>
      <c r="F1704" s="8" t="str">
        <f>IFERROR(__xludf.DUMMYFUNCTION("GOOGLETRANSLATE(C1704, ""en"", ""fr"")"),"assimiler, absorber")</f>
        <v>assimiler, absorber</v>
      </c>
      <c r="G1704" s="8" t="str">
        <f>IFERROR(__xludf.DUMMYFUNCTION("GOOGLETRANSLATE(C1704, ""en"", ""de"")"),"assimilieren, absorbieren")</f>
        <v>assimilieren, absorbieren</v>
      </c>
      <c r="H1704" s="8" t="str">
        <f>IFERROR(__xludf.DUMMYFUNCTION("GOOGLETRANSLATE(C1704, ""en"", ""ru"")"),"усваивать, поглощать")</f>
        <v>усваивать, поглощать</v>
      </c>
      <c r="I1704" s="8" t="str">
        <f>IFERROR(__xludf.DUMMYFUNCTION("GOOGLETRANSLATE(C1704, ""en"", ""ar"")"),"استيعاب، امتصاص")</f>
        <v>استيعاب، امتصاص</v>
      </c>
      <c r="J1704" s="8"/>
      <c r="K1704" s="7" t="str">
        <f>IFERROR(__xludf.DUMMYFUNCTION("CONCAT(REGEXREPLACE(C1704,""[ ,]+"",""_""),"".mp3"")"),"assimilate_absorb.mp3")</f>
        <v>assimilate_absorb.mp3</v>
      </c>
      <c r="M1704" s="4" t="s">
        <v>10</v>
      </c>
    </row>
    <row r="1705" ht="15.75" customHeight="1">
      <c r="A1705" s="1">
        <v>3073.0</v>
      </c>
      <c r="B1705" s="3">
        <v>155.0</v>
      </c>
      <c r="C1705" s="7" t="s">
        <v>1715</v>
      </c>
      <c r="D1705" s="8" t="str">
        <f>IFERROR(__xludf.DUMMYFUNCTION("GOOGLETRANSLATE(C1705, ""en"", ""pt"")"),"discernir, perceber")</f>
        <v>discernir, perceber</v>
      </c>
      <c r="E1705" s="8" t="str">
        <f>IFERROR(__xludf.DUMMYFUNCTION("GOOGLETRANSLATE(C1705, ""en"", ""es"")"),"discernir, percibir")</f>
        <v>discernir, percibir</v>
      </c>
      <c r="F1705" s="8" t="str">
        <f>IFERROR(__xludf.DUMMYFUNCTION("GOOGLETRANSLATE(C1705, ""en"", ""fr"")"),"discerner, percevoir")</f>
        <v>discerner, percevoir</v>
      </c>
      <c r="G1705" s="8" t="str">
        <f>IFERROR(__xludf.DUMMYFUNCTION("GOOGLETRANSLATE(C1705, ""en"", ""de"")"),"erkennen, wahrnehmen")</f>
        <v>erkennen, wahrnehmen</v>
      </c>
      <c r="H1705" s="8" t="str">
        <f>IFERROR(__xludf.DUMMYFUNCTION("GOOGLETRANSLATE(C1705, ""en"", ""ru"")"),"различать, воспринимать")</f>
        <v>различать, воспринимать</v>
      </c>
      <c r="I1705" s="8" t="str">
        <f>IFERROR(__xludf.DUMMYFUNCTION("GOOGLETRANSLATE(C1705, ""en"", ""ar"")"),"ميّز، أدرك")</f>
        <v>ميّز، أدرك</v>
      </c>
      <c r="J1705" s="8"/>
      <c r="K1705" s="7" t="str">
        <f>IFERROR(__xludf.DUMMYFUNCTION("CONCAT(REGEXREPLACE(C1705,""[ ,]+"",""_""),"".mp3"")"),"discern_perceive.mp3")</f>
        <v>discern_perceive.mp3</v>
      </c>
      <c r="M1705" s="4" t="s">
        <v>10</v>
      </c>
    </row>
    <row r="1706" ht="15.75" customHeight="1">
      <c r="A1706" s="1">
        <v>3074.0</v>
      </c>
      <c r="B1706" s="3">
        <v>155.0</v>
      </c>
      <c r="C1706" s="7" t="s">
        <v>1716</v>
      </c>
      <c r="D1706" s="8" t="str">
        <f>IFERROR(__xludf.DUMMYFUNCTION("GOOGLETRANSLATE(C1706, ""en"", ""pt"")"),"pobre, extremamente pobre")</f>
        <v>pobre, extremamente pobre</v>
      </c>
      <c r="E1706" s="8" t="str">
        <f>IFERROR(__xludf.DUMMYFUNCTION("GOOGLETRANSLATE(C1706, ""en"", ""es"")"),"indigente, extremadamente pobre")</f>
        <v>indigente, extremadamente pobre</v>
      </c>
      <c r="F1706" s="8" t="str">
        <f>IFERROR(__xludf.DUMMYFUNCTION("GOOGLETRANSLATE(C1706, ""en"", ""fr"")"),"indigent, extrêmement pauvre")</f>
        <v>indigent, extrêmement pauvre</v>
      </c>
      <c r="G1706" s="8" t="str">
        <f>IFERROR(__xludf.DUMMYFUNCTION("GOOGLETRANSLATE(C1706, ""en"", ""de"")"),"arm, extrem arm")</f>
        <v>arm, extrem arm</v>
      </c>
      <c r="H1706" s="8" t="str">
        <f>IFERROR(__xludf.DUMMYFUNCTION("GOOGLETRANSLATE(C1706, ""en"", ""ru"")"),"нищий, крайне бедный")</f>
        <v>нищий, крайне бедный</v>
      </c>
      <c r="I1706" s="8" t="str">
        <f>IFERROR(__xludf.DUMMYFUNCTION("GOOGLETRANSLATE(C1706, ""en"", ""ar"")"),"فقير، فقير للغاية")</f>
        <v>فقير، فقير للغاية</v>
      </c>
      <c r="J1706" s="8"/>
      <c r="K1706" s="7" t="str">
        <f>IFERROR(__xludf.DUMMYFUNCTION("CONCAT(REGEXREPLACE(C1706,""[ ,]+"",""_""),"".mp3"")"),"pauper_extremely_poor.mp3")</f>
        <v>pauper_extremely_poor.mp3</v>
      </c>
      <c r="M1706" s="4" t="s">
        <v>10</v>
      </c>
    </row>
    <row r="1707" ht="15.75" customHeight="1">
      <c r="A1707" s="1">
        <v>3075.0</v>
      </c>
      <c r="B1707" s="3">
        <v>155.0</v>
      </c>
      <c r="C1707" s="7" t="s">
        <v>1717</v>
      </c>
      <c r="D1707" s="8" t="str">
        <f>IFERROR(__xludf.DUMMYFUNCTION("GOOGLETRANSLATE(C1707, ""en"", ""pt"")"),"dissimular, fingir")</f>
        <v>dissimular, fingir</v>
      </c>
      <c r="E1707" s="8" t="str">
        <f>IFERROR(__xludf.DUMMYFUNCTION("GOOGLETRANSLATE(C1707, ""en"", ""es"")"),"disimular, fingir")</f>
        <v>disimular, fingir</v>
      </c>
      <c r="F1707" s="8" t="str">
        <f>IFERROR(__xludf.DUMMYFUNCTION("GOOGLETRANSLATE(C1707, ""en"", ""fr"")"),"dissimuler, faire semblant")</f>
        <v>dissimuler, faire semblant</v>
      </c>
      <c r="G1707" s="8" t="str">
        <f>IFERROR(__xludf.DUMMYFUNCTION("GOOGLETRANSLATE(C1707, ""en"", ""de"")"),"verstellen, vortäuschen")</f>
        <v>verstellen, vortäuschen</v>
      </c>
      <c r="H1707" s="8" t="str">
        <f>IFERROR(__xludf.DUMMYFUNCTION("GOOGLETRANSLATE(C1707, ""en"", ""ru"")"),"притворяться, лицемерить")</f>
        <v>притворяться, лицемерить</v>
      </c>
      <c r="I1707" s="8" t="str">
        <f>IFERROR(__xludf.DUMMYFUNCTION("GOOGLETRANSLATE(C1707, ""en"", ""ar"")"),"التظاهر، التظاهر")</f>
        <v>التظاهر، التظاهر</v>
      </c>
      <c r="J1707" s="8"/>
      <c r="K1707" s="7" t="str">
        <f>IFERROR(__xludf.DUMMYFUNCTION("CONCAT(REGEXREPLACE(C1707,""[ ,]+"",""_""),"".mp3"")"),"dissemble_pretend.mp3")</f>
        <v>dissemble_pretend.mp3</v>
      </c>
      <c r="M1707" s="4" t="s">
        <v>10</v>
      </c>
    </row>
    <row r="1708" ht="15.75" customHeight="1">
      <c r="A1708" s="1">
        <v>3076.0</v>
      </c>
      <c r="B1708" s="3">
        <v>155.0</v>
      </c>
      <c r="C1708" s="7" t="s">
        <v>1718</v>
      </c>
      <c r="D1708" s="8" t="str">
        <f>IFERROR(__xludf.DUMMYFUNCTION("GOOGLETRANSLATE(C1708, ""en"", ""pt"")"),"desanimado, infeliz")</f>
        <v>desanimado, infeliz</v>
      </c>
      <c r="E1708" s="8" t="str">
        <f>IFERROR(__xludf.DUMMYFUNCTION("GOOGLETRANSLATE(C1708, ""en"", ""es"")"),"abatido, infeliz")</f>
        <v>abatido, infeliz</v>
      </c>
      <c r="F1708" s="8" t="str">
        <f>IFERROR(__xludf.DUMMYFUNCTION("GOOGLETRANSLATE(C1708, ""en"", ""fr"")"),"abattu, malheureux")</f>
        <v>abattu, malheureux</v>
      </c>
      <c r="G1708" s="8" t="str">
        <f>IFERROR(__xludf.DUMMYFUNCTION("GOOGLETRANSLATE(C1708, ""en"", ""de"")"),"verzweifelt, unglücklich")</f>
        <v>verzweifelt, unglücklich</v>
      </c>
      <c r="H1708" s="8" t="str">
        <f>IFERROR(__xludf.DUMMYFUNCTION("GOOGLETRANSLATE(C1708, ""en"", ""ru"")"),"унылый, несчастный")</f>
        <v>унылый, несчастный</v>
      </c>
      <c r="I1708" s="8" t="str">
        <f>IFERROR(__xludf.DUMMYFUNCTION("GOOGLETRANSLATE(C1708, ""en"", ""ar"")"),"يائس، غير سعيد")</f>
        <v>يائس، غير سعيد</v>
      </c>
      <c r="J1708" s="8"/>
      <c r="K1708" s="7" t="str">
        <f>IFERROR(__xludf.DUMMYFUNCTION("CONCAT(REGEXREPLACE(C1708,""[ ,]+"",""_""),"".mp3"")"),"despondent_unhappy.mp3")</f>
        <v>despondent_unhappy.mp3</v>
      </c>
      <c r="M1708" s="4" t="s">
        <v>10</v>
      </c>
    </row>
    <row r="1709" ht="15.75" customHeight="1">
      <c r="A1709" s="1">
        <v>3077.0</v>
      </c>
      <c r="B1709" s="3">
        <v>155.0</v>
      </c>
      <c r="C1709" s="7" t="s">
        <v>1719</v>
      </c>
      <c r="D1709" s="8" t="str">
        <f>IFERROR(__xludf.DUMMYFUNCTION("GOOGLETRANSLATE(C1709, ""en"", ""pt"")"),"impertinente, grosseiro")</f>
        <v>impertinente, grosseiro</v>
      </c>
      <c r="E1709" s="8" t="str">
        <f>IFERROR(__xludf.DUMMYFUNCTION("GOOGLETRANSLATE(C1709, ""en"", ""es"")"),"impertinente, grosero")</f>
        <v>impertinente, grosero</v>
      </c>
      <c r="F1709" s="8" t="str">
        <f>IFERROR(__xludf.DUMMYFUNCTION("GOOGLETRANSLATE(C1709, ""en"", ""fr"")"),"impertinent, grossier")</f>
        <v>impertinent, grossier</v>
      </c>
      <c r="G1709" s="8" t="str">
        <f>IFERROR(__xludf.DUMMYFUNCTION("GOOGLETRANSLATE(C1709, ""en"", ""de"")"),"unverschämt, unhöflich")</f>
        <v>unverschämt, unhöflich</v>
      </c>
      <c r="H1709" s="8" t="str">
        <f>IFERROR(__xludf.DUMMYFUNCTION("GOOGLETRANSLATE(C1709, ""en"", ""ru"")"),"дерзкий, грубый")</f>
        <v>дерзкий, грубый</v>
      </c>
      <c r="I1709" s="8" t="str">
        <f>IFERROR(__xludf.DUMMYFUNCTION("GOOGLETRANSLATE(C1709, ""en"", ""ar"")"),"وقح، فظ")</f>
        <v>وقح، فظ</v>
      </c>
      <c r="J1709" s="8"/>
      <c r="K1709" s="7" t="str">
        <f>IFERROR(__xludf.DUMMYFUNCTION("CONCAT(REGEXREPLACE(C1709,""[ ,]+"",""_""),"".mp3"")"),"impertinent_rude.mp3")</f>
        <v>impertinent_rude.mp3</v>
      </c>
      <c r="M1709" s="4" t="s">
        <v>10</v>
      </c>
    </row>
    <row r="1710" ht="15.75" customHeight="1">
      <c r="A1710" s="1">
        <v>3078.0</v>
      </c>
      <c r="B1710" s="3">
        <v>155.0</v>
      </c>
      <c r="C1710" s="7" t="s">
        <v>1720</v>
      </c>
      <c r="D1710" s="8" t="str">
        <f>IFERROR(__xludf.DUMMYFUNCTION("GOOGLETRANSLATE(C1710, ""en"", ""pt"")"),"arrogante, presunçoso")</f>
        <v>arrogante, presunçoso</v>
      </c>
      <c r="E1710" s="8" t="str">
        <f>IFERROR(__xludf.DUMMYFUNCTION("GOOGLETRANSLATE(C1710, ""en"", ""es"")"),"altivo, arrogante")</f>
        <v>altivo, arrogante</v>
      </c>
      <c r="F1710" s="8" t="str">
        <f>IFERROR(__xludf.DUMMYFUNCTION("GOOGLETRANSLATE(C1710, ""en"", ""fr"")"),"hautain, arrogant")</f>
        <v>hautain, arrogant</v>
      </c>
      <c r="G1710" s="8" t="str">
        <f>IFERROR(__xludf.DUMMYFUNCTION("GOOGLETRANSLATE(C1710, ""en"", ""de"")"),"hochmütig, arrogant")</f>
        <v>hochmütig, arrogant</v>
      </c>
      <c r="H1710" s="8" t="str">
        <f>IFERROR(__xludf.DUMMYFUNCTION("GOOGLETRANSLATE(C1710, ""en"", ""ru"")"),"надменный, высокомерный")</f>
        <v>надменный, высокомерный</v>
      </c>
      <c r="I1710" s="8" t="str">
        <f>IFERROR(__xludf.DUMMYFUNCTION("GOOGLETRANSLATE(C1710, ""en"", ""ar"")"),"متغطرس، متعجرف")</f>
        <v>متغطرس، متعجرف</v>
      </c>
      <c r="J1710" s="8"/>
      <c r="K1710" s="7" t="str">
        <f>IFERROR(__xludf.DUMMYFUNCTION("CONCAT(REGEXREPLACE(C1710,""[ ,]+"",""_""),"".mp3"")"),"haughty_arrogant.mp3")</f>
        <v>haughty_arrogant.mp3</v>
      </c>
      <c r="M1710" s="4" t="s">
        <v>10</v>
      </c>
    </row>
    <row r="1711" ht="15.75" customHeight="1">
      <c r="A1711" s="1">
        <v>3079.0</v>
      </c>
      <c r="B1711" s="3">
        <v>155.0</v>
      </c>
      <c r="C1711" s="7" t="s">
        <v>1721</v>
      </c>
      <c r="D1711" s="8" t="str">
        <f>IFERROR(__xludf.DUMMYFUNCTION("GOOGLETRANSLATE(C1711, ""en"", ""pt"")"),"reforçar, fortalecer")</f>
        <v>reforçar, fortalecer</v>
      </c>
      <c r="E1711" s="8" t="str">
        <f>IFERROR(__xludf.DUMMYFUNCTION("GOOGLETRANSLATE(C1711, ""en"", ""es"")"),"reforzar, fortalecer")</f>
        <v>reforzar, fortalecer</v>
      </c>
      <c r="F1711" s="8" t="str">
        <f>IFERROR(__xludf.DUMMYFUNCTION("GOOGLETRANSLATE(C1711, ""en"", ""fr"")"),"renforcer, consolider")</f>
        <v>renforcer, consolider</v>
      </c>
      <c r="G1711" s="8" t="str">
        <f>IFERROR(__xludf.DUMMYFUNCTION("GOOGLETRANSLATE(C1711, ""en"", ""de"")"),"stärken, festigen")</f>
        <v>stärken, festigen</v>
      </c>
      <c r="H1711" s="8" t="str">
        <f>IFERROR(__xludf.DUMMYFUNCTION("GOOGLETRANSLATE(C1711, ""en"", ""ru"")"),"укреплять, усиливать")</f>
        <v>укреплять, усиливать</v>
      </c>
      <c r="I1711" s="8" t="str">
        <f>IFERROR(__xludf.DUMMYFUNCTION("GOOGLETRANSLATE(C1711, ""en"", ""ar"")"),"تعزيز، تقوية")</f>
        <v>تعزيز، تقوية</v>
      </c>
      <c r="J1711" s="8"/>
      <c r="K1711" s="7" t="str">
        <f>IFERROR(__xludf.DUMMYFUNCTION("CONCAT(REGEXREPLACE(C1711,""[ ,]+"",""_""),"".mp3"")"),"bolster_strengthen.mp3")</f>
        <v>bolster_strengthen.mp3</v>
      </c>
      <c r="M1711" s="4" t="s">
        <v>10</v>
      </c>
    </row>
    <row r="1712" ht="15.75" customHeight="1">
      <c r="A1712" s="1">
        <v>3080.0</v>
      </c>
      <c r="B1712" s="3">
        <v>155.0</v>
      </c>
      <c r="C1712" s="7" t="s">
        <v>1722</v>
      </c>
      <c r="D1712" s="8" t="str">
        <f>IFERROR(__xludf.DUMMYFUNCTION("GOOGLETRANSLATE(C1712, ""en"", ""pt"")"),"emancipar, libertar")</f>
        <v>emancipar, libertar</v>
      </c>
      <c r="E1712" s="8" t="str">
        <f>IFERROR(__xludf.DUMMYFUNCTION("GOOGLETRANSLATE(C1712, ""en"", ""es"")"),"emancipar, liberar")</f>
        <v>emancipar, liberar</v>
      </c>
      <c r="F1712" s="8" t="str">
        <f>IFERROR(__xludf.DUMMYFUNCTION("GOOGLETRANSLATE(C1712, ""en"", ""fr"")"),"émanciper, libérer")</f>
        <v>émanciper, libérer</v>
      </c>
      <c r="G1712" s="8" t="str">
        <f>IFERROR(__xludf.DUMMYFUNCTION("GOOGLETRANSLATE(C1712, ""en"", ""de"")"),"emanzipieren, befreien")</f>
        <v>emanzipieren, befreien</v>
      </c>
      <c r="H1712" s="8" t="str">
        <f>IFERROR(__xludf.DUMMYFUNCTION("GOOGLETRANSLATE(C1712, ""en"", ""ru"")"),"освободить, эмансипировать")</f>
        <v>освободить, эмансипировать</v>
      </c>
      <c r="I1712" s="8" t="str">
        <f>IFERROR(__xludf.DUMMYFUNCTION("GOOGLETRANSLATE(C1712, ""en"", ""ar"")"),"حرر، أطلق العنان")</f>
        <v>حرر، أطلق العنان</v>
      </c>
      <c r="J1712" s="8"/>
      <c r="K1712" s="7" t="str">
        <f>IFERROR(__xludf.DUMMYFUNCTION("CONCAT(REGEXREPLACE(C1712,""[ ,]+"",""_""),"".mp3"")"),"emancipate_liberate.mp3")</f>
        <v>emancipate_liberate.mp3</v>
      </c>
      <c r="M1712" s="4" t="s">
        <v>10</v>
      </c>
    </row>
    <row r="1713" ht="15.75" customHeight="1">
      <c r="A1713" s="1">
        <v>3081.0</v>
      </c>
      <c r="B1713" s="3">
        <v>155.0</v>
      </c>
      <c r="C1713" s="7" t="s">
        <v>1723</v>
      </c>
      <c r="D1713" s="8" t="str">
        <f>IFERROR(__xludf.DUMMYFUNCTION("GOOGLETRANSLATE(C1713, ""en"", ""pt"")"),"labirinto, labirinto")</f>
        <v>labirinto, labirinto</v>
      </c>
      <c r="E1713" s="8" t="str">
        <f>IFERROR(__xludf.DUMMYFUNCTION("GOOGLETRANSLATE(C1713, ""en"", ""es"")"),"laberinto, dédalo")</f>
        <v>laberinto, dédalo</v>
      </c>
      <c r="F1713" s="8" t="str">
        <f>IFERROR(__xludf.DUMMYFUNCTION("GOOGLETRANSLATE(C1713, ""en"", ""fr"")"),"labyrinthe, dédale")</f>
        <v>labyrinthe, dédale</v>
      </c>
      <c r="G1713" s="8" t="str">
        <f>IFERROR(__xludf.DUMMYFUNCTION("GOOGLETRANSLATE(C1713, ""en"", ""de"")"),"Labyrinth, Irrgarten")</f>
        <v>Labyrinth, Irrgarten</v>
      </c>
      <c r="H1713" s="8" t="str">
        <f>IFERROR(__xludf.DUMMYFUNCTION("GOOGLETRANSLATE(C1713, ""en"", ""ru"")"),"лабиринт, лабиринт")</f>
        <v>лабиринт, лабиринт</v>
      </c>
      <c r="I1713" s="8" t="str">
        <f>IFERROR(__xludf.DUMMYFUNCTION("GOOGLETRANSLATE(C1713, ""en"", ""ar"")"),"متاهة، متاهة")</f>
        <v>متاهة، متاهة</v>
      </c>
      <c r="J1713" s="8"/>
      <c r="K1713" s="7" t="str">
        <f>IFERROR(__xludf.DUMMYFUNCTION("CONCAT(REGEXREPLACE(C1713,""[ ,]+"",""_""),"".mp3"")"),"labyrinth_maze.mp3")</f>
        <v>labyrinth_maze.mp3</v>
      </c>
      <c r="M1713" s="4" t="s">
        <v>10</v>
      </c>
    </row>
    <row r="1714" ht="15.75" customHeight="1">
      <c r="A1714" s="1">
        <v>3082.0</v>
      </c>
      <c r="B1714" s="3">
        <v>155.0</v>
      </c>
      <c r="C1714" s="7" t="s">
        <v>1724</v>
      </c>
      <c r="D1714" s="8" t="str">
        <f>IFERROR(__xludf.DUMMYFUNCTION("GOOGLETRANSLATE(C1714, ""en"", ""pt"")"),"encorajar, encorajar")</f>
        <v>encorajar, encorajar</v>
      </c>
      <c r="E1714" s="8" t="str">
        <f>IFERROR(__xludf.DUMMYFUNCTION("GOOGLETRANSLATE(C1714, ""en"", ""es"")"),"envalentonar, alentar")</f>
        <v>envalentonar, alentar</v>
      </c>
      <c r="F1714" s="8" t="str">
        <f>IFERROR(__xludf.DUMMYFUNCTION("GOOGLETRANSLATE(C1714, ""en"", ""fr"")"),"encourager, donner du courage")</f>
        <v>encourager, donner du courage</v>
      </c>
      <c r="G1714" s="8" t="str">
        <f>IFERROR(__xludf.DUMMYFUNCTION("GOOGLETRANSLATE(C1714, ""en"", ""de"")"),"ermutigen, ermutigen")</f>
        <v>ermutigen, ermutigen</v>
      </c>
      <c r="H1714" s="8" t="str">
        <f>IFERROR(__xludf.DUMMYFUNCTION("GOOGLETRANSLATE(C1714, ""en"", ""ru"")"),"воодушевлять, поощрять")</f>
        <v>воодушевлять, поощрять</v>
      </c>
      <c r="I1714" s="8" t="str">
        <f>IFERROR(__xludf.DUMMYFUNCTION("GOOGLETRANSLATE(C1714, ""en"", ""ar"")"),"تشجيع، تحفيز")</f>
        <v>تشجيع، تحفيز</v>
      </c>
      <c r="J1714" s="8"/>
      <c r="K1714" s="7" t="str">
        <f>IFERROR(__xludf.DUMMYFUNCTION("CONCAT(REGEXREPLACE(C1714,""[ ,]+"",""_""),"".mp3"")"),"embolden_encourage.mp3")</f>
        <v>embolden_encourage.mp3</v>
      </c>
      <c r="M1714" s="4" t="s">
        <v>10</v>
      </c>
    </row>
    <row r="1715" ht="15.75" customHeight="1">
      <c r="A1715" s="1">
        <v>3083.0</v>
      </c>
      <c r="B1715" s="3">
        <v>155.0</v>
      </c>
      <c r="C1715" s="7" t="s">
        <v>1725</v>
      </c>
      <c r="D1715" s="8" t="str">
        <f>IFERROR(__xludf.DUMMYFUNCTION("GOOGLETRANSLATE(C1715, ""en"", ""pt"")"),"defender, sustentar")</f>
        <v>defender, sustentar</v>
      </c>
      <c r="E1715" s="8" t="str">
        <f>IFERROR(__xludf.DUMMYFUNCTION("GOOGLETRANSLATE(C1715, ""en"", ""es"")"),"sostener, defender")</f>
        <v>sostener, defender</v>
      </c>
      <c r="F1715" s="8" t="str">
        <f>IFERROR(__xludf.DUMMYFUNCTION("GOOGLETRANSLATE(C1715, ""en"", ""fr"")"),"défendre, soutenir")</f>
        <v>défendre, soutenir</v>
      </c>
      <c r="G1715" s="8" t="str">
        <f>IFERROR(__xludf.DUMMYFUNCTION("GOOGLETRANSLATE(C1715, ""en"", ""de"")"),"aufrechterhalten, verteidigen")</f>
        <v>aufrechterhalten, verteidigen</v>
      </c>
      <c r="H1715" s="8" t="str">
        <f>IFERROR(__xludf.DUMMYFUNCTION("GOOGLETRANSLATE(C1715, ""en"", ""ru"")"),"поддерживать, защищать")</f>
        <v>поддерживать, защищать</v>
      </c>
      <c r="I1715" s="8" t="str">
        <f>IFERROR(__xludf.DUMMYFUNCTION("GOOGLETRANSLATE(C1715, ""en"", ""ar"")"),"دعم، دافع")</f>
        <v>دعم، دافع</v>
      </c>
      <c r="J1715" s="8"/>
      <c r="K1715" s="7" t="str">
        <f>IFERROR(__xludf.DUMMYFUNCTION("CONCAT(REGEXREPLACE(C1715,""[ ,]+"",""_""),"".mp3"")"),"uphold_defend.mp3")</f>
        <v>uphold_defend.mp3</v>
      </c>
      <c r="M1715" s="4" t="s">
        <v>10</v>
      </c>
    </row>
    <row r="1716" ht="15.75" customHeight="1">
      <c r="A1716" s="1">
        <v>3084.0</v>
      </c>
      <c r="B1716" s="3">
        <v>155.0</v>
      </c>
      <c r="C1716" s="7" t="s">
        <v>1726</v>
      </c>
      <c r="D1716" s="8" t="str">
        <f>IFERROR(__xludf.DUMMYFUNCTION("GOOGLETRANSLATE(C1716, ""en"", ""pt"")"),"exacerbar, agravar")</f>
        <v>exacerbar, agravar</v>
      </c>
      <c r="E1716" s="8" t="str">
        <f>IFERROR(__xludf.DUMMYFUNCTION("GOOGLETRANSLATE(C1716, ""en"", ""es"")"),"exacerbar, agravar")</f>
        <v>exacerbar, agravar</v>
      </c>
      <c r="F1716" s="8" t="str">
        <f>IFERROR(__xludf.DUMMYFUNCTION("GOOGLETRANSLATE(C1716, ""en"", ""fr"")"),"exacerber, aggraver")</f>
        <v>exacerber, aggraver</v>
      </c>
      <c r="G1716" s="8" t="str">
        <f>IFERROR(__xludf.DUMMYFUNCTION("GOOGLETRANSLATE(C1716, ""en"", ""de"")"),"verschlimmern, verschärfen")</f>
        <v>verschlimmern, verschärfen</v>
      </c>
      <c r="H1716" s="8" t="str">
        <f>IFERROR(__xludf.DUMMYFUNCTION("GOOGLETRANSLATE(C1716, ""en"", ""ru"")"),"усугубить, обострить")</f>
        <v>усугубить, обострить</v>
      </c>
      <c r="I1716" s="8" t="str">
        <f>IFERROR(__xludf.DUMMYFUNCTION("GOOGLETRANSLATE(C1716, ""en"", ""ar"")"),"تفاقم، تفاقم")</f>
        <v>تفاقم، تفاقم</v>
      </c>
      <c r="J1716" s="8"/>
      <c r="K1716" s="7" t="str">
        <f>IFERROR(__xludf.DUMMYFUNCTION("CONCAT(REGEXREPLACE(C1716,""[ ,]+"",""_""),"".mp3"")"),"exacerbate_aggravate.mp3")</f>
        <v>exacerbate_aggravate.mp3</v>
      </c>
      <c r="M1716" s="4" t="s">
        <v>10</v>
      </c>
    </row>
    <row r="1717" ht="15.75" customHeight="1">
      <c r="A1717" s="1">
        <v>3085.0</v>
      </c>
      <c r="B1717" s="3">
        <v>155.0</v>
      </c>
      <c r="C1717" s="7" t="s">
        <v>1727</v>
      </c>
      <c r="D1717" s="8" t="str">
        <f>IFERROR(__xludf.DUMMYFUNCTION("GOOGLETRANSLATE(C1717, ""en"", ""pt"")"),"divulgar, revelar")</f>
        <v>divulgar, revelar</v>
      </c>
      <c r="E1717" s="8" t="str">
        <f>IFERROR(__xludf.DUMMYFUNCTION("GOOGLETRANSLATE(C1717, ""en"", ""es"")"),"divulgar, descubrir")</f>
        <v>divulgar, descubrir</v>
      </c>
      <c r="F1717" s="8" t="str">
        <f>IFERROR(__xludf.DUMMYFUNCTION("GOOGLETRANSLATE(C1717, ""en"", ""fr"")"),"divulguer, révéler")</f>
        <v>divulguer, révéler</v>
      </c>
      <c r="G1717" s="8" t="str">
        <f>IFERROR(__xludf.DUMMYFUNCTION("GOOGLETRANSLATE(C1717, ""en"", ""de"")"),"enthüllen, aufdecken")</f>
        <v>enthüllen, aufdecken</v>
      </c>
      <c r="H1717" s="8" t="str">
        <f>IFERROR(__xludf.DUMMYFUNCTION("GOOGLETRANSLATE(C1717, ""en"", ""ru"")"),"раскрывать, выявлять")</f>
        <v>раскрывать, выявлять</v>
      </c>
      <c r="I1717" s="8" t="str">
        <f>IFERROR(__xludf.DUMMYFUNCTION("GOOGLETRANSLATE(C1717, ""en"", ""ar"")"),"أفصح، اكشف")</f>
        <v>أفصح، اكشف</v>
      </c>
      <c r="J1717" s="8"/>
      <c r="K1717" s="7" t="str">
        <f>IFERROR(__xludf.DUMMYFUNCTION("CONCAT(REGEXREPLACE(C1717,""[ ,]+"",""_""),"".mp3"")"),"divulgate_uncover.mp3")</f>
        <v>divulgate_uncover.mp3</v>
      </c>
      <c r="M1717" s="4" t="s">
        <v>10</v>
      </c>
    </row>
    <row r="1718" ht="15.75" customHeight="1">
      <c r="A1718" s="1">
        <v>3086.0</v>
      </c>
      <c r="B1718" s="3">
        <v>155.0</v>
      </c>
      <c r="C1718" s="7" t="s">
        <v>1728</v>
      </c>
      <c r="D1718" s="8" t="str">
        <f>IFERROR(__xludf.DUMMYFUNCTION("GOOGLETRANSLATE(C1718, ""en"", ""pt"")"),"concórdia, acordo")</f>
        <v>concórdia, acordo</v>
      </c>
      <c r="E1718" s="8" t="str">
        <f>IFERROR(__xludf.DUMMYFUNCTION("GOOGLETRANSLATE(C1718, ""en"", ""es"")"),"concordia, acuerdo")</f>
        <v>concordia, acuerdo</v>
      </c>
      <c r="F1718" s="8" t="str">
        <f>IFERROR(__xludf.DUMMYFUNCTION("GOOGLETRANSLATE(C1718, ""en"", ""fr"")"),"concorde, accord")</f>
        <v>concorde, accord</v>
      </c>
      <c r="G1718" s="8" t="str">
        <f>IFERROR(__xludf.DUMMYFUNCTION("GOOGLETRANSLATE(C1718, ""en"", ""de"")"),"Eintracht, Übereinstimmung")</f>
        <v>Eintracht, Übereinstimmung</v>
      </c>
      <c r="H1718" s="8" t="str">
        <f>IFERROR(__xludf.DUMMYFUNCTION("GOOGLETRANSLATE(C1718, ""en"", ""ru"")"),"согласие, соглашение")</f>
        <v>согласие, соглашение</v>
      </c>
      <c r="I1718" s="8" t="str">
        <f>IFERROR(__xludf.DUMMYFUNCTION("GOOGLETRANSLATE(C1718, ""en"", ""ar"")"),"كونكورد، اتفاق")</f>
        <v>كونكورد، اتفاق</v>
      </c>
      <c r="J1718" s="8"/>
      <c r="K1718" s="7" t="str">
        <f>IFERROR(__xludf.DUMMYFUNCTION("CONCAT(REGEXREPLACE(C1718,""[ ,]+"",""_""),"".mp3"")"),"concord_agreement.mp3")</f>
        <v>concord_agreement.mp3</v>
      </c>
      <c r="M1718" s="4" t="s">
        <v>10</v>
      </c>
    </row>
    <row r="1719" ht="15.75" customHeight="1">
      <c r="A1719" s="1">
        <v>3087.0</v>
      </c>
      <c r="B1719" s="3">
        <v>155.0</v>
      </c>
      <c r="C1719" s="7" t="s">
        <v>1729</v>
      </c>
      <c r="D1719" s="8" t="str">
        <f>IFERROR(__xludf.DUMMYFUNCTION("GOOGLETRANSLATE(C1719, ""en"", ""pt"")"),"indomável, invencível")</f>
        <v>indomável, invencível</v>
      </c>
      <c r="E1719" s="8" t="str">
        <f>IFERROR(__xludf.DUMMYFUNCTION("GOOGLETRANSLATE(C1719, ""en"", ""es"")"),"indomable, invencible")</f>
        <v>indomable, invencible</v>
      </c>
      <c r="F1719" s="8" t="str">
        <f>IFERROR(__xludf.DUMMYFUNCTION("GOOGLETRANSLATE(C1719, ""en"", ""fr"")"),"indomptable, invincible")</f>
        <v>indomptable, invincible</v>
      </c>
      <c r="G1719" s="8" t="str">
        <f>IFERROR(__xludf.DUMMYFUNCTION("GOOGLETRANSLATE(C1719, ""en"", ""de"")"),"unbezwingbar, unbesiegbar")</f>
        <v>unbezwingbar, unbesiegbar</v>
      </c>
      <c r="H1719" s="8" t="str">
        <f>IFERROR(__xludf.DUMMYFUNCTION("GOOGLETRANSLATE(C1719, ""en"", ""ru"")"),"неукротимый, непобедимый")</f>
        <v>неукротимый, непобедимый</v>
      </c>
      <c r="I1719" s="8" t="str">
        <f>IFERROR(__xludf.DUMMYFUNCTION("GOOGLETRANSLATE(C1719, ""en"", ""ar"")"),"لا يقهر، لا يُقهر")</f>
        <v>لا يقهر، لا يُقهر</v>
      </c>
      <c r="J1719" s="8"/>
      <c r="K1719" s="7" t="str">
        <f>IFERROR(__xludf.DUMMYFUNCTION("CONCAT(REGEXREPLACE(C1719,""[ ,]+"",""_""),"".mp3"")"),"indomitable_invincible.mp3")</f>
        <v>indomitable_invincible.mp3</v>
      </c>
      <c r="M1719" s="4" t="s">
        <v>10</v>
      </c>
    </row>
    <row r="1720" ht="15.75" customHeight="1">
      <c r="A1720" s="1">
        <v>3088.0</v>
      </c>
      <c r="B1720" s="3">
        <v>155.0</v>
      </c>
      <c r="C1720" s="7" t="s">
        <v>1730</v>
      </c>
      <c r="D1720" s="8" t="str">
        <f>IFERROR(__xludf.DUMMYFUNCTION("GOOGLETRANSLATE(C1720, ""en"", ""pt"")"),"estranho, irrelevante")</f>
        <v>estranho, irrelevante</v>
      </c>
      <c r="E1720" s="8" t="str">
        <f>IFERROR(__xludf.DUMMYFUNCTION("GOOGLETRANSLATE(C1720, ""en"", ""es"")"),"extraño, irrelevante")</f>
        <v>extraño, irrelevante</v>
      </c>
      <c r="F1720" s="8" t="str">
        <f>IFERROR(__xludf.DUMMYFUNCTION("GOOGLETRANSLATE(C1720, ""en"", ""fr"")"),"superflu, non pertinent")</f>
        <v>superflu, non pertinent</v>
      </c>
      <c r="G1720" s="8" t="str">
        <f>IFERROR(__xludf.DUMMYFUNCTION("GOOGLETRANSLATE(C1720, ""en"", ""de"")"),"fremd, irrelevant")</f>
        <v>fremd, irrelevant</v>
      </c>
      <c r="H1720" s="8" t="str">
        <f>IFERROR(__xludf.DUMMYFUNCTION("GOOGLETRANSLATE(C1720, ""en"", ""ru"")"),"посторонний, не имеющий отношения к делу")</f>
        <v>посторонний, не имеющий отношения к делу</v>
      </c>
      <c r="I1720" s="8" t="str">
        <f>IFERROR(__xludf.DUMMYFUNCTION("GOOGLETRANSLATE(C1720, ""en"", ""ar"")"),"دخيل، غير ذي صلة")</f>
        <v>دخيل، غير ذي صلة</v>
      </c>
      <c r="J1720" s="8"/>
      <c r="K1720" s="7" t="str">
        <f>IFERROR(__xludf.DUMMYFUNCTION("CONCAT(REGEXREPLACE(C1720,""[ ,]+"",""_""),"".mp3"")"),"extraneous_irrelevant.mp3")</f>
        <v>extraneous_irrelevant.mp3</v>
      </c>
      <c r="M1720" s="4" t="s">
        <v>10</v>
      </c>
    </row>
    <row r="1721" ht="15.75" customHeight="1">
      <c r="A1721" s="1">
        <v>3089.0</v>
      </c>
      <c r="B1721" s="3">
        <v>155.0</v>
      </c>
      <c r="C1721" s="7" t="s">
        <v>1731</v>
      </c>
      <c r="D1721" s="8" t="str">
        <f>IFERROR(__xludf.DUMMYFUNCTION("GOOGLETRANSLATE(C1721, ""en"", ""pt"")"),"furar, destruir")</f>
        <v>furar, destruir</v>
      </c>
      <c r="E1721" s="8" t="str">
        <f>IFERROR(__xludf.DUMMYFUNCTION("GOOGLETRANSLATE(C1721, ""en"", ""es"")"),"escabullirse, destruir")</f>
        <v>escabullirse, destruir</v>
      </c>
      <c r="F1721" s="8" t="str">
        <f>IFERROR(__xludf.DUMMYFUNCTION("GOOGLETRANSLATE(C1721, ""en"", ""fr"")"),"saborder, détruire")</f>
        <v>saborder, détruire</v>
      </c>
      <c r="G1721" s="8" t="str">
        <f>IFERROR(__xludf.DUMMYFUNCTION("GOOGLETRANSLATE(C1721, ""en"", ""de"")"),"versenken, zerstören")</f>
        <v>versenken, zerstören</v>
      </c>
      <c r="H1721" s="8" t="str">
        <f>IFERROR(__xludf.DUMMYFUNCTION("GOOGLETRANSLATE(C1721, ""en"", ""ru"")"),"затаиться, уничтожить")</f>
        <v>затаиться, уничтожить</v>
      </c>
      <c r="I1721" s="8" t="str">
        <f>IFERROR(__xludf.DUMMYFUNCTION("GOOGLETRANSLATE(C1721, ""en"", ""ar"")"),"سحق، تدمير")</f>
        <v>سحق، تدمير</v>
      </c>
      <c r="J1721" s="8"/>
      <c r="K1721" s="7" t="str">
        <f>IFERROR(__xludf.DUMMYFUNCTION("CONCAT(REGEXREPLACE(C1721,""[ ,]+"",""_""),"".mp3"")"),"scuttle_destroy.mp3")</f>
        <v>scuttle_destroy.mp3</v>
      </c>
      <c r="M1721" s="4" t="s">
        <v>10</v>
      </c>
    </row>
    <row r="1722" ht="15.75" customHeight="1">
      <c r="A1722" s="1">
        <v>3090.0</v>
      </c>
      <c r="B1722" s="3">
        <v>155.0</v>
      </c>
      <c r="C1722" s="7" t="s">
        <v>1732</v>
      </c>
      <c r="D1722" s="8" t="str">
        <f>IFERROR(__xludf.DUMMYFUNCTION("GOOGLETRANSLATE(C1722, ""en"", ""pt"")"),"resultado, desfecho")</f>
        <v>resultado, desfecho</v>
      </c>
      <c r="E1722" s="8" t="str">
        <f>IFERROR(__xludf.DUMMYFUNCTION("GOOGLETRANSLATE(C1722, ""en"", ""es"")"),"resultado, desenlace")</f>
        <v>resultado, desenlace</v>
      </c>
      <c r="F1722" s="8" t="str">
        <f>IFERROR(__xludf.DUMMYFUNCTION("GOOGLETRANSLATE(C1722, ""en"", ""fr"")"),"résultat")</f>
        <v>résultat</v>
      </c>
      <c r="G1722" s="8" t="str">
        <f>IFERROR(__xludf.DUMMYFUNCTION("GOOGLETRANSLATE(C1722, ""en"", ""de"")"),"Ergebnis")</f>
        <v>Ergebnis</v>
      </c>
      <c r="H1722" s="8" t="str">
        <f>IFERROR(__xludf.DUMMYFUNCTION("GOOGLETRANSLATE(C1722, ""en"", ""ru"")"),"итог, результат")</f>
        <v>итог, результат</v>
      </c>
      <c r="I1722" s="8" t="str">
        <f>IFERROR(__xludf.DUMMYFUNCTION("GOOGLETRANSLATE(C1722, ""en"", ""ar"")"),"الخلاصة، النتيجة")</f>
        <v>الخلاصة، النتيجة</v>
      </c>
      <c r="J1722" s="8"/>
      <c r="K1722" s="7" t="str">
        <f>IFERROR(__xludf.DUMMYFUNCTION("CONCAT(REGEXREPLACE(C1722,""[ ,]+"",""_""),"".mp3"")"),"upshot_outcome.mp3")</f>
        <v>upshot_outcome.mp3</v>
      </c>
      <c r="M1722" s="4" t="s">
        <v>10</v>
      </c>
    </row>
    <row r="1723" ht="15.75" customHeight="1">
      <c r="A1723" s="1">
        <v>3091.0</v>
      </c>
      <c r="B1723" s="3">
        <v>155.0</v>
      </c>
      <c r="C1723" s="7" t="s">
        <v>1733</v>
      </c>
      <c r="D1723" s="8" t="str">
        <f>IFERROR(__xludf.DUMMYFUNCTION("GOOGLETRANSLATE(C1723, ""en"", ""pt"")"),"sabotagem, danos")</f>
        <v>sabotagem, danos</v>
      </c>
      <c r="E1723" s="8" t="str">
        <f>IFERROR(__xludf.DUMMYFUNCTION("GOOGLETRANSLATE(C1723, ""en"", ""es"")"),"sabotaje, daños")</f>
        <v>sabotaje, daños</v>
      </c>
      <c r="F1723" s="8" t="str">
        <f>IFERROR(__xludf.DUMMYFUNCTION("GOOGLETRANSLATE(C1723, ""en"", ""fr"")"),"sabotage, dommages")</f>
        <v>sabotage, dommages</v>
      </c>
      <c r="G1723" s="8" t="str">
        <f>IFERROR(__xludf.DUMMYFUNCTION("GOOGLETRANSLATE(C1723, ""en"", ""de"")"),"Sabotage, Beschädigung")</f>
        <v>Sabotage, Beschädigung</v>
      </c>
      <c r="H1723" s="8" t="str">
        <f>IFERROR(__xludf.DUMMYFUNCTION("GOOGLETRANSLATE(C1723, ""en"", ""ru"")"),"саботаж, повреждение")</f>
        <v>саботаж, повреждение</v>
      </c>
      <c r="I1723" s="8" t="str">
        <f>IFERROR(__xludf.DUMMYFUNCTION("GOOGLETRANSLATE(C1723, ""en"", ""ar"")"),"تخريب، إتلاف")</f>
        <v>تخريب، إتلاف</v>
      </c>
      <c r="J1723" s="8"/>
      <c r="K1723" s="7" t="str">
        <f>IFERROR(__xludf.DUMMYFUNCTION("CONCAT(REGEXREPLACE(C1723,""[ ,]+"",""_""),"".mp3"")"),"sabotage_damage.mp3")</f>
        <v>sabotage_damage.mp3</v>
      </c>
      <c r="M1723" s="4" t="s">
        <v>10</v>
      </c>
    </row>
    <row r="1724" ht="15.75" customHeight="1">
      <c r="A1724" s="1">
        <v>3092.0</v>
      </c>
      <c r="B1724" s="3">
        <v>155.0</v>
      </c>
      <c r="C1724" s="7" t="s">
        <v>1734</v>
      </c>
      <c r="D1724" s="8" t="str">
        <f>IFERROR(__xludf.DUMMYFUNCTION("GOOGLETRANSLATE(C1724, ""en"", ""pt"")"),"confundir, atrapalhar")</f>
        <v>confundir, atrapalhar</v>
      </c>
      <c r="E1724" s="8" t="str">
        <f>IFERROR(__xludf.DUMMYFUNCTION("GOOGLETRANSLATE(C1724, ""en"", ""es"")"),"confundir, aturdir")</f>
        <v>confundir, aturdir</v>
      </c>
      <c r="F1724" s="8" t="str">
        <f>IFERROR(__xludf.DUMMYFUNCTION("GOOGLETRANSLATE(C1724, ""en"", ""fr"")"),"embrouiller, confondre")</f>
        <v>embrouiller, confondre</v>
      </c>
      <c r="G1724" s="8" t="str">
        <f>IFERROR(__xludf.DUMMYFUNCTION("GOOGLETRANSLATE(C1724, ""en"", ""de"")"),"verwirren, verwirren")</f>
        <v>verwirren, verwirren</v>
      </c>
      <c r="H1724" s="8" t="str">
        <f>IFERROR(__xludf.DUMMYFUNCTION("GOOGLETRANSLATE(C1724, ""en"", ""ru"")"),"сбить с толку, запутать")</f>
        <v>сбить с толку, запутать</v>
      </c>
      <c r="I1724" s="8" t="str">
        <f>IFERROR(__xludf.DUMMYFUNCTION("GOOGLETRANSLATE(C1724, ""en"", ""ar"")"),"أربك، أربك")</f>
        <v>أربك، أربك</v>
      </c>
      <c r="J1724" s="8"/>
      <c r="K1724" s="7" t="str">
        <f>IFERROR(__xludf.DUMMYFUNCTION("CONCAT(REGEXREPLACE(C1724,""[ ,]+"",""_""),"".mp3"")"),"addle_confuse.mp3")</f>
        <v>addle_confuse.mp3</v>
      </c>
      <c r="M1724" s="4" t="s">
        <v>10</v>
      </c>
    </row>
    <row r="1725" ht="15.75" customHeight="1">
      <c r="A1725" s="1">
        <v>3093.0</v>
      </c>
      <c r="B1725" s="3">
        <v>155.0</v>
      </c>
      <c r="C1725" s="7" t="s">
        <v>1735</v>
      </c>
      <c r="D1725" s="8" t="str">
        <f>IFERROR(__xludf.DUMMYFUNCTION("GOOGLETRANSLATE(C1725, ""en"", ""pt"")"),"vociferante, barulhento")</f>
        <v>vociferante, barulhento</v>
      </c>
      <c r="E1725" s="8" t="str">
        <f>IFERROR(__xludf.DUMMYFUNCTION("GOOGLETRANSLATE(C1725, ""en"", ""es"")"),"vociferante, ruidoso")</f>
        <v>vociferante, ruidoso</v>
      </c>
      <c r="F1725" s="8" t="str">
        <f>IFERROR(__xludf.DUMMYFUNCTION("GOOGLETRANSLATE(C1725, ""en"", ""fr"")"),"bruyant, vociférant")</f>
        <v>bruyant, vociférant</v>
      </c>
      <c r="G1725" s="8" t="str">
        <f>IFERROR(__xludf.DUMMYFUNCTION("GOOGLETRANSLATE(C1725, ""en"", ""de"")"),"lautstark, laut")</f>
        <v>lautstark, laut</v>
      </c>
      <c r="H1725" s="8" t="str">
        <f>IFERROR(__xludf.DUMMYFUNCTION("GOOGLETRANSLATE(C1725, ""en"", ""ru"")"),"громкий, шумный")</f>
        <v>громкий, шумный</v>
      </c>
      <c r="I1725" s="8" t="str">
        <f>IFERROR(__xludf.DUMMYFUNCTION("GOOGLETRANSLATE(C1725, ""en"", ""ar"")"),"صاخب، عالٍ")</f>
        <v>صاخب، عالٍ</v>
      </c>
      <c r="J1725" s="8"/>
      <c r="K1725" s="7" t="str">
        <f>IFERROR(__xludf.DUMMYFUNCTION("CONCAT(REGEXREPLACE(C1725,""[ ,]+"",""_""),"".mp3"")"),"vociferous_loud.mp3")</f>
        <v>vociferous_loud.mp3</v>
      </c>
      <c r="M1725" s="4" t="s">
        <v>10</v>
      </c>
    </row>
    <row r="1726" ht="15.75" customHeight="1">
      <c r="A1726" s="1">
        <v>3094.0</v>
      </c>
      <c r="B1726" s="3">
        <v>155.0</v>
      </c>
      <c r="C1726" s="7" t="s">
        <v>1736</v>
      </c>
      <c r="D1726" s="8" t="str">
        <f>IFERROR(__xludf.DUMMYFUNCTION("GOOGLETRANSLATE(C1726, ""en"", ""pt"")"),"assediador, importunador")</f>
        <v>assediador, importunador</v>
      </c>
      <c r="E1726" s="8" t="str">
        <f>IFERROR(__xludf.DUMMYFUNCTION("GOOGLETRANSLATE(C1726, ""en"", ""es"")"),"acosar, hostigar")</f>
        <v>acosar, hostigar</v>
      </c>
      <c r="F1726" s="8" t="str">
        <f>IFERROR(__xludf.DUMMYFUNCTION("GOOGLETRANSLATE(C1726, ""en"", ""fr"")"),"assiéger, harceler")</f>
        <v>assiéger, harceler</v>
      </c>
      <c r="G1726" s="8" t="str">
        <f>IFERROR(__xludf.DUMMYFUNCTION("GOOGLETRANSLATE(C1726, ""en"", ""de"")"),"belagern, belästigen")</f>
        <v>belagern, belästigen</v>
      </c>
      <c r="H1726" s="8" t="str">
        <f>IFERROR(__xludf.DUMMYFUNCTION("GOOGLETRANSLATE(C1726, ""en"", ""ru"")"),"осаждать, преследовать")</f>
        <v>осаждать, преследовать</v>
      </c>
      <c r="I1726" s="8" t="str">
        <f>IFERROR(__xludf.DUMMYFUNCTION("GOOGLETRANSLATE(C1726, ""en"", ""ar"")"),"محاصر، مضايق")</f>
        <v>محاصر، مضايق</v>
      </c>
      <c r="J1726" s="8"/>
      <c r="K1726" s="7" t="str">
        <f>IFERROR(__xludf.DUMMYFUNCTION("CONCAT(REGEXREPLACE(C1726,""[ ,]+"",""_""),"".mp3"")"),"beleaguer_harass.mp3")</f>
        <v>beleaguer_harass.mp3</v>
      </c>
      <c r="M1726" s="4" t="s">
        <v>10</v>
      </c>
    </row>
    <row r="1727" ht="15.75" customHeight="1">
      <c r="A1727" s="1">
        <v>3095.0</v>
      </c>
      <c r="B1727" s="3">
        <v>155.0</v>
      </c>
      <c r="C1727" s="7" t="s">
        <v>1737</v>
      </c>
      <c r="D1727" s="8" t="str">
        <f>IFERROR(__xludf.DUMMYFUNCTION("GOOGLETRANSLATE(C1727, ""en"", ""pt"")"),"opulento, luxuoso")</f>
        <v>opulento, luxuoso</v>
      </c>
      <c r="E1727" s="8" t="str">
        <f>IFERROR(__xludf.DUMMYFUNCTION("GOOGLETRANSLATE(C1727, ""en"", ""es"")"),"opulento, lujoso")</f>
        <v>opulento, lujoso</v>
      </c>
      <c r="F1727" s="8" t="str">
        <f>IFERROR(__xludf.DUMMYFUNCTION("GOOGLETRANSLATE(C1727, ""en"", ""fr"")"),"opulent, luxueux")</f>
        <v>opulent, luxueux</v>
      </c>
      <c r="G1727" s="8" t="str">
        <f>IFERROR(__xludf.DUMMYFUNCTION("GOOGLETRANSLATE(C1727, ""en"", ""de"")"),"opulent, luxuriös")</f>
        <v>opulent, luxuriös</v>
      </c>
      <c r="H1727" s="8" t="str">
        <f>IFERROR(__xludf.DUMMYFUNCTION("GOOGLETRANSLATE(C1727, ""en"", ""ru"")"),"роскошный, шикарный")</f>
        <v>роскошный, шикарный</v>
      </c>
      <c r="I1727" s="8" t="str">
        <f>IFERROR(__xludf.DUMMYFUNCTION("GOOGLETRANSLATE(C1727, ""en"", ""ar"")"),"فخم، فاخر")</f>
        <v>فخم، فاخر</v>
      </c>
      <c r="J1727" s="8"/>
      <c r="K1727" s="7" t="str">
        <f>IFERROR(__xludf.DUMMYFUNCTION("CONCAT(REGEXREPLACE(C1727,""[ ,]+"",""_""),"".mp3"")"),"opulent_luxurious.mp3")</f>
        <v>opulent_luxurious.mp3</v>
      </c>
      <c r="M1727" s="4" t="s">
        <v>10</v>
      </c>
    </row>
    <row r="1728" ht="15.75" customHeight="1">
      <c r="A1728" s="1">
        <v>3096.0</v>
      </c>
      <c r="B1728" s="3">
        <v>155.0</v>
      </c>
      <c r="C1728" s="7" t="s">
        <v>1738</v>
      </c>
      <c r="D1728" s="8" t="str">
        <f>IFERROR(__xludf.DUMMYFUNCTION("GOOGLETRANSLATE(C1728, ""en"", ""pt"")"),"adulação, elogio")</f>
        <v>adulação, elogio</v>
      </c>
      <c r="E1728" s="8" t="str">
        <f>IFERROR(__xludf.DUMMYFUNCTION("GOOGLETRANSLATE(C1728, ""en"", ""es"")"),"adulación, elogio")</f>
        <v>adulación, elogio</v>
      </c>
      <c r="F1728" s="8" t="str">
        <f>IFERROR(__xludf.DUMMYFUNCTION("GOOGLETRANSLATE(C1728, ""en"", ""fr"")"),"adulation, éloges")</f>
        <v>adulation, éloges</v>
      </c>
      <c r="G1728" s="8" t="str">
        <f>IFERROR(__xludf.DUMMYFUNCTION("GOOGLETRANSLATE(C1728, ""en"", ""de"")"),"Bewunderung, Lob")</f>
        <v>Bewunderung, Lob</v>
      </c>
      <c r="H1728" s="8" t="str">
        <f>IFERROR(__xludf.DUMMYFUNCTION("GOOGLETRANSLATE(C1728, ""en"", ""ru"")"),"восхищение, похвала")</f>
        <v>восхищение, похвала</v>
      </c>
      <c r="I1728" s="8" t="str">
        <f>IFERROR(__xludf.DUMMYFUNCTION("GOOGLETRANSLATE(C1728, ""en"", ""ar"")"),"الإعجاب، الثناء")</f>
        <v>الإعجاب، الثناء</v>
      </c>
      <c r="J1728" s="8"/>
      <c r="K1728" s="7" t="str">
        <f>IFERROR(__xludf.DUMMYFUNCTION("CONCAT(REGEXREPLACE(C1728,""[ ,]+"",""_""),"".mp3"")"),"adulation_praise.mp3")</f>
        <v>adulation_praise.mp3</v>
      </c>
      <c r="M1728" s="4" t="s">
        <v>10</v>
      </c>
    </row>
    <row r="1729" ht="15.75" customHeight="1">
      <c r="A1729" s="1">
        <v>3097.0</v>
      </c>
      <c r="B1729" s="3">
        <v>155.0</v>
      </c>
      <c r="C1729" s="7" t="s">
        <v>1739</v>
      </c>
      <c r="D1729" s="8" t="str">
        <f>IFERROR(__xludf.DUMMYFUNCTION("GOOGLETRANSLATE(C1729, ""en"", ""pt"")"),"odioso, detestável")</f>
        <v>odioso, detestável</v>
      </c>
      <c r="E1729" s="8" t="str">
        <f>IFERROR(__xludf.DUMMYFUNCTION("GOOGLETRANSLATE(C1729, ""en"", ""es"")"),"odioso, odioso")</f>
        <v>odioso, odioso</v>
      </c>
      <c r="F1729" s="8" t="str">
        <f>IFERROR(__xludf.DUMMYFUNCTION("GOOGLETRANSLATE(C1729, ""en"", ""fr"")"),"odieux, haineux")</f>
        <v>odieux, haineux</v>
      </c>
      <c r="G1729" s="8" t="str">
        <f>IFERROR(__xludf.DUMMYFUNCTION("GOOGLETRANSLATE(C1729, ""en"", ""de"")"),"abscheulich, hasserfüllt")</f>
        <v>abscheulich, hasserfüllt</v>
      </c>
      <c r="H1729" s="8" t="str">
        <f>IFERROR(__xludf.DUMMYFUNCTION("GOOGLETRANSLATE(C1729, ""en"", ""ru"")"),"отвратительный, ненавистный")</f>
        <v>отвратительный, ненавистный</v>
      </c>
      <c r="I1729" s="8" t="str">
        <f>IFERROR(__xludf.DUMMYFUNCTION("GOOGLETRANSLATE(C1729, ""en"", ""ar"")"),"بغيض، كريه")</f>
        <v>بغيض، كريه</v>
      </c>
      <c r="J1729" s="8"/>
      <c r="K1729" s="7" t="str">
        <f>IFERROR(__xludf.DUMMYFUNCTION("CONCAT(REGEXREPLACE(C1729,""[ ,]+"",""_""),"".mp3"")"),"odious_hateful.mp3")</f>
        <v>odious_hateful.mp3</v>
      </c>
      <c r="M1729" s="4" t="s">
        <v>10</v>
      </c>
    </row>
    <row r="1730" ht="15.75" customHeight="1">
      <c r="A1730" s="1">
        <v>3098.0</v>
      </c>
      <c r="B1730" s="3">
        <v>155.0</v>
      </c>
      <c r="C1730" s="7" t="s">
        <v>1740</v>
      </c>
      <c r="D1730" s="8" t="str">
        <f>IFERROR(__xludf.DUMMYFUNCTION("GOOGLETRANSLATE(C1730, ""en"", ""pt"")"),"melhorar, aprimorar")</f>
        <v>melhorar, aprimorar</v>
      </c>
      <c r="E1730" s="8" t="str">
        <f>IFERROR(__xludf.DUMMYFUNCTION("GOOGLETRANSLATE(C1730, ""en"", ""es"")"),"mejorar, perfeccionar")</f>
        <v>mejorar, perfeccionar</v>
      </c>
      <c r="F1730" s="8" t="str">
        <f>IFERROR(__xludf.DUMMYFUNCTION("GOOGLETRANSLATE(C1730, ""en"", ""fr"")"),"améliorer, perfectionner")</f>
        <v>améliorer, perfectionner</v>
      </c>
      <c r="G1730" s="8" t="str">
        <f>IFERROR(__xludf.DUMMYFUNCTION("GOOGLETRANSLATE(C1730, ""en"", ""de"")"),"verbessern")</f>
        <v>verbessern</v>
      </c>
      <c r="H1730" s="8" t="str">
        <f>IFERROR(__xludf.DUMMYFUNCTION("GOOGLETRANSLATE(C1730, ""en"", ""ru"")"),"улучшить, смягчить")</f>
        <v>улучшить, смягчить</v>
      </c>
      <c r="I1730" s="8" t="str">
        <f>IFERROR(__xludf.DUMMYFUNCTION("GOOGLETRANSLATE(C1730, ""en"", ""ar"")"),"تحسين، تطوير")</f>
        <v>تحسين، تطوير</v>
      </c>
      <c r="J1730" s="8"/>
      <c r="K1730" s="7" t="str">
        <f>IFERROR(__xludf.DUMMYFUNCTION("CONCAT(REGEXREPLACE(C1730,""[ ,]+"",""_""),"".mp3"")"),"ameliorate_improve.mp3")</f>
        <v>ameliorate_improve.mp3</v>
      </c>
      <c r="M1730" s="4" t="s">
        <v>10</v>
      </c>
    </row>
    <row r="1731" ht="15.75" customHeight="1">
      <c r="A1731" s="1">
        <v>3099.0</v>
      </c>
      <c r="B1731" s="3">
        <v>155.0</v>
      </c>
      <c r="C1731" s="7" t="s">
        <v>1741</v>
      </c>
      <c r="D1731" s="8" t="str">
        <f>IFERROR(__xludf.DUMMYFUNCTION("GOOGLETRANSLATE(C1731, ""en"", ""pt"")"),"plausível, crível")</f>
        <v>plausível, crível</v>
      </c>
      <c r="E1731" s="8" t="str">
        <f>IFERROR(__xludf.DUMMYFUNCTION("GOOGLETRANSLATE(C1731, ""en"", ""es"")"),"plausible, creíble")</f>
        <v>plausible, creíble</v>
      </c>
      <c r="F1731" s="8" t="str">
        <f>IFERROR(__xludf.DUMMYFUNCTION("GOOGLETRANSLATE(C1731, ""en"", ""fr"")"),"plausible, crédible")</f>
        <v>plausible, crédible</v>
      </c>
      <c r="G1731" s="8" t="str">
        <f>IFERROR(__xludf.DUMMYFUNCTION("GOOGLETRANSLATE(C1731, ""en"", ""de"")"),"plausibel, glaubwürdig")</f>
        <v>plausibel, glaubwürdig</v>
      </c>
      <c r="H1731" s="8" t="str">
        <f>IFERROR(__xludf.DUMMYFUNCTION("GOOGLETRANSLATE(C1731, ""en"", ""ru"")"),"правдоподобный, заслуживающий доверия")</f>
        <v>правдоподобный, заслуживающий доверия</v>
      </c>
      <c r="I1731" s="8" t="str">
        <f>IFERROR(__xludf.DUMMYFUNCTION("GOOGLETRANSLATE(C1731, ""en"", ""ar"")"),"معقول، قابل للتصديق")</f>
        <v>معقول، قابل للتصديق</v>
      </c>
      <c r="J1731" s="8"/>
      <c r="K1731" s="7" t="str">
        <f>IFERROR(__xludf.DUMMYFUNCTION("CONCAT(REGEXREPLACE(C1731,""[ ,]+"",""_""),"".mp3"")"),"plausible_believable.mp3")</f>
        <v>plausible_believable.mp3</v>
      </c>
      <c r="M1731" s="4" t="s">
        <v>10</v>
      </c>
    </row>
    <row r="1732" ht="15.75" customHeight="1">
      <c r="A1732" s="1">
        <v>3100.0</v>
      </c>
      <c r="B1732" s="3">
        <v>155.0</v>
      </c>
      <c r="C1732" s="7" t="s">
        <v>1742</v>
      </c>
      <c r="D1732" s="8" t="str">
        <f>IFERROR(__xludf.DUMMYFUNCTION("GOOGLETRANSLATE(C1732, ""en"", ""pt"")"),"flagrante, óbvio")</f>
        <v>flagrante, óbvio</v>
      </c>
      <c r="E1732" s="8" t="str">
        <f>IFERROR(__xludf.DUMMYFUNCTION("GOOGLETRANSLATE(C1732, ""en"", ""es"")"),"flagrante, obvio")</f>
        <v>flagrante, obvio</v>
      </c>
      <c r="F1732" s="8" t="str">
        <f>IFERROR(__xludf.DUMMYFUNCTION("GOOGLETRANSLATE(C1732, ""en"", ""fr"")"),"flagrant, évident")</f>
        <v>flagrant, évident</v>
      </c>
      <c r="G1732" s="8" t="str">
        <f>IFERROR(__xludf.DUMMYFUNCTION("GOOGLETRANSLATE(C1732, ""en"", ""de"")"),"eklatant, offensichtlich")</f>
        <v>eklatant, offensichtlich</v>
      </c>
      <c r="H1732" s="8" t="str">
        <f>IFERROR(__xludf.DUMMYFUNCTION("GOOGLETRANSLATE(C1732, ""en"", ""ru"")"),"вопиющий, очевидный")</f>
        <v>вопиющий, очевидный</v>
      </c>
      <c r="I1732" s="8" t="str">
        <f>IFERROR(__xludf.DUMMYFUNCTION("GOOGLETRANSLATE(C1732, ""en"", ""ar"")"),"صارخ، واضح")</f>
        <v>صارخ، واضح</v>
      </c>
      <c r="J1732" s="8"/>
      <c r="K1732" s="7" t="str">
        <f>IFERROR(__xludf.DUMMYFUNCTION("CONCAT(REGEXREPLACE(C1732,""[ ,]+"",""_""),"".mp3"")"),"blatant_obvious.mp3")</f>
        <v>blatant_obvious.mp3</v>
      </c>
      <c r="M1732" s="4" t="s">
        <v>10</v>
      </c>
    </row>
    <row r="1733" ht="15.75" customHeight="1">
      <c r="A1733" s="1">
        <v>3101.0</v>
      </c>
      <c r="B1733" s="3">
        <v>155.0</v>
      </c>
      <c r="C1733" s="7" t="s">
        <v>1743</v>
      </c>
      <c r="D1733" s="8" t="str">
        <f>IFERROR(__xludf.DUMMYFUNCTION("GOOGLETRANSLATE(C1733, ""en"", ""pt"")"),"repudiar, rejeitar")</f>
        <v>repudiar, rejeitar</v>
      </c>
      <c r="E1733" s="8" t="str">
        <f>IFERROR(__xludf.DUMMYFUNCTION("GOOGLETRANSLATE(C1733, ""en"", ""es"")"),"repudiar, rechazar")</f>
        <v>repudiar, rechazar</v>
      </c>
      <c r="F1733" s="8" t="str">
        <f>IFERROR(__xludf.DUMMYFUNCTION("GOOGLETRANSLATE(C1733, ""en"", ""fr"")"),"répudier, rejeter")</f>
        <v>répudier, rejeter</v>
      </c>
      <c r="G1733" s="8" t="str">
        <f>IFERROR(__xludf.DUMMYFUNCTION("GOOGLETRANSLATE(C1733, ""en"", ""de"")"),"ablehnen, zurückweisen")</f>
        <v>ablehnen, zurückweisen</v>
      </c>
      <c r="H1733" s="8" t="str">
        <f>IFERROR(__xludf.DUMMYFUNCTION("GOOGLETRANSLATE(C1733, ""en"", ""ru"")"),"отвергнуть, отклонить")</f>
        <v>отвергнуть, отклонить</v>
      </c>
      <c r="I1733" s="8" t="str">
        <f>IFERROR(__xludf.DUMMYFUNCTION("GOOGLETRANSLATE(C1733, ""en"", ""ar"")"),"رفض، رفض")</f>
        <v>رفض، رفض</v>
      </c>
      <c r="J1733" s="8"/>
      <c r="K1733" s="7" t="str">
        <f>IFERROR(__xludf.DUMMYFUNCTION("CONCAT(REGEXREPLACE(C1733,""[ ,]+"",""_""),"".mp3"")"),"repudiate_reject.mp3")</f>
        <v>repudiate_reject.mp3</v>
      </c>
      <c r="M1733" s="4" t="s">
        <v>10</v>
      </c>
    </row>
    <row r="1734" ht="15.75" customHeight="1">
      <c r="A1734" s="1">
        <v>3102.0</v>
      </c>
      <c r="B1734" s="3">
        <v>155.0</v>
      </c>
      <c r="C1734" s="7" t="s">
        <v>1744</v>
      </c>
      <c r="D1734" s="8" t="str">
        <f>IFERROR(__xludf.DUMMYFUNCTION("GOOGLETRANSLATE(C1734, ""en"", ""pt"")"),"aglomeração, multidão")</f>
        <v>aglomeração, multidão</v>
      </c>
      <c r="E1734" s="8" t="str">
        <f>IFERROR(__xludf.DUMMYFUNCTION("GOOGLETRANSLATE(C1734, ""en"", ""es"")"),"apiñarse, multitud")</f>
        <v>apiñarse, multitud</v>
      </c>
      <c r="F1734" s="8" t="str">
        <f>IFERROR(__xludf.DUMMYFUNCTION("GOOGLETRANSLATE(C1734, ""en"", ""fr"")"),"regroupement, foule")</f>
        <v>regroupement, foule</v>
      </c>
      <c r="G1734" s="8" t="str">
        <f>IFERROR(__xludf.DUMMYFUNCTION("GOOGLETRANSLATE(C1734, ""en"", ""de"")"),"Gedränge, Menschenmenge")</f>
        <v>Gedränge, Menschenmenge</v>
      </c>
      <c r="H1734" s="8" t="str">
        <f>IFERROR(__xludf.DUMMYFUNCTION("GOOGLETRANSLATE(C1734, ""en"", ""ru"")"),"сбиться в кучку, толпа")</f>
        <v>сбиться в кучку, толпа</v>
      </c>
      <c r="I1734" s="8" t="str">
        <f>IFERROR(__xludf.DUMMYFUNCTION("GOOGLETRANSLATE(C1734, ""en"", ""ar"")"),"تجمع، حشد")</f>
        <v>تجمع، حشد</v>
      </c>
      <c r="J1734" s="8"/>
      <c r="K1734" s="7" t="str">
        <f>IFERROR(__xludf.DUMMYFUNCTION("CONCAT(REGEXREPLACE(C1734,""[ ,]+"",""_""),"".mp3"")"),"huddle_crowd.mp3")</f>
        <v>huddle_crowd.mp3</v>
      </c>
      <c r="M1734" s="4" t="s">
        <v>10</v>
      </c>
    </row>
    <row r="1735" ht="15.75" customHeight="1">
      <c r="A1735" s="1">
        <v>3103.0</v>
      </c>
      <c r="B1735" s="3">
        <v>155.0</v>
      </c>
      <c r="C1735" s="7" t="s">
        <v>1745</v>
      </c>
      <c r="D1735" s="8" t="str">
        <f>IFERROR(__xludf.DUMMYFUNCTION("GOOGLETRANSLATE(C1735, ""en"", ""pt"")"),"inundar, afogar")</f>
        <v>inundar, afogar</v>
      </c>
      <c r="E1735" s="8" t="str">
        <f>IFERROR(__xludf.DUMMYFUNCTION("GOOGLETRANSLATE(C1735, ""en"", ""es"")"),"inundar, ahogar")</f>
        <v>inundar, ahogar</v>
      </c>
      <c r="F1735" s="8" t="str">
        <f>IFERROR(__xludf.DUMMYFUNCTION("GOOGLETRANSLATE(C1735, ""en"", ""fr"")"),"inonder, noyer")</f>
        <v>inonder, noyer</v>
      </c>
      <c r="G1735" s="8" t="str">
        <f>IFERROR(__xludf.DUMMYFUNCTION("GOOGLETRANSLATE(C1735, ""en"", ""de"")"),"überfluten, ertränken")</f>
        <v>überfluten, ertränken</v>
      </c>
      <c r="H1735" s="8" t="str">
        <f>IFERROR(__xludf.DUMMYFUNCTION("GOOGLETRANSLATE(C1735, ""en"", ""ru"")"),"затопить, утопить")</f>
        <v>затопить, утопить</v>
      </c>
      <c r="I1735" s="8" t="str">
        <f>IFERROR(__xludf.DUMMYFUNCTION("GOOGLETRANSLATE(C1735, ""en"", ""ar"")"),"أغرق، أغرق")</f>
        <v>أغرق، أغرق</v>
      </c>
      <c r="J1735" s="8"/>
      <c r="K1735" s="7" t="str">
        <f>IFERROR(__xludf.DUMMYFUNCTION("CONCAT(REGEXREPLACE(C1735,""[ ,]+"",""_""),"".mp3"")"),"inundate_drown.mp3")</f>
        <v>inundate_drown.mp3</v>
      </c>
      <c r="M1735" s="4" t="s">
        <v>10</v>
      </c>
    </row>
    <row r="1736" ht="15.75" customHeight="1">
      <c r="A1736" s="1">
        <v>3104.0</v>
      </c>
      <c r="B1736" s="3">
        <v>155.0</v>
      </c>
      <c r="C1736" s="7" t="s">
        <v>1746</v>
      </c>
      <c r="D1736" s="8" t="str">
        <f>IFERROR(__xludf.DUMMYFUNCTION("GOOGLETRANSLATE(C1736, ""en"", ""pt"")"),"diabólico, maligno")</f>
        <v>diabólico, maligno</v>
      </c>
      <c r="E1736" s="8" t="str">
        <f>IFERROR(__xludf.DUMMYFUNCTION("GOOGLETRANSLATE(C1736, ""en"", ""es"")"),"diabólico, malvado")</f>
        <v>diabólico, malvado</v>
      </c>
      <c r="F1736" s="8" t="str">
        <f>IFERROR(__xludf.DUMMYFUNCTION("GOOGLETRANSLATE(C1736, ""en"", ""fr"")"),"diabolique, maléfique")</f>
        <v>diabolique, maléfique</v>
      </c>
      <c r="G1736" s="8" t="str">
        <f>IFERROR(__xludf.DUMMYFUNCTION("GOOGLETRANSLATE(C1736, ""en"", ""de"")"),"teuflisch, böse")</f>
        <v>teuflisch, böse</v>
      </c>
      <c r="H1736" s="8" t="str">
        <f>IFERROR(__xludf.DUMMYFUNCTION("GOOGLETRANSLATE(C1736, ""en"", ""ru"")"),"дьявольский, злой")</f>
        <v>дьявольский, злой</v>
      </c>
      <c r="I1736" s="8" t="str">
        <f>IFERROR(__xludf.DUMMYFUNCTION("GOOGLETRANSLATE(C1736, ""en"", ""ar"")"),"شيطاني، شرير")</f>
        <v>شيطاني، شرير</v>
      </c>
      <c r="J1736" s="8"/>
      <c r="K1736" s="7" t="str">
        <f>IFERROR(__xludf.DUMMYFUNCTION("CONCAT(REGEXREPLACE(C1736,""[ ,]+"",""_""),"".mp3"")"),"diabolic_evil.mp3")</f>
        <v>diabolic_evil.mp3</v>
      </c>
      <c r="M1736" s="4" t="s">
        <v>10</v>
      </c>
    </row>
    <row r="1737" ht="15.75" customHeight="1">
      <c r="A1737" s="1">
        <v>3105.0</v>
      </c>
      <c r="B1737" s="3">
        <v>155.0</v>
      </c>
      <c r="C1737" s="7" t="s">
        <v>1747</v>
      </c>
      <c r="D1737" s="8" t="str">
        <f>IFERROR(__xludf.DUMMYFUNCTION("GOOGLETRANSLATE(C1737, ""en"", ""pt"")"),"exuberante, enérgico")</f>
        <v>exuberante, enérgico</v>
      </c>
      <c r="E1737" s="8" t="str">
        <f>IFERROR(__xludf.DUMMYFUNCTION("GOOGLETRANSLATE(C1737, ""en"", ""es"")"),"exuberante, enérgico")</f>
        <v>exuberante, enérgico</v>
      </c>
      <c r="F1737" s="8" t="str">
        <f>IFERROR(__xludf.DUMMYFUNCTION("GOOGLETRANSLATE(C1737, ""en"", ""fr"")"),"exubérant, énergique")</f>
        <v>exubérant, énergique</v>
      </c>
      <c r="G1737" s="8" t="str">
        <f>IFERROR(__xludf.DUMMYFUNCTION("GOOGLETRANSLATE(C1737, ""en"", ""de"")"),"überschwänglich, energiegeladen")</f>
        <v>überschwänglich, energiegeladen</v>
      </c>
      <c r="H1737" s="8" t="str">
        <f>IFERROR(__xludf.DUMMYFUNCTION("GOOGLETRANSLATE(C1737, ""en"", ""ru"")"),"жизнерадостный, энергичный")</f>
        <v>жизнерадостный, энергичный</v>
      </c>
      <c r="I1737" s="8" t="str">
        <f>IFERROR(__xludf.DUMMYFUNCTION("GOOGLETRANSLATE(C1737, ""en"", ""ar"")"),"مفعم بالحيوية والنشاط")</f>
        <v>مفعم بالحيوية والنشاط</v>
      </c>
      <c r="J1737" s="8"/>
      <c r="K1737" s="7" t="str">
        <f>IFERROR(__xludf.DUMMYFUNCTION("CONCAT(REGEXREPLACE(C1737,""[ ,]+"",""_""),"".mp3"")"),"exuberant_energetic.mp3")</f>
        <v>exuberant_energetic.mp3</v>
      </c>
      <c r="M1737" s="4" t="s">
        <v>10</v>
      </c>
    </row>
    <row r="1738" ht="15.75" customHeight="1">
      <c r="A1738" s="1">
        <v>3106.0</v>
      </c>
      <c r="B1738" s="3">
        <v>155.0</v>
      </c>
      <c r="C1738" s="7" t="s">
        <v>1553</v>
      </c>
      <c r="D1738" s="8" t="str">
        <f>IFERROR(__xludf.DUMMYFUNCTION("GOOGLETRANSLATE(C1738, ""en"", ""pt"")"),"obstinado, teimoso")</f>
        <v>obstinado, teimoso</v>
      </c>
      <c r="E1738" s="8" t="str">
        <f>IFERROR(__xludf.DUMMYFUNCTION("GOOGLETRANSLATE(C1738, ""en"", ""es"")"),"obstinado, testarudo")</f>
        <v>obstinado, testarudo</v>
      </c>
      <c r="F1738" s="8" t="str">
        <f>IFERROR(__xludf.DUMMYFUNCTION("GOOGLETRANSLATE(C1738, ""en"", ""fr"")"),"obstiné, têtu")</f>
        <v>obstiné, têtu</v>
      </c>
      <c r="G1738" s="8" t="str">
        <f>IFERROR(__xludf.DUMMYFUNCTION("GOOGLETRANSLATE(C1738, ""en"", ""de"")"),"hartnäckig, eigensinnig")</f>
        <v>hartnäckig, eigensinnig</v>
      </c>
      <c r="H1738" s="8" t="str">
        <f>IFERROR(__xludf.DUMMYFUNCTION("GOOGLETRANSLATE(C1738, ""en"", ""ru"")"),"упрямый, несговорчивый")</f>
        <v>упрямый, несговорчивый</v>
      </c>
      <c r="I1738" s="8" t="str">
        <f>IFERROR(__xludf.DUMMYFUNCTION("GOOGLETRANSLATE(C1738, ""en"", ""ar"")"),"عنيد، متصلب الرأي")</f>
        <v>عنيد، متصلب الرأي</v>
      </c>
      <c r="J1738" s="8"/>
      <c r="K1738" s="7" t="str">
        <f>IFERROR(__xludf.DUMMYFUNCTION("CONCAT(REGEXREPLACE(C1738,""[ ,]+"",""_""),"".mp3"")"),"obdurate_stubborn.mp3")</f>
        <v>obdurate_stubborn.mp3</v>
      </c>
      <c r="M1738" s="4" t="s">
        <v>10</v>
      </c>
    </row>
    <row r="1739" ht="15.75" customHeight="1">
      <c r="A1739" s="1">
        <v>3107.0</v>
      </c>
      <c r="B1739" s="3">
        <v>155.0</v>
      </c>
      <c r="C1739" s="7" t="s">
        <v>1748</v>
      </c>
      <c r="D1739" s="8" t="str">
        <f>IFERROR(__xludf.DUMMYFUNCTION("GOOGLETRANSLATE(C1739, ""en"", ""pt"")"),"explicável, explicável")</f>
        <v>explicável, explicável</v>
      </c>
      <c r="E1739" s="8" t="str">
        <f>IFERROR(__xludf.DUMMYFUNCTION("GOOGLETRANSLATE(C1739, ""en"", ""es"")"),"explicable, explicable")</f>
        <v>explicable, explicable</v>
      </c>
      <c r="F1739" s="8" t="str">
        <f>IFERROR(__xludf.DUMMYFUNCTION("GOOGLETRANSLATE(C1739, ""en"", ""fr"")"),"explicable, explicable")</f>
        <v>explicable, explicable</v>
      </c>
      <c r="G1739" s="8" t="str">
        <f>IFERROR(__xludf.DUMMYFUNCTION("GOOGLETRANSLATE(C1739, ""en"", ""de"")"),"erklärbar, nachvollziehbar")</f>
        <v>erklärbar, nachvollziehbar</v>
      </c>
      <c r="H1739" s="8" t="str">
        <f>IFERROR(__xludf.DUMMYFUNCTION("GOOGLETRANSLATE(C1739, ""en"", ""ru"")"),"объяснимый, поддающийся объяснению")</f>
        <v>объяснимый, поддающийся объяснению</v>
      </c>
      <c r="I1739" s="8" t="str">
        <f>IFERROR(__xludf.DUMMYFUNCTION("GOOGLETRANSLATE(C1739, ""en"", ""ar"")"),"قابل للتفسير، قابل للتفسير")</f>
        <v>قابل للتفسير، قابل للتفسير</v>
      </c>
      <c r="J1739" s="8"/>
      <c r="K1739" s="7" t="str">
        <f>IFERROR(__xludf.DUMMYFUNCTION("CONCAT(REGEXREPLACE(C1739,""[ ,]+"",""_""),"".mp3"")"),"explicable_explainable.mp3")</f>
        <v>explicable_explainable.mp3</v>
      </c>
      <c r="M1739" s="4" t="s">
        <v>10</v>
      </c>
    </row>
    <row r="1740" ht="15.75" customHeight="1">
      <c r="A1740" s="1">
        <v>3108.0</v>
      </c>
      <c r="B1740" s="3">
        <v>155.0</v>
      </c>
      <c r="C1740" s="7" t="s">
        <v>1749</v>
      </c>
      <c r="D1740" s="8" t="str">
        <f>IFERROR(__xludf.DUMMYFUNCTION("GOOGLETRANSLATE(C1740, ""en"", ""pt"")"),"cambalear, vacilar")</f>
        <v>cambalear, vacilar</v>
      </c>
      <c r="E1740" s="8" t="str">
        <f>IFERROR(__xludf.DUMMYFUNCTION("GOOGLETRANSLATE(C1740, ""en"", ""es"")"),"tambalearse, vacilar")</f>
        <v>tambalearse, vacilar</v>
      </c>
      <c r="F1740" s="8" t="str">
        <f>IFERROR(__xludf.DUMMYFUNCTION("GOOGLETRANSLATE(C1740, ""en"", ""fr"")"),"chanceler, vaciller")</f>
        <v>chanceler, vaciller</v>
      </c>
      <c r="G1740" s="8" t="str">
        <f>IFERROR(__xludf.DUMMYFUNCTION("GOOGLETRANSLATE(C1740, ""en"", ""de"")"),"taumeln, schwanken")</f>
        <v>taumeln, schwanken</v>
      </c>
      <c r="H1740" s="8" t="str">
        <f>IFERROR(__xludf.DUMMYFUNCTION("GOOGLETRANSLATE(C1740, ""en"", ""ru"")"),"шататься, спотыкаться")</f>
        <v>шататься, спотыкаться</v>
      </c>
      <c r="I1740" s="8" t="str">
        <f>IFERROR(__xludf.DUMMYFUNCTION("GOOGLETRANSLATE(C1740, ""en"", ""ar"")"),"يترنح، يتعثر")</f>
        <v>يترنح، يتعثر</v>
      </c>
      <c r="J1740" s="8"/>
      <c r="K1740" s="7" t="str">
        <f>IFERROR(__xludf.DUMMYFUNCTION("CONCAT(REGEXREPLACE(C1740,""[ ,]+"",""_""),"".mp3"")"),"stagger_falter.mp3")</f>
        <v>stagger_falter.mp3</v>
      </c>
      <c r="M1740" s="4" t="s">
        <v>10</v>
      </c>
    </row>
    <row r="1741" ht="15.75" customHeight="1">
      <c r="A1741" s="1">
        <v>3109.0</v>
      </c>
      <c r="B1741" s="3">
        <v>155.0</v>
      </c>
      <c r="C1741" s="7" t="s">
        <v>1750</v>
      </c>
      <c r="D1741" s="8" t="str">
        <f>IFERROR(__xludf.DUMMYFUNCTION("GOOGLETRANSLATE(C1741, ""en"", ""pt"")"),"perseverança, dedicação")</f>
        <v>perseverança, dedicação</v>
      </c>
      <c r="E1741" s="8" t="str">
        <f>IFERROR(__xludf.DUMMYFUNCTION("GOOGLETRANSLATE(C1741, ""en"", ""es"")"),"perseverancia, dedicación")</f>
        <v>perseverancia, dedicación</v>
      </c>
      <c r="F1741" s="8" t="str">
        <f>IFERROR(__xludf.DUMMYFUNCTION("GOOGLETRANSLATE(C1741, ""en"", ""fr"")"),"persévérance, dévouement")</f>
        <v>persévérance, dévouement</v>
      </c>
      <c r="G1741" s="8" t="str">
        <f>IFERROR(__xludf.DUMMYFUNCTION("GOOGLETRANSLATE(C1741, ""en"", ""de"")"),"Ausdauer, Hingabe")</f>
        <v>Ausdauer, Hingabe</v>
      </c>
      <c r="H1741" s="8" t="str">
        <f>IFERROR(__xludf.DUMMYFUNCTION("GOOGLETRANSLATE(C1741, ""en"", ""ru"")"),"настойчивость, преданность")</f>
        <v>настойчивость, преданность</v>
      </c>
      <c r="I1741" s="8" t="str">
        <f>IFERROR(__xludf.DUMMYFUNCTION("GOOGLETRANSLATE(C1741, ""en"", ""ar"")"),"المثابرة والتفاني")</f>
        <v>المثابرة والتفاني</v>
      </c>
      <c r="J1741" s="8"/>
      <c r="K1741" s="7" t="str">
        <f>IFERROR(__xludf.DUMMYFUNCTION("CONCAT(REGEXREPLACE(C1741,""[ ,]+"",""_""),"".mp3"")"),"perseverance_dedication.mp3")</f>
        <v>perseverance_dedication.mp3</v>
      </c>
      <c r="M1741" s="4" t="s">
        <v>10</v>
      </c>
    </row>
    <row r="1742" ht="15.75" customHeight="1">
      <c r="A1742" s="1">
        <v>3110.0</v>
      </c>
      <c r="B1742" s="3">
        <v>155.0</v>
      </c>
      <c r="C1742" s="7" t="s">
        <v>1751</v>
      </c>
      <c r="D1742" s="8" t="str">
        <f>IFERROR(__xludf.DUMMYFUNCTION("GOOGLETRANSLATE(C1742, ""en"", ""pt"")"),"evidenciar, manifestar")</f>
        <v>evidenciar, manifestar</v>
      </c>
      <c r="E1742" s="8" t="str">
        <f>IFERROR(__xludf.DUMMYFUNCTION("GOOGLETRANSLATE(C1742, ""en"", ""es"")"),"evidenciar, manifestar")</f>
        <v>evidenciar, manifestar</v>
      </c>
      <c r="F1742" s="8" t="str">
        <f>IFERROR(__xludf.DUMMYFUNCTION("GOOGLETRANSLATE(C1742, ""en"", ""fr"")"),"manifester, faire apparaître")</f>
        <v>manifester, faire apparaître</v>
      </c>
      <c r="G1742" s="8" t="str">
        <f>IFERROR(__xludf.DUMMYFUNCTION("GOOGLETRANSLATE(C1742, ""en"", ""de"")"),"beweisen, manifestieren")</f>
        <v>beweisen, manifestieren</v>
      </c>
      <c r="H1742" s="8" t="str">
        <f>IFERROR(__xludf.DUMMYFUNCTION("GOOGLETRANSLATE(C1742, ""en"", ""ru"")"),"проявлять, демонстрировать")</f>
        <v>проявлять, демонстрировать</v>
      </c>
      <c r="I1742" s="8" t="str">
        <f>IFERROR(__xludf.DUMMYFUNCTION("GOOGLETRANSLATE(C1742, ""en"", ""ar"")"),"دليل، واضح")</f>
        <v>دليل، واضح</v>
      </c>
      <c r="J1742" s="8"/>
      <c r="K1742" s="7" t="str">
        <f>IFERROR(__xludf.DUMMYFUNCTION("CONCAT(REGEXREPLACE(C1742,""[ ,]+"",""_""),"".mp3"")"),"evince_manifest.mp3")</f>
        <v>evince_manifest.mp3</v>
      </c>
      <c r="M1742" s="4" t="s">
        <v>10</v>
      </c>
    </row>
    <row r="1743" ht="15.75" customHeight="1">
      <c r="A1743" s="1">
        <v>3111.0</v>
      </c>
      <c r="B1743" s="3">
        <v>155.0</v>
      </c>
      <c r="C1743" s="7" t="s">
        <v>1752</v>
      </c>
      <c r="D1743" s="8" t="str">
        <f>IFERROR(__xludf.DUMMYFUNCTION("GOOGLETRANSLATE(C1743, ""en"", ""pt"")"),"adversário, oponente")</f>
        <v>adversário, oponente</v>
      </c>
      <c r="E1743" s="8" t="str">
        <f>IFERROR(__xludf.DUMMYFUNCTION("GOOGLETRANSLATE(C1743, ""en"", ""es"")"),"adversario, oponente")</f>
        <v>adversario, oponente</v>
      </c>
      <c r="F1743" s="8" t="str">
        <f>IFERROR(__xludf.DUMMYFUNCTION("GOOGLETRANSLATE(C1743, ""en"", ""fr"")"),"adversaire, opposant")</f>
        <v>adversaire, opposant</v>
      </c>
      <c r="G1743" s="8" t="str">
        <f>IFERROR(__xludf.DUMMYFUNCTION("GOOGLETRANSLATE(C1743, ""en"", ""de"")"),"Gegner")</f>
        <v>Gegner</v>
      </c>
      <c r="H1743" s="8" t="str">
        <f>IFERROR(__xludf.DUMMYFUNCTION("GOOGLETRANSLATE(C1743, ""en"", ""ru"")"),"противник, оппонент")</f>
        <v>противник, оппонент</v>
      </c>
      <c r="I1743" s="8" t="str">
        <f>IFERROR(__xludf.DUMMYFUNCTION("GOOGLETRANSLATE(C1743, ""en"", ""ar"")"),"الخصم، الخصم")</f>
        <v>الخصم، الخصم</v>
      </c>
      <c r="J1743" s="8"/>
      <c r="K1743" s="7" t="str">
        <f>IFERROR(__xludf.DUMMYFUNCTION("CONCAT(REGEXREPLACE(C1743,""[ ,]+"",""_""),"".mp3"")"),"adversary_opponent.mp3")</f>
        <v>adversary_opponent.mp3</v>
      </c>
      <c r="M1743" s="4" t="s">
        <v>10</v>
      </c>
    </row>
    <row r="1744" ht="15.75" customHeight="1">
      <c r="A1744" s="1">
        <v>3112.0</v>
      </c>
      <c r="B1744" s="3">
        <v>155.0</v>
      </c>
      <c r="C1744" s="7" t="s">
        <v>1753</v>
      </c>
      <c r="D1744" s="8" t="str">
        <f>IFERROR(__xludf.DUMMYFUNCTION("GOOGLETRANSLATE(C1744, ""en"", ""pt"")"),"recriminação, alegação")</f>
        <v>recriminação, alegação</v>
      </c>
      <c r="E1744" s="8" t="str">
        <f>IFERROR(__xludf.DUMMYFUNCTION("GOOGLETRANSLATE(C1744, ""en"", ""es"")"),"recriminación, acusación")</f>
        <v>recriminación, acusación</v>
      </c>
      <c r="F1744" s="8" t="str">
        <f>IFERROR(__xludf.DUMMYFUNCTION("GOOGLETRANSLATE(C1744, ""en"", ""fr"")"),"récrimination, allégation")</f>
        <v>récrimination, allégation</v>
      </c>
      <c r="G1744" s="8" t="str">
        <f>IFERROR(__xludf.DUMMYFUNCTION("GOOGLETRANSLATE(C1744, ""en"", ""de"")"),"gegenseitige Beschuldigungen, Anschuldigungen")</f>
        <v>gegenseitige Beschuldigungen, Anschuldigungen</v>
      </c>
      <c r="H1744" s="8" t="str">
        <f>IFERROR(__xludf.DUMMYFUNCTION("GOOGLETRANSLATE(C1744, ""en"", ""ru"")"),"взаимные обвинения, обвинение")</f>
        <v>взаимные обвинения, обвинение</v>
      </c>
      <c r="I1744" s="8" t="str">
        <f>IFERROR(__xludf.DUMMYFUNCTION("GOOGLETRANSLATE(C1744, ""en"", ""ar"")"),"تبادل الاتهامات، الادعاءات")</f>
        <v>تبادل الاتهامات، الادعاءات</v>
      </c>
      <c r="J1744" s="8"/>
      <c r="K1744" s="7" t="str">
        <f>IFERROR(__xludf.DUMMYFUNCTION("CONCAT(REGEXREPLACE(C1744,""[ ,]+"",""_""),"".mp3"")"),"recrimination_allegation.mp3")</f>
        <v>recrimination_allegation.mp3</v>
      </c>
      <c r="M1744" s="4" t="s">
        <v>10</v>
      </c>
    </row>
    <row r="1745" ht="15.75" customHeight="1">
      <c r="A1745" s="1">
        <v>3113.0</v>
      </c>
      <c r="B1745" s="3">
        <v>155.0</v>
      </c>
      <c r="C1745" s="7" t="s">
        <v>1754</v>
      </c>
      <c r="D1745" s="8" t="str">
        <f>IFERROR(__xludf.DUMMYFUNCTION("GOOGLETRANSLATE(C1745, ""en"", ""pt"")"),"implicar, necessitar")</f>
        <v>implicar, necessitar</v>
      </c>
      <c r="E1745" s="8" t="str">
        <f>IFERROR(__xludf.DUMMYFUNCTION("GOOGLETRANSLATE(C1745, ""en"", ""es"")"),"implicar, necesitar")</f>
        <v>implicar, necesitar</v>
      </c>
      <c r="F1745" s="8" t="str">
        <f>IFERROR(__xludf.DUMMYFUNCTION("GOOGLETRANSLATE(C1745, ""en"", ""fr"")"),"impliquer, nécessiter")</f>
        <v>impliquer, nécessiter</v>
      </c>
      <c r="G1745" s="8" t="str">
        <f>IFERROR(__xludf.DUMMYFUNCTION("GOOGLETRANSLATE(C1745, ""en"", ""de"")"),"mit sich bringen, erfordern")</f>
        <v>mit sich bringen, erfordern</v>
      </c>
      <c r="H1745" s="8" t="str">
        <f>IFERROR(__xludf.DUMMYFUNCTION("GOOGLETRANSLATE(C1745, ""en"", ""ru"")"),"подразумевать, обусловливать")</f>
        <v>подразумевать, обусловливать</v>
      </c>
      <c r="I1745" s="8" t="str">
        <f>IFERROR(__xludf.DUMMYFUNCTION("GOOGLETRANSLATE(C1745, ""en"", ""ar"")"),"يستلزم، يتطلب")</f>
        <v>يستلزم، يتطلب</v>
      </c>
      <c r="J1745" s="8"/>
      <c r="K1745" s="7" t="str">
        <f>IFERROR(__xludf.DUMMYFUNCTION("CONCAT(REGEXREPLACE(C1745,""[ ,]+"",""_""),"".mp3"")"),"entail_necessitate.mp3")</f>
        <v>entail_necessitate.mp3</v>
      </c>
      <c r="M1745" s="4" t="s">
        <v>10</v>
      </c>
    </row>
    <row r="1746" ht="15.75" customHeight="1">
      <c r="A1746" s="1">
        <v>3114.0</v>
      </c>
      <c r="B1746" s="3">
        <v>155.0</v>
      </c>
      <c r="C1746" s="7" t="s">
        <v>1755</v>
      </c>
      <c r="D1746" s="8" t="str">
        <f>IFERROR(__xludf.DUMMYFUNCTION("GOOGLETRANSLATE(C1746, ""en"", ""pt"")"),"ímpeto, estimulante")</f>
        <v>ímpeto, estimulante</v>
      </c>
      <c r="E1746" s="8" t="str">
        <f>IFERROR(__xludf.DUMMYFUNCTION("GOOGLETRANSLATE(C1746, ""en"", ""es"")"),"impulso, estimulante")</f>
        <v>impulso, estimulante</v>
      </c>
      <c r="F1746" s="8" t="str">
        <f>IFERROR(__xludf.DUMMYFUNCTION("GOOGLETRANSLATE(C1746, ""en"", ""fr"")"),"impulsion, stimulant")</f>
        <v>impulsion, stimulant</v>
      </c>
      <c r="G1746" s="8" t="str">
        <f>IFERROR(__xludf.DUMMYFUNCTION("GOOGLETRANSLATE(C1746, ""en"", ""de"")"),"Impuls, Stimulans")</f>
        <v>Impuls, Stimulans</v>
      </c>
      <c r="H1746" s="8" t="str">
        <f>IFERROR(__xludf.DUMMYFUNCTION("GOOGLETRANSLATE(C1746, ""en"", ""ru"")"),"импульс, стимулятор")</f>
        <v>импульс, стимулятор</v>
      </c>
      <c r="I1746" s="8" t="str">
        <f>IFERROR(__xludf.DUMMYFUNCTION("GOOGLETRANSLATE(C1746, ""en"", ""ar"")"),"الدافع، المنشط")</f>
        <v>الدافع، المنشط</v>
      </c>
      <c r="J1746" s="8"/>
      <c r="K1746" s="7" t="str">
        <f>IFERROR(__xludf.DUMMYFUNCTION("CONCAT(REGEXREPLACE(C1746,""[ ,]+"",""_""),"".mp3"")"),"impetus_stimulant.mp3")</f>
        <v>impetus_stimulant.mp3</v>
      </c>
      <c r="M1746" s="4" t="s">
        <v>10</v>
      </c>
    </row>
    <row r="1747" ht="15.75" customHeight="1">
      <c r="A1747" s="1">
        <v>3115.0</v>
      </c>
      <c r="B1747" s="3">
        <v>155.0</v>
      </c>
      <c r="C1747" s="7" t="s">
        <v>1756</v>
      </c>
      <c r="D1747" s="8" t="str">
        <f>IFERROR(__xludf.DUMMYFUNCTION("GOOGLETRANSLATE(C1747, ""en"", ""pt"")"),"indevido, excessivo")</f>
        <v>indevido, excessivo</v>
      </c>
      <c r="E1747" s="8" t="str">
        <f>IFERROR(__xludf.DUMMYFUNCTION("GOOGLETRANSLATE(C1747, ""en"", ""es"")"),"indebido, excesivo")</f>
        <v>indebido, excesivo</v>
      </c>
      <c r="F1747" s="8" t="str">
        <f>IFERROR(__xludf.DUMMYFUNCTION("GOOGLETRANSLATE(C1747, ""en"", ""fr"")"),"indu, excessif")</f>
        <v>indu, excessif</v>
      </c>
      <c r="G1747" s="8" t="str">
        <f>IFERROR(__xludf.DUMMYFUNCTION("GOOGLETRANSLATE(C1747, ""en"", ""de"")"),"unangemessen, übermäßig")</f>
        <v>unangemessen, übermäßig</v>
      </c>
      <c r="H1747" s="8" t="str">
        <f>IFERROR(__xludf.DUMMYFUNCTION("GOOGLETRANSLATE(C1747, ""en"", ""ru"")"),"чрезмерный, излишний")</f>
        <v>чрезмерный, излишний</v>
      </c>
      <c r="I1747" s="8" t="str">
        <f>IFERROR(__xludf.DUMMYFUNCTION("GOOGLETRANSLATE(C1747, ""en"", ""ar"")"),"غير مبرر، مفرط")</f>
        <v>غير مبرر، مفرط</v>
      </c>
      <c r="J1747" s="8"/>
      <c r="K1747" s="7" t="str">
        <f>IFERROR(__xludf.DUMMYFUNCTION("CONCAT(REGEXREPLACE(C1747,""[ ,]+"",""_""),"".mp3"")"),"undue_excessive.mp3")</f>
        <v>undue_excessive.mp3</v>
      </c>
      <c r="M1747" s="4" t="s">
        <v>10</v>
      </c>
    </row>
    <row r="1748" ht="15.75" customHeight="1">
      <c r="A1748" s="1">
        <v>3116.0</v>
      </c>
      <c r="B1748" s="3">
        <v>155.0</v>
      </c>
      <c r="C1748" s="7" t="s">
        <v>1757</v>
      </c>
      <c r="D1748" s="8" t="str">
        <f>IFERROR(__xludf.DUMMYFUNCTION("GOOGLETRANSLATE(C1748, ""en"", ""pt"")"),"penúrio, muito pobre")</f>
        <v>penúrio, muito pobre</v>
      </c>
      <c r="E1748" s="8" t="str">
        <f>IFERROR(__xludf.DUMMYFUNCTION("GOOGLETRANSLATE(C1748, ""en"", ""es"")"),"penoso, muy pobre")</f>
        <v>penoso, muy pobre</v>
      </c>
      <c r="F1748" s="8" t="str">
        <f>IFERROR(__xludf.DUMMYFUNCTION("GOOGLETRANSLATE(C1748, ""en"", ""fr"")"),"misérable, très pauvre")</f>
        <v>misérable, très pauvre</v>
      </c>
      <c r="G1748" s="8" t="str">
        <f>IFERROR(__xludf.DUMMYFUNCTION("GOOGLETRANSLATE(C1748, ""en"", ""de"")"),"mittellos, sehr arm")</f>
        <v>mittellos, sehr arm</v>
      </c>
      <c r="H1748" s="8" t="str">
        <f>IFERROR(__xludf.DUMMYFUNCTION("GOOGLETRANSLATE(C1748, ""en"", ""ru"")"),"нищий, очень бедный")</f>
        <v>нищий, очень бедный</v>
      </c>
      <c r="I1748" s="8" t="str">
        <f>IFERROR(__xludf.DUMMYFUNCTION("GOOGLETRANSLATE(C1748, ""en"", ""ar"")"),"فقير جداً")</f>
        <v>فقير جداً</v>
      </c>
      <c r="J1748" s="8"/>
      <c r="K1748" s="7" t="str">
        <f>IFERROR(__xludf.DUMMYFUNCTION("CONCAT(REGEXREPLACE(C1748,""[ ,]+"",""_""),"".mp3"")"),"penurious_very_poor.mp3")</f>
        <v>penurious_very_poor.mp3</v>
      </c>
      <c r="M1748" s="4" t="s">
        <v>10</v>
      </c>
    </row>
    <row r="1749" ht="15.75" customHeight="1">
      <c r="A1749" s="1">
        <v>3117.0</v>
      </c>
      <c r="B1749" s="3">
        <v>155.0</v>
      </c>
      <c r="C1749" s="7" t="s">
        <v>1758</v>
      </c>
      <c r="D1749" s="8" t="str">
        <f>IFERROR(__xludf.DUMMYFUNCTION("GOOGLETRANSLATE(C1749, ""en"", ""pt"")"),"torpeza, corrupção")</f>
        <v>torpeza, corrupção</v>
      </c>
      <c r="E1749" s="8" t="str">
        <f>IFERROR(__xludf.DUMMYFUNCTION("GOOGLETRANSLATE(C1749, ""en"", ""es"")"),"vileza, corrupción")</f>
        <v>vileza, corrupción</v>
      </c>
      <c r="F1749" s="8" t="str">
        <f>IFERROR(__xludf.DUMMYFUNCTION("GOOGLETRANSLATE(C1749, ""en"", ""fr"")"),"turpitude, corruption")</f>
        <v>turpitude, corruption</v>
      </c>
      <c r="G1749" s="8" t="str">
        <f>IFERROR(__xludf.DUMMYFUNCTION("GOOGLETRANSLATE(C1749, ""en"", ""de"")"),"Verwerflichkeit, Korruption")</f>
        <v>Verwerflichkeit, Korruption</v>
      </c>
      <c r="H1749" s="8" t="str">
        <f>IFERROR(__xludf.DUMMYFUNCTION("GOOGLETRANSLATE(C1749, ""en"", ""ru"")"),"порочность, коррупция")</f>
        <v>порочность, коррупция</v>
      </c>
      <c r="I1749" s="8" t="str">
        <f>IFERROR(__xludf.DUMMYFUNCTION("GOOGLETRANSLATE(C1749, ""en"", ""ar"")"),"الخسة والفساد")</f>
        <v>الخسة والفساد</v>
      </c>
      <c r="J1749" s="8"/>
      <c r="K1749" s="7" t="str">
        <f>IFERROR(__xludf.DUMMYFUNCTION("CONCAT(REGEXREPLACE(C1749,""[ ,]+"",""_""),"".mp3"")"),"turpitude_corruption.mp3")</f>
        <v>turpitude_corruption.mp3</v>
      </c>
      <c r="M1749" s="4" t="s">
        <v>10</v>
      </c>
    </row>
    <row r="1750" ht="15.75" customHeight="1">
      <c r="A1750" s="1">
        <v>3118.0</v>
      </c>
      <c r="B1750" s="3">
        <v>155.0</v>
      </c>
      <c r="C1750" s="7" t="s">
        <v>1759</v>
      </c>
      <c r="D1750" s="8" t="str">
        <f>IFERROR(__xludf.DUMMYFUNCTION("GOOGLETRANSLATE(C1750, ""en"", ""pt"")"),"bizantino, intrincado")</f>
        <v>bizantino, intrincado</v>
      </c>
      <c r="E1750" s="8" t="str">
        <f>IFERROR(__xludf.DUMMYFUNCTION("GOOGLETRANSLATE(C1750, ""en"", ""es"")"),"bizantino, intrincado")</f>
        <v>bizantino, intrincado</v>
      </c>
      <c r="F1750" s="8" t="str">
        <f>IFERROR(__xludf.DUMMYFUNCTION("GOOGLETRANSLATE(C1750, ""en"", ""fr"")"),"byzantin, complexe")</f>
        <v>byzantin, complexe</v>
      </c>
      <c r="G1750" s="8" t="str">
        <f>IFERROR(__xludf.DUMMYFUNCTION("GOOGLETRANSLATE(C1750, ""en"", ""de"")"),"byzantinisch, verschnörkelt")</f>
        <v>byzantinisch, verschnörkelt</v>
      </c>
      <c r="H1750" s="8" t="str">
        <f>IFERROR(__xludf.DUMMYFUNCTION("GOOGLETRANSLATE(C1750, ""en"", ""ru"")"),"византийский, сложный")</f>
        <v>византийский, сложный</v>
      </c>
      <c r="I1750" s="8" t="str">
        <f>IFERROR(__xludf.DUMMYFUNCTION("GOOGLETRANSLATE(C1750, ""en"", ""ar"")"),"بيزنطي، معقد")</f>
        <v>بيزنطي، معقد</v>
      </c>
      <c r="J1750" s="8"/>
      <c r="K1750" s="7" t="str">
        <f>IFERROR(__xludf.DUMMYFUNCTION("CONCAT(REGEXREPLACE(C1750,""[ ,]+"",""_""),"".mp3"")"),"byzantine_intricate.mp3")</f>
        <v>byzantine_intricate.mp3</v>
      </c>
      <c r="M1750" s="4" t="s">
        <v>10</v>
      </c>
    </row>
    <row r="1751" ht="15.75" customHeight="1">
      <c r="A1751" s="1">
        <v>3119.0</v>
      </c>
      <c r="B1751" s="3">
        <v>155.0</v>
      </c>
      <c r="C1751" s="7" t="s">
        <v>1760</v>
      </c>
      <c r="D1751" s="8" t="str">
        <f>IFERROR(__xludf.DUMMYFUNCTION("GOOGLETRANSLATE(C1751, ""en"", ""pt"")"),"expurgar, apagar")</f>
        <v>expurgar, apagar</v>
      </c>
      <c r="E1751" s="8" t="str">
        <f>IFERROR(__xludf.DUMMYFUNCTION("GOOGLETRANSLATE(C1751, ""en"", ""es"")"),"borrar, eliminar")</f>
        <v>borrar, eliminar</v>
      </c>
      <c r="F1751" s="8" t="str">
        <f>IFERROR(__xludf.DUMMYFUNCTION("GOOGLETRANSLATE(C1751, ""en"", ""fr"")"),"effacer, supprimer")</f>
        <v>effacer, supprimer</v>
      </c>
      <c r="G1751" s="8" t="str">
        <f>IFERROR(__xludf.DUMMYFUNCTION("GOOGLETRANSLATE(C1751, ""en"", ""de"")"),"löschen, entfernen")</f>
        <v>löschen, entfernen</v>
      </c>
      <c r="H1751" s="8" t="str">
        <f>IFERROR(__xludf.DUMMYFUNCTION("GOOGLETRANSLATE(C1751, ""en"", ""ru"")"),"удалить, стереть")</f>
        <v>удалить, стереть</v>
      </c>
      <c r="I1751" s="8" t="str">
        <f>IFERROR(__xludf.DUMMYFUNCTION("GOOGLETRANSLATE(C1751, ""en"", ""ar"")"),"شطب، حذف")</f>
        <v>شطب، حذف</v>
      </c>
      <c r="J1751" s="8"/>
      <c r="K1751" s="7" t="str">
        <f>IFERROR(__xludf.DUMMYFUNCTION("CONCAT(REGEXREPLACE(C1751,""[ ,]+"",""_""),"".mp3"")"),"expunge_delete.mp3")</f>
        <v>expunge_delete.mp3</v>
      </c>
      <c r="M1751" s="4" t="s">
        <v>10</v>
      </c>
    </row>
    <row r="1752" ht="15.75" customHeight="1">
      <c r="A1752" s="1">
        <v>3120.0</v>
      </c>
      <c r="B1752" s="3">
        <v>155.0</v>
      </c>
      <c r="C1752" s="7" t="s">
        <v>1761</v>
      </c>
      <c r="D1752" s="8" t="str">
        <f>IFERROR(__xludf.DUMMYFUNCTION("GOOGLETRANSLATE(C1752, ""en"", ""pt"")"),"difamar, caluniar")</f>
        <v>difamar, caluniar</v>
      </c>
      <c r="E1752" s="8" t="str">
        <f>IFERROR(__xludf.DUMMYFUNCTION("GOOGLETRANSLATE(C1752, ""en"", ""es"")"),"manchar, difamar")</f>
        <v>manchar, difamar</v>
      </c>
      <c r="F1752" s="8" t="str">
        <f>IFERROR(__xludf.DUMMYFUNCTION("GOOGLETRANSLATE(C1752, ""en"", ""fr"")"),"salir, diffamer")</f>
        <v>salir, diffamer</v>
      </c>
      <c r="G1752" s="8" t="str">
        <f>IFERROR(__xludf.DUMMYFUNCTION("GOOGLETRANSLATE(C1752, ""en"", ""de"")"),"verunglimpfen, diffamieren")</f>
        <v>verunglimpfen, diffamieren</v>
      </c>
      <c r="H1752" s="8" t="str">
        <f>IFERROR(__xludf.DUMMYFUNCTION("GOOGLETRANSLATE(C1752, ""en"", ""ru"")"),"опорочить, опозорить")</f>
        <v>опорочить, опозорить</v>
      </c>
      <c r="I1752" s="8" t="str">
        <f>IFERROR(__xludf.DUMMYFUNCTION("GOOGLETRANSLATE(C1752, ""en"", ""ar"")"),"تشويه السمعة، التشهير")</f>
        <v>تشويه السمعة، التشهير</v>
      </c>
      <c r="J1752" s="8"/>
      <c r="K1752" s="7" t="str">
        <f>IFERROR(__xludf.DUMMYFUNCTION("CONCAT(REGEXREPLACE(C1752,""[ ,]+"",""_""),"".mp3"")"),"besmirch_defame.mp3")</f>
        <v>besmirch_defame.mp3</v>
      </c>
      <c r="M1752" s="4" t="s">
        <v>10</v>
      </c>
    </row>
    <row r="1753" ht="15.75" customHeight="1">
      <c r="A1753" s="1">
        <v>3121.0</v>
      </c>
      <c r="B1753" s="3">
        <v>155.0</v>
      </c>
      <c r="C1753" s="7" t="s">
        <v>1762</v>
      </c>
      <c r="D1753" s="8" t="str">
        <f>IFERROR(__xludf.DUMMYFUNCTION("GOOGLETRANSLATE(C1753, ""en"", ""pt"")"),"tenebroso, sombrio")</f>
        <v>tenebroso, sombrio</v>
      </c>
      <c r="E1753" s="8" t="str">
        <f>IFERROR(__xludf.DUMMYFUNCTION("GOOGLETRANSLATE(C1753, ""en"", ""es"")"),"tenebroso, sombrío")</f>
        <v>tenebroso, sombrío</v>
      </c>
      <c r="F1753" s="8" t="str">
        <f>IFERROR(__xludf.DUMMYFUNCTION("GOOGLETRANSLATE(C1753, ""en"", ""fr"")"),"ténébreux, ombragé")</f>
        <v>ténébreux, ombragé</v>
      </c>
      <c r="G1753" s="8" t="str">
        <f>IFERROR(__xludf.DUMMYFUNCTION("GOOGLETRANSLATE(C1753, ""en"", ""de"")"),"düster, schattig")</f>
        <v>düster, schattig</v>
      </c>
      <c r="H1753" s="8" t="str">
        <f>IFERROR(__xludf.DUMMYFUNCTION("GOOGLETRANSLATE(C1753, ""en"", ""ru"")"),"темный, теневой")</f>
        <v>темный, теневой</v>
      </c>
      <c r="I1753" s="8" t="str">
        <f>IFERROR(__xludf.DUMMYFUNCTION("GOOGLETRANSLATE(C1753, ""en"", ""ar"")"),"مظلم، غامق")</f>
        <v>مظلم، غامق</v>
      </c>
      <c r="J1753" s="8"/>
      <c r="K1753" s="7" t="str">
        <f>IFERROR(__xludf.DUMMYFUNCTION("CONCAT(REGEXREPLACE(C1753,""[ ,]+"",""_""),"".mp3"")"),"tenebrous_shadowy.mp3")</f>
        <v>tenebrous_shadowy.mp3</v>
      </c>
      <c r="M1753" s="4" t="s">
        <v>10</v>
      </c>
    </row>
    <row r="1754" ht="15.75" customHeight="1">
      <c r="A1754" s="1">
        <v>3122.0</v>
      </c>
      <c r="B1754" s="3">
        <v>155.0</v>
      </c>
      <c r="C1754" s="7" t="s">
        <v>1763</v>
      </c>
      <c r="D1754" s="8" t="str">
        <f>IFERROR(__xludf.DUMMYFUNCTION("GOOGLETRANSLATE(C1754, ""en"", ""pt"")"),"estrato, camada")</f>
        <v>estrato, camada</v>
      </c>
      <c r="E1754" s="8" t="str">
        <f>IFERROR(__xludf.DUMMYFUNCTION("GOOGLETRANSLATE(C1754, ""en"", ""es"")"),"estrato, capa")</f>
        <v>estrato, capa</v>
      </c>
      <c r="F1754" s="8" t="str">
        <f>IFERROR(__xludf.DUMMYFUNCTION("GOOGLETRANSLATE(C1754, ""en"", ""fr"")"),"strate, couche")</f>
        <v>strate, couche</v>
      </c>
      <c r="G1754" s="8" t="str">
        <f>IFERROR(__xludf.DUMMYFUNCTION("GOOGLETRANSLATE(C1754, ""en"", ""de"")"),"Schicht, Schicht")</f>
        <v>Schicht, Schicht</v>
      </c>
      <c r="H1754" s="8" t="str">
        <f>IFERROR(__xludf.DUMMYFUNCTION("GOOGLETRANSLATE(C1754, ""en"", ""ru"")"),"слой, пласт")</f>
        <v>слой, пласт</v>
      </c>
      <c r="I1754" s="8" t="str">
        <f>IFERROR(__xludf.DUMMYFUNCTION("GOOGLETRANSLATE(C1754, ""en"", ""ar"")"),"الطبقة، الطبقة")</f>
        <v>الطبقة، الطبقة</v>
      </c>
      <c r="J1754" s="8"/>
      <c r="K1754" s="7" t="str">
        <f>IFERROR(__xludf.DUMMYFUNCTION("CONCAT(REGEXREPLACE(C1754,""[ ,]+"",""_""),"".mp3"")"),"stratum_layer.mp3")</f>
        <v>stratum_layer.mp3</v>
      </c>
      <c r="M1754" s="4" t="s">
        <v>10</v>
      </c>
    </row>
    <row r="1755" ht="15.75" customHeight="1">
      <c r="A1755" s="1">
        <v>3123.0</v>
      </c>
      <c r="B1755" s="3">
        <v>155.0</v>
      </c>
      <c r="C1755" s="7" t="s">
        <v>1764</v>
      </c>
      <c r="D1755" s="8" t="str">
        <f>IFERROR(__xludf.DUMMYFUNCTION("GOOGLETRANSLATE(C1755, ""en"", ""pt"")"),"generalizado, disseminado")</f>
        <v>generalizado, disseminado</v>
      </c>
      <c r="E1755" s="8" t="str">
        <f>IFERROR(__xludf.DUMMYFUNCTION("GOOGLETRANSLATE(C1755, ""en"", ""es"")"),"generalizado, extendido")</f>
        <v>generalizado, extendido</v>
      </c>
      <c r="F1755" s="8" t="str">
        <f>IFERROR(__xludf.DUMMYFUNCTION("GOOGLETRANSLATE(C1755, ""en"", ""fr"")"),"omniprésent, généralisé")</f>
        <v>omniprésent, généralisé</v>
      </c>
      <c r="G1755" s="8" t="str">
        <f>IFERROR(__xludf.DUMMYFUNCTION("GOOGLETRANSLATE(C1755, ""en"", ""de"")"),"allgegenwärtig, weitverbreitet")</f>
        <v>allgegenwärtig, weitverbreitet</v>
      </c>
      <c r="H1755" s="8" t="str">
        <f>IFERROR(__xludf.DUMMYFUNCTION("GOOGLETRANSLATE(C1755, ""en"", ""ru"")"),"повсеместный, широко распространенный")</f>
        <v>повсеместный, широко распространенный</v>
      </c>
      <c r="I1755" s="8" t="str">
        <f>IFERROR(__xludf.DUMMYFUNCTION("GOOGLETRANSLATE(C1755, ""en"", ""ar"")"),"واسع الانتشار، منتشر")</f>
        <v>واسع الانتشار، منتشر</v>
      </c>
      <c r="J1755" s="8"/>
      <c r="K1755" s="7" t="str">
        <f>IFERROR(__xludf.DUMMYFUNCTION("CONCAT(REGEXREPLACE(C1755,""[ ,]+"",""_""),"".mp3"")"),"pervasive_widespread.mp3")</f>
        <v>pervasive_widespread.mp3</v>
      </c>
      <c r="M1755" s="4" t="s">
        <v>10</v>
      </c>
    </row>
    <row r="1756" ht="15.75" customHeight="1">
      <c r="A1756" s="1">
        <v>3124.0</v>
      </c>
      <c r="B1756" s="3">
        <v>155.0</v>
      </c>
      <c r="C1756" s="7" t="s">
        <v>1765</v>
      </c>
      <c r="D1756" s="8" t="str">
        <f>IFERROR(__xludf.DUMMYFUNCTION("GOOGLETRANSLATE(C1756, ""en"", ""pt"")"),"generalizado, disseminado")</f>
        <v>generalizado, disseminado</v>
      </c>
      <c r="E1756" s="8" t="str">
        <f>IFERROR(__xludf.DUMMYFUNCTION("GOOGLETRANSLATE(C1756, ""en"", ""es"")"),"abundante, generalizado")</f>
        <v>abundante, generalizado</v>
      </c>
      <c r="F1756" s="8" t="str">
        <f>IFERROR(__xludf.DUMMYFUNCTION("GOOGLETRANSLATE(C1756, ""en"", ""fr"")"),"répandu, généralisé")</f>
        <v>répandu, généralisé</v>
      </c>
      <c r="G1756" s="8" t="str">
        <f>IFERROR(__xludf.DUMMYFUNCTION("GOOGLETRANSLATE(C1756, ""en"", ""de"")"),"weit verbreitet, häufig")</f>
        <v>weit verbreitet, häufig</v>
      </c>
      <c r="H1756" s="8" t="str">
        <f>IFERROR(__xludf.DUMMYFUNCTION("GOOGLETRANSLATE(C1756, ""en"", ""ru"")"),"широко распространенный, повсеместный")</f>
        <v>широко распространенный, повсеместный</v>
      </c>
      <c r="I1756" s="8" t="str">
        <f>IFERROR(__xludf.DUMMYFUNCTION("GOOGLETRANSLATE(C1756, ""en"", ""ar"")"),"متفشٍ، واسع الانتشار")</f>
        <v>متفشٍ، واسع الانتشار</v>
      </c>
      <c r="J1756" s="8"/>
      <c r="K1756" s="7" t="str">
        <f>IFERROR(__xludf.DUMMYFUNCTION("CONCAT(REGEXREPLACE(C1756,""[ ,]+"",""_""),"".mp3"")"),"rife_widespread.mp3")</f>
        <v>rife_widespread.mp3</v>
      </c>
      <c r="M1756" s="4" t="s">
        <v>10</v>
      </c>
    </row>
    <row r="1757" ht="15.75" customHeight="1">
      <c r="A1757" s="1">
        <v>3125.0</v>
      </c>
      <c r="B1757" s="3">
        <v>155.0</v>
      </c>
      <c r="C1757" s="7" t="s">
        <v>1766</v>
      </c>
      <c r="D1757" s="8" t="str">
        <f>IFERROR(__xludf.DUMMYFUNCTION("GOOGLETRANSLATE(C1757, ""en"", ""pt"")"),"onipresente, generalizado")</f>
        <v>onipresente, generalizado</v>
      </c>
      <c r="E1757" s="8" t="str">
        <f>IFERROR(__xludf.DUMMYFUNCTION("GOOGLETRANSLATE(C1757, ""en"", ""es"")"),"omnipresente, generalizado")</f>
        <v>omnipresente, generalizado</v>
      </c>
      <c r="F1757" s="8" t="str">
        <f>IFERROR(__xludf.DUMMYFUNCTION("GOOGLETRANSLATE(C1757, ""en"", ""fr"")"),"omniprésent, répandu")</f>
        <v>omniprésent, répandu</v>
      </c>
      <c r="G1757" s="8" t="str">
        <f>IFERROR(__xludf.DUMMYFUNCTION("GOOGLETRANSLATE(C1757, ""en"", ""de"")"),"allgegenwärtig, weit verbreitet")</f>
        <v>allgegenwärtig, weit verbreitet</v>
      </c>
      <c r="H1757" s="8" t="str">
        <f>IFERROR(__xludf.DUMMYFUNCTION("GOOGLETRANSLATE(C1757, ""en"", ""ru"")"),"повсеместный, широко распространенный")</f>
        <v>повсеместный, широко распространенный</v>
      </c>
      <c r="I1757" s="8" t="str">
        <f>IFERROR(__xludf.DUMMYFUNCTION("GOOGLETRANSLATE(C1757, ""en"", ""ar"")"),"منتشر في كل مكان، واسع الانتشار")</f>
        <v>منتشر في كل مكان، واسع الانتشار</v>
      </c>
      <c r="J1757" s="8"/>
      <c r="K1757" s="7" t="str">
        <f>IFERROR(__xludf.DUMMYFUNCTION("CONCAT(REGEXREPLACE(C1757,""[ ,]+"",""_""),"".mp3"")"),"ubiquitous_widespread.mp3")</f>
        <v>ubiquitous_widespread.mp3</v>
      </c>
      <c r="M1757" s="4" t="s">
        <v>10</v>
      </c>
    </row>
    <row r="1758" ht="15.75" customHeight="1">
      <c r="A1758" s="1">
        <v>3126.0</v>
      </c>
      <c r="B1758" s="3">
        <v>155.0</v>
      </c>
      <c r="C1758" s="7" t="s">
        <v>1767</v>
      </c>
      <c r="D1758" s="8" t="str">
        <f>IFERROR(__xludf.DUMMYFUNCTION("GOOGLETRANSLATE(C1758, ""en"", ""pt"")"),"recalcitrante, teimoso")</f>
        <v>recalcitrante, teimoso</v>
      </c>
      <c r="E1758" s="8" t="str">
        <f>IFERROR(__xludf.DUMMYFUNCTION("GOOGLETRANSLATE(C1758, ""en"", ""es"")"),"recalcitrante, terco")</f>
        <v>recalcitrante, terco</v>
      </c>
      <c r="F1758" s="8" t="str">
        <f>IFERROR(__xludf.DUMMYFUNCTION("GOOGLETRANSLATE(C1758, ""en"", ""fr"")"),"récalcitrant, obstiné")</f>
        <v>récalcitrant, obstiné</v>
      </c>
      <c r="G1758" s="8" t="str">
        <f>IFERROR(__xludf.DUMMYFUNCTION("GOOGLETRANSLATE(C1758, ""en"", ""de"")"),"widerspenstig, stur")</f>
        <v>widerspenstig, stur</v>
      </c>
      <c r="H1758" s="8" t="str">
        <f>IFERROR(__xludf.DUMMYFUNCTION("GOOGLETRANSLATE(C1758, ""en"", ""ru"")"),"непокорный, упрямый")</f>
        <v>непокорный, упрямый</v>
      </c>
      <c r="I1758" s="8" t="str">
        <f>IFERROR(__xludf.DUMMYFUNCTION("GOOGLETRANSLATE(C1758, ""en"", ""ar"")"),"عنيد، متصلب الرأي")</f>
        <v>عنيد، متصلب الرأي</v>
      </c>
      <c r="J1758" s="8"/>
      <c r="K1758" s="7" t="str">
        <f>IFERROR(__xludf.DUMMYFUNCTION("CONCAT(REGEXREPLACE(C1758,""[ ,]+"",""_""),"".mp3"")"),"recalcitrant_stubborn.mp3")</f>
        <v>recalcitrant_stubborn.mp3</v>
      </c>
      <c r="M1758" s="4" t="s">
        <v>10</v>
      </c>
    </row>
    <row r="1759" ht="15.75" customHeight="1">
      <c r="A1759" s="1">
        <v>3127.0</v>
      </c>
      <c r="B1759" s="3">
        <v>155.0</v>
      </c>
      <c r="C1759" s="7" t="s">
        <v>1768</v>
      </c>
      <c r="D1759" s="8" t="str">
        <f>IFERROR(__xludf.DUMMYFUNCTION("GOOGLETRANSLATE(C1759, ""en"", ""pt"")"),"afronta, insulto")</f>
        <v>afronta, insulto</v>
      </c>
      <c r="E1759" s="8" t="str">
        <f>IFERROR(__xludf.DUMMYFUNCTION("GOOGLETRANSLATE(C1759, ""en"", ""es"")"),"afrenta, insulto")</f>
        <v>afrenta, insulto</v>
      </c>
      <c r="F1759" s="8" t="str">
        <f>IFERROR(__xludf.DUMMYFUNCTION("GOOGLETRANSLATE(C1759, ""en"", ""fr"")"),"affront, insult")</f>
        <v>affront, insult</v>
      </c>
      <c r="G1759" s="8" t="str">
        <f>IFERROR(__xludf.DUMMYFUNCTION("GOOGLETRANSLATE(C1759, ""en"", ""de"")"),"Beleidigung, Beleidigung")</f>
        <v>Beleidigung, Beleidigung</v>
      </c>
      <c r="H1759" s="8" t="str">
        <f>IFERROR(__xludf.DUMMYFUNCTION("GOOGLETRANSLATE(C1759, ""en"", ""ru"")"),"оскорбление, унижение")</f>
        <v>оскорбление, унижение</v>
      </c>
      <c r="I1759" s="8" t="str">
        <f>IFERROR(__xludf.DUMMYFUNCTION("GOOGLETRANSLATE(C1759, ""en"", ""ar"")"),"إهانة، إهانة")</f>
        <v>إهانة، إهانة</v>
      </c>
      <c r="J1759" s="8"/>
      <c r="K1759" s="7" t="str">
        <f>IFERROR(__xludf.DUMMYFUNCTION("CONCAT(REGEXREPLACE(C1759,""[ ,]+"",""_""),"".mp3"")"),"affront_insult.mp3")</f>
        <v>affront_insult.mp3</v>
      </c>
      <c r="M1759" s="4" t="s">
        <v>10</v>
      </c>
    </row>
    <row r="1760" ht="15.75" customHeight="1">
      <c r="A1760" s="1">
        <v>3128.0</v>
      </c>
      <c r="B1760" s="3">
        <v>155.0</v>
      </c>
      <c r="C1760" s="7" t="s">
        <v>1769</v>
      </c>
      <c r="D1760" s="8" t="str">
        <f>IFERROR(__xludf.DUMMYFUNCTION("GOOGLETRANSLATE(C1760, ""en"", ""pt"")"),"renunciar, desistir")</f>
        <v>renunciar, desistir</v>
      </c>
      <c r="E1760" s="8" t="str">
        <f>IFERROR(__xludf.DUMMYFUNCTION("GOOGLETRANSLATE(C1760, ""en"", ""es"")"),"abjurar, renunciar")</f>
        <v>abjurar, renunciar</v>
      </c>
      <c r="F1760" s="8" t="str">
        <f>IFERROR(__xludf.DUMMYFUNCTION("GOOGLETRANSLATE(C1760, ""en"", ""fr"")"),"abjurer, renoncer")</f>
        <v>abjurer, renoncer</v>
      </c>
      <c r="G1760" s="8" t="str">
        <f>IFERROR(__xludf.DUMMYFUNCTION("GOOGLETRANSLATE(C1760, ""en"", ""de"")"),"abschwören, aufgeben")</f>
        <v>abschwören, aufgeben</v>
      </c>
      <c r="H1760" s="8" t="str">
        <f>IFERROR(__xludf.DUMMYFUNCTION("GOOGLETRANSLATE(C1760, ""en"", ""ru"")"),"отречься, отказаться")</f>
        <v>отречься, отказаться</v>
      </c>
      <c r="I1760" s="8" t="str">
        <f>IFERROR(__xludf.DUMMYFUNCTION("GOOGLETRANSLATE(C1760, ""en"", ""ar"")"),"التخلي، الاستسلام")</f>
        <v>التخلي، الاستسلام</v>
      </c>
      <c r="J1760" s="8"/>
      <c r="K1760" s="7" t="str">
        <f>IFERROR(__xludf.DUMMYFUNCTION("CONCAT(REGEXREPLACE(C1760,""[ ,]+"",""_""),"".mp3"")"),"abjure_give_up.mp3")</f>
        <v>abjure_give_up.mp3</v>
      </c>
      <c r="M1760" s="4" t="s">
        <v>10</v>
      </c>
    </row>
    <row r="1761" ht="15.75" customHeight="1">
      <c r="A1761" s="1">
        <v>3129.0</v>
      </c>
      <c r="B1761" s="3">
        <v>155.0</v>
      </c>
      <c r="C1761" s="7" t="s">
        <v>1419</v>
      </c>
      <c r="D1761" s="8" t="str">
        <f>IFERROR(__xludf.DUMMYFUNCTION("GOOGLETRANSLATE(C1761, ""en"", ""pt"")"),"conjurar, solicitar")</f>
        <v>conjurar, solicitar</v>
      </c>
      <c r="E1761" s="8" t="str">
        <f>IFERROR(__xludf.DUMMYFUNCTION("GOOGLETRANSLATE(C1761, ""en"", ""es"")"),"conjurar, solicitar")</f>
        <v>conjurar, solicitar</v>
      </c>
      <c r="F1761" s="8" t="str">
        <f>IFERROR(__xludf.DUMMYFUNCTION("GOOGLETRANSLATE(C1761, ""en"", ""fr"")"),"adjure, demande")</f>
        <v>adjure, demande</v>
      </c>
      <c r="G1761" s="8" t="str">
        <f>IFERROR(__xludf.DUMMYFUNCTION("GOOGLETRANSLATE(C1761, ""en"", ""de"")"),"beschwören, bitten")</f>
        <v>beschwören, bitten</v>
      </c>
      <c r="H1761" s="8" t="str">
        <f>IFERROR(__xludf.DUMMYFUNCTION("GOOGLETRANSLATE(C1761, ""en"", ""ru"")"),"заклинать, просьба")</f>
        <v>заклинать, просьба</v>
      </c>
      <c r="I1761" s="8" t="str">
        <f>IFERROR(__xludf.DUMMYFUNCTION("GOOGLETRANSLATE(C1761, ""en"", ""ar"")"),"يأمر، يطلب")</f>
        <v>يأمر، يطلب</v>
      </c>
      <c r="J1761" s="8"/>
      <c r="K1761" s="7" t="str">
        <f>IFERROR(__xludf.DUMMYFUNCTION("CONCAT(REGEXREPLACE(C1761,""[ ,]+"",""_""),"".mp3"")"),"adjure_request.mp3")</f>
        <v>adjure_request.mp3</v>
      </c>
      <c r="M1761" s="4" t="s">
        <v>10</v>
      </c>
    </row>
    <row r="1762" ht="15.75" customHeight="1">
      <c r="A1762" s="1">
        <v>3130.0</v>
      </c>
      <c r="B1762" s="3">
        <v>155.0</v>
      </c>
      <c r="C1762" s="7" t="s">
        <v>1770</v>
      </c>
      <c r="D1762" s="8" t="str">
        <f>IFERROR(__xludf.DUMMYFUNCTION("GOOGLETRANSLATE(C1762, ""en"", ""pt"")"),"denunciar, criticar")</f>
        <v>denunciar, criticar</v>
      </c>
      <c r="E1762" s="8" t="str">
        <f>IFERROR(__xludf.DUMMYFUNCTION("GOOGLETRANSLATE(C1762, ""en"", ""es"")"),"denunciar, criticar")</f>
        <v>denunciar, criticar</v>
      </c>
      <c r="F1762" s="8" t="str">
        <f>IFERROR(__xludf.DUMMYFUNCTION("GOOGLETRANSLATE(C1762, ""en"", ""fr"")"),"dénoncer, critiquer")</f>
        <v>dénoncer, critiquer</v>
      </c>
      <c r="G1762" s="8" t="str">
        <f>IFERROR(__xludf.DUMMYFUNCTION("GOOGLETRANSLATE(C1762, ""en"", ""de"")"),"anprangern, kritisieren")</f>
        <v>anprangern, kritisieren</v>
      </c>
      <c r="H1762" s="8" t="str">
        <f>IFERROR(__xludf.DUMMYFUNCTION("GOOGLETRANSLATE(C1762, ""en"", ""ru"")"),"осуждать, критиковать")</f>
        <v>осуждать, критиковать</v>
      </c>
      <c r="I1762" s="8" t="str">
        <f>IFERROR(__xludf.DUMMYFUNCTION("GOOGLETRANSLATE(C1762, ""en"", ""ar"")"),"استنكر، انتقد")</f>
        <v>استنكر، انتقد</v>
      </c>
      <c r="J1762" s="8"/>
      <c r="K1762" s="7" t="str">
        <f>IFERROR(__xludf.DUMMYFUNCTION("CONCAT(REGEXREPLACE(C1762,""[ ,]+"",""_""),"".mp3"")"),"denounce_criticize.mp3")</f>
        <v>denounce_criticize.mp3</v>
      </c>
      <c r="M1762" s="4" t="s">
        <v>10</v>
      </c>
    </row>
    <row r="1763" ht="15.75" customHeight="1">
      <c r="A1763" s="1">
        <v>3131.0</v>
      </c>
      <c r="B1763" s="3">
        <v>155.0</v>
      </c>
      <c r="C1763" s="7" t="s">
        <v>1771</v>
      </c>
      <c r="D1763" s="8" t="str">
        <f>IFERROR(__xludf.DUMMYFUNCTION("GOOGLETRANSLATE(C1763, ""en"", ""pt"")"),"renunciar, desistir")</f>
        <v>renunciar, desistir</v>
      </c>
      <c r="E1763" s="8" t="str">
        <f>IFERROR(__xludf.DUMMYFUNCTION("GOOGLETRANSLATE(C1763, ""en"", ""es"")"),"renunciar, abandonar")</f>
        <v>renunciar, abandonar</v>
      </c>
      <c r="F1763" s="8" t="str">
        <f>IFERROR(__xludf.DUMMYFUNCTION("GOOGLETRANSLATE(C1763, ""en"", ""fr"")"),"renoncer, abandonner")</f>
        <v>renoncer, abandonner</v>
      </c>
      <c r="G1763" s="8" t="str">
        <f>IFERROR(__xludf.DUMMYFUNCTION("GOOGLETRANSLATE(C1763, ""en"", ""de"")"),"verzichten, aufgeben")</f>
        <v>verzichten, aufgeben</v>
      </c>
      <c r="H1763" s="8" t="str">
        <f>IFERROR(__xludf.DUMMYFUNCTION("GOOGLETRANSLATE(C1763, ""en"", ""ru"")"),"отречься, отказаться")</f>
        <v>отречься, отказаться</v>
      </c>
      <c r="I1763" s="8" t="str">
        <f>IFERROR(__xludf.DUMMYFUNCTION("GOOGLETRANSLATE(C1763, ""en"", ""ar"")"),"التخلي، الاستسلام")</f>
        <v>التخلي، الاستسلام</v>
      </c>
      <c r="J1763" s="8"/>
      <c r="K1763" s="7" t="str">
        <f>IFERROR(__xludf.DUMMYFUNCTION("CONCAT(REGEXREPLACE(C1763,""[ ,]+"",""_""),"".mp3"")"),"renounce_give_up.mp3")</f>
        <v>renounce_give_up.mp3</v>
      </c>
      <c r="M1763" s="4" t="s">
        <v>10</v>
      </c>
    </row>
    <row r="1764" ht="15.75" customHeight="1">
      <c r="A1764" s="1">
        <v>3132.0</v>
      </c>
      <c r="B1764" s="3">
        <v>155.0</v>
      </c>
      <c r="C1764" s="7" t="s">
        <v>1772</v>
      </c>
      <c r="D1764" s="8" t="str">
        <f>IFERROR(__xludf.DUMMYFUNCTION("GOOGLETRANSLATE(C1764, ""en"", ""pt"")"),"bizarro, incomum")</f>
        <v>bizarro, incomum</v>
      </c>
      <c r="E1764" s="8" t="str">
        <f>IFERROR(__xludf.DUMMYFUNCTION("GOOGLETRANSLATE(C1764, ""en"", ""es"")"),"extraño, inusual")</f>
        <v>extraño, inusual</v>
      </c>
      <c r="F1764" s="8" t="str">
        <f>IFERROR(__xludf.DUMMYFUNCTION("GOOGLETRANSLATE(C1764, ""en"", ""fr"")"),"bizarre, inhabituel")</f>
        <v>bizarre, inhabituel</v>
      </c>
      <c r="G1764" s="8" t="str">
        <f>IFERROR(__xludf.DUMMYFUNCTION("GOOGLETRANSLATE(C1764, ""en"", ""de"")"),"bizarr, ungewöhnlich")</f>
        <v>bizarr, ungewöhnlich</v>
      </c>
      <c r="H1764" s="8" t="str">
        <f>IFERROR(__xludf.DUMMYFUNCTION("GOOGLETRANSLATE(C1764, ""en"", ""ru"")"),"странный, необычный")</f>
        <v>странный, необычный</v>
      </c>
      <c r="I1764" s="8" t="str">
        <f>IFERROR(__xludf.DUMMYFUNCTION("GOOGLETRANSLATE(C1764, ""en"", ""ar"")"),"غريب، غير عادي")</f>
        <v>غريب، غير عادي</v>
      </c>
      <c r="J1764" s="8"/>
      <c r="K1764" s="7" t="str">
        <f>IFERROR(__xludf.DUMMYFUNCTION("CONCAT(REGEXREPLACE(C1764,""[ ,]+"",""_""),"".mp3"")"),"bizarre_unusual.mp3")</f>
        <v>bizarre_unusual.mp3</v>
      </c>
      <c r="M1764" s="4" t="s">
        <v>10</v>
      </c>
    </row>
    <row r="1765" ht="15.75" customHeight="1">
      <c r="A1765" s="1">
        <v>3133.0</v>
      </c>
      <c r="B1765" s="3">
        <v>155.0</v>
      </c>
      <c r="C1765" s="7" t="s">
        <v>1773</v>
      </c>
      <c r="D1765" s="8" t="str">
        <f>IFERROR(__xludf.DUMMYFUNCTION("GOOGLETRANSLATE(C1765, ""en"", ""pt"")"),"aversão, antipatia")</f>
        <v>aversão, antipatia</v>
      </c>
      <c r="E1765" s="8" t="str">
        <f>IFERROR(__xludf.DUMMYFUNCTION("GOOGLETRANSLATE(C1765, ""en"", ""es"")"),"aversión, disgusto")</f>
        <v>aversión, disgusto</v>
      </c>
      <c r="F1765" s="8" t="str">
        <f>IFERROR(__xludf.DUMMYFUNCTION("GOOGLETRANSLATE(C1765, ""en"", ""fr"")"),"aversion, aversion")</f>
        <v>aversion, aversion</v>
      </c>
      <c r="G1765" s="8" t="str">
        <f>IFERROR(__xludf.DUMMYFUNCTION("GOOGLETRANSLATE(C1765, ""en"", ""de"")"),"Abneigung, Abneigung")</f>
        <v>Abneigung, Abneigung</v>
      </c>
      <c r="H1765" s="8" t="str">
        <f>IFERROR(__xludf.DUMMYFUNCTION("GOOGLETRANSLATE(C1765, ""en"", ""ru"")"),"отвращение, неприязнь")</f>
        <v>отвращение, неприязнь</v>
      </c>
      <c r="I1765" s="8" t="str">
        <f>IFERROR(__xludf.DUMMYFUNCTION("GOOGLETRANSLATE(C1765, ""en"", ""ar"")"),"النفور، الكراهية")</f>
        <v>النفور، الكراهية</v>
      </c>
      <c r="J1765" s="8"/>
      <c r="K1765" s="7" t="str">
        <f>IFERROR(__xludf.DUMMYFUNCTION("CONCAT(REGEXREPLACE(C1765,""[ ,]+"",""_""),"".mp3"")"),"aversion_dislike.mp3")</f>
        <v>aversion_dislike.mp3</v>
      </c>
      <c r="M1765" s="4" t="s">
        <v>10</v>
      </c>
    </row>
    <row r="1766" ht="15.75" customHeight="1">
      <c r="A1766" s="1">
        <v>3134.0</v>
      </c>
      <c r="B1766" s="3">
        <v>155.0</v>
      </c>
      <c r="C1766" s="7" t="s">
        <v>1774</v>
      </c>
      <c r="D1766" s="8" t="str">
        <f>IFERROR(__xludf.DUMMYFUNCTION("GOOGLETRANSLATE(C1766, ""en"", ""pt"")"),"cutuque, empurre levemente")</f>
        <v>cutuque, empurre levemente</v>
      </c>
      <c r="E1766" s="8" t="str">
        <f>IFERROR(__xludf.DUMMYFUNCTION("GOOGLETRANSLATE(C1766, ""en"", ""es"")"),"Empujar suavemente")</f>
        <v>Empujar suavemente</v>
      </c>
      <c r="F1766" s="8" t="str">
        <f>IFERROR(__xludf.DUMMYFUNCTION("GOOGLETRANSLATE(C1766, ""en"", ""fr"")"),"pousser légèrement")</f>
        <v>pousser légèrement</v>
      </c>
      <c r="G1766" s="8" t="str">
        <f>IFERROR(__xludf.DUMMYFUNCTION("GOOGLETRANSLATE(C1766, ""en"", ""de"")"),"Anstupsen, leicht drücken")</f>
        <v>Anstupsen, leicht drücken</v>
      </c>
      <c r="H1766" s="8" t="str">
        <f>IFERROR(__xludf.DUMMYFUNCTION("GOOGLETRANSLATE(C1766, ""en"", ""ru"")"),"слегка подтолкнуть, слегка надавить")</f>
        <v>слегка подтолкнуть, слегка надавить</v>
      </c>
      <c r="I1766" s="8" t="str">
        <f>IFERROR(__xludf.DUMMYFUNCTION("GOOGLETRANSLATE(C1766, ""en"", ""ar"")"),"ادفع برفق، ادفع قليلاً")</f>
        <v>ادفع برفق، ادفع قليلاً</v>
      </c>
      <c r="J1766" s="8"/>
      <c r="K1766" s="7" t="str">
        <f>IFERROR(__xludf.DUMMYFUNCTION("CONCAT(REGEXREPLACE(C1766,""[ ,]+"",""_""),"".mp3"")"),"nudge_push_slightly.mp3")</f>
        <v>nudge_push_slightly.mp3</v>
      </c>
      <c r="M1766" s="4" t="s">
        <v>10</v>
      </c>
    </row>
    <row r="1767" ht="15.75" customHeight="1">
      <c r="A1767" s="1">
        <v>3135.0</v>
      </c>
      <c r="B1767" s="3">
        <v>155.0</v>
      </c>
      <c r="C1767" s="7" t="s">
        <v>1775</v>
      </c>
      <c r="D1767" s="8" t="str">
        <f>IFERROR(__xludf.DUMMYFUNCTION("GOOGLETRANSLATE(C1767, ""en"", ""pt"")"),"lealdade, fidelidade")</f>
        <v>lealdade, fidelidade</v>
      </c>
      <c r="E1767" s="8" t="str">
        <f>IFERROR(__xludf.DUMMYFUNCTION("GOOGLETRANSLATE(C1767, ""en"", ""es"")"),"lealtad, fidelidad")</f>
        <v>lealtad, fidelidad</v>
      </c>
      <c r="F1767" s="8" t="str">
        <f>IFERROR(__xludf.DUMMYFUNCTION("GOOGLETRANSLATE(C1767, ""en"", ""fr"")"),"allégeance, loyauté")</f>
        <v>allégeance, loyauté</v>
      </c>
      <c r="G1767" s="8" t="str">
        <f>IFERROR(__xludf.DUMMYFUNCTION("GOOGLETRANSLATE(C1767, ""en"", ""de"")"),"Treue, Loyalität")</f>
        <v>Treue, Loyalität</v>
      </c>
      <c r="H1767" s="8" t="str">
        <f>IFERROR(__xludf.DUMMYFUNCTION("GOOGLETRANSLATE(C1767, ""en"", ""ru"")"),"преданность, лояльность")</f>
        <v>преданность, лояльность</v>
      </c>
      <c r="I1767" s="8" t="str">
        <f>IFERROR(__xludf.DUMMYFUNCTION("GOOGLETRANSLATE(C1767, ""en"", ""ar"")"),"الولاء، الإخلاص")</f>
        <v>الولاء، الإخلاص</v>
      </c>
      <c r="J1767" s="8"/>
      <c r="K1767" s="7" t="str">
        <f>IFERROR(__xludf.DUMMYFUNCTION("CONCAT(REGEXREPLACE(C1767,""[ ,]+"",""_""),"".mp3"")"),"allegiance_loyalty.mp3")</f>
        <v>allegiance_loyalty.mp3</v>
      </c>
      <c r="M1767" s="4" t="s">
        <v>10</v>
      </c>
    </row>
    <row r="1768" ht="15.75" customHeight="1">
      <c r="A1768" s="1">
        <v>3136.0</v>
      </c>
      <c r="B1768" s="3">
        <v>155.0</v>
      </c>
      <c r="C1768" s="7" t="s">
        <v>1776</v>
      </c>
      <c r="D1768" s="8" t="str">
        <f>IFERROR(__xludf.DUMMYFUNCTION("GOOGLETRANSLATE(C1768, ""en"", ""pt"")"),"vingativo, rancoroso")</f>
        <v>vingativo, rancoroso</v>
      </c>
      <c r="E1768" s="8" t="str">
        <f>IFERROR(__xludf.DUMMYFUNCTION("GOOGLETRANSLATE(C1768, ""en"", ""es"")"),"vengativo, revanchista")</f>
        <v>vengativo, revanchista</v>
      </c>
      <c r="F1768" s="8" t="str">
        <f>IFERROR(__xludf.DUMMYFUNCTION("GOOGLETRANSLATE(C1768, ""en"", ""fr"")"),"vindicatif, vengeur")</f>
        <v>vindicatif, vengeur</v>
      </c>
      <c r="G1768" s="8" t="str">
        <f>IFERROR(__xludf.DUMMYFUNCTION("GOOGLETRANSLATE(C1768, ""en"", ""de"")"),"rachsüchtig, nachtragend")</f>
        <v>rachsüchtig, nachtragend</v>
      </c>
      <c r="H1768" s="8" t="str">
        <f>IFERROR(__xludf.DUMMYFUNCTION("GOOGLETRANSLATE(C1768, ""en"", ""ru"")"),"мстительный, злопамятный")</f>
        <v>мстительный, злопамятный</v>
      </c>
      <c r="I1768" s="8" t="str">
        <f>IFERROR(__xludf.DUMMYFUNCTION("GOOGLETRANSLATE(C1768, ""en"", ""ar"")"),"حاقد، انتقامي")</f>
        <v>حاقد، انتقامي</v>
      </c>
      <c r="J1768" s="8"/>
      <c r="K1768" s="7" t="str">
        <f>IFERROR(__xludf.DUMMYFUNCTION("CONCAT(REGEXREPLACE(C1768,""[ ,]+"",""_""),"".mp3"")"),"vindictive_revengeful.mp3")</f>
        <v>vindictive_revengeful.mp3</v>
      </c>
      <c r="M1768" s="4" t="s">
        <v>10</v>
      </c>
    </row>
    <row r="1769" ht="15.75" customHeight="1">
      <c r="A1769" s="1">
        <v>3137.0</v>
      </c>
      <c r="B1769" s="3">
        <v>155.0</v>
      </c>
      <c r="C1769" s="7" t="s">
        <v>1777</v>
      </c>
      <c r="D1769" s="8" t="str">
        <f>IFERROR(__xludf.DUMMYFUNCTION("GOOGLETRANSLATE(C1769, ""en"", ""pt"")"),"magnanimidade, generosidade")</f>
        <v>magnanimidade, generosidade</v>
      </c>
      <c r="E1769" s="8" t="str">
        <f>IFERROR(__xludf.DUMMYFUNCTION("GOOGLETRANSLATE(C1769, ""en"", ""es"")"),"magnanimidad, generosidad")</f>
        <v>magnanimidad, generosidad</v>
      </c>
      <c r="F1769" s="8" t="str">
        <f>IFERROR(__xludf.DUMMYFUNCTION("GOOGLETRANSLATE(C1769, ""en"", ""fr"")"),"magnanimité, générosité")</f>
        <v>magnanimité, générosité</v>
      </c>
      <c r="G1769" s="8" t="str">
        <f>IFERROR(__xludf.DUMMYFUNCTION("GOOGLETRANSLATE(C1769, ""en"", ""de"")"),"Großmut, Großzügigkeit")</f>
        <v>Großmut, Großzügigkeit</v>
      </c>
      <c r="H1769" s="8" t="str">
        <f>IFERROR(__xludf.DUMMYFUNCTION("GOOGLETRANSLATE(C1769, ""en"", ""ru"")"),"великодушие, щедрость")</f>
        <v>великодушие, щедрость</v>
      </c>
      <c r="I1769" s="8" t="str">
        <f>IFERROR(__xludf.DUMMYFUNCTION("GOOGLETRANSLATE(C1769, ""en"", ""ar"")"),"الكرم، السخاء")</f>
        <v>الكرم، السخاء</v>
      </c>
      <c r="J1769" s="8"/>
      <c r="K1769" s="7" t="str">
        <f>IFERROR(__xludf.DUMMYFUNCTION("CONCAT(REGEXREPLACE(C1769,""[ ,]+"",""_""),"".mp3"")"),"magnanimity_generosity.mp3")</f>
        <v>magnanimity_generosity.mp3</v>
      </c>
      <c r="M1769" s="4" t="s">
        <v>10</v>
      </c>
    </row>
    <row r="1770" ht="15.75" customHeight="1">
      <c r="A1770" s="1">
        <v>3138.0</v>
      </c>
      <c r="B1770" s="3">
        <v>155.0</v>
      </c>
      <c r="C1770" s="7" t="s">
        <v>1778</v>
      </c>
      <c r="D1770" s="8" t="str">
        <f>IFERROR(__xludf.DUMMYFUNCTION("GOOGLETRANSLATE(C1770, ""en"", ""pt"")"),"opróbrio, crítica")</f>
        <v>opróbrio, crítica</v>
      </c>
      <c r="E1770" s="8" t="str">
        <f>IFERROR(__xludf.DUMMYFUNCTION("GOOGLETRANSLATE(C1770, ""en"", ""es"")"),"oprobio, crítica")</f>
        <v>oprobio, crítica</v>
      </c>
      <c r="F1770" s="8" t="str">
        <f>IFERROR(__xludf.DUMMYFUNCTION("GOOGLETRANSLATE(C1770, ""en"", ""fr"")"),"opprobre, critique")</f>
        <v>opprobre, critique</v>
      </c>
      <c r="G1770" s="8" t="str">
        <f>IFERROR(__xludf.DUMMYFUNCTION("GOOGLETRANSLATE(C1770, ""en"", ""de"")"),"Schmach, Kritik")</f>
        <v>Schmach, Kritik</v>
      </c>
      <c r="H1770" s="8" t="str">
        <f>IFERROR(__xludf.DUMMYFUNCTION("GOOGLETRANSLATE(C1770, ""en"", ""ru"")"),"порицание, критика")</f>
        <v>порицание, критика</v>
      </c>
      <c r="I1770" s="8" t="str">
        <f>IFERROR(__xludf.DUMMYFUNCTION("GOOGLETRANSLATE(C1770, ""en"", ""ar"")"),"استهجان، انتقاد")</f>
        <v>استهجان، انتقاد</v>
      </c>
      <c r="J1770" s="8"/>
      <c r="K1770" s="7" t="str">
        <f>IFERROR(__xludf.DUMMYFUNCTION("CONCAT(REGEXREPLACE(C1770,""[ ,]+"",""_""),"".mp3"")"),"opprobrium_criticism.mp3")</f>
        <v>opprobrium_criticism.mp3</v>
      </c>
      <c r="M1770" s="4" t="s">
        <v>10</v>
      </c>
    </row>
    <row r="1771" ht="15.75" customHeight="1">
      <c r="A1771" s="1">
        <v>3139.0</v>
      </c>
      <c r="B1771" s="3">
        <v>155.0</v>
      </c>
      <c r="C1771" s="7" t="s">
        <v>1779</v>
      </c>
      <c r="D1771" s="8" t="str">
        <f>IFERROR(__xludf.DUMMYFUNCTION("GOOGLETRANSLATE(C1771, ""en"", ""pt"")"),"pedagogo, professor")</f>
        <v>pedagogo, professor</v>
      </c>
      <c r="E1771" s="8" t="str">
        <f>IFERROR(__xludf.DUMMYFUNCTION("GOOGLETRANSLATE(C1771, ""en"", ""es"")"),"pedagogo, maestro")</f>
        <v>pedagogo, maestro</v>
      </c>
      <c r="F1771" s="8" t="str">
        <f>IFERROR(__xludf.DUMMYFUNCTION("GOOGLETRANSLATE(C1771, ""en"", ""fr"")"),"pédagogue, enseignant")</f>
        <v>pédagogue, enseignant</v>
      </c>
      <c r="G1771" s="8" t="str">
        <f>IFERROR(__xludf.DUMMYFUNCTION("GOOGLETRANSLATE(C1771, ""en"", ""de"")"),"Pädagoge, Lehrer")</f>
        <v>Pädagoge, Lehrer</v>
      </c>
      <c r="H1771" s="8" t="str">
        <f>IFERROR(__xludf.DUMMYFUNCTION("GOOGLETRANSLATE(C1771, ""en"", ""ru"")"),"педагог, учитель")</f>
        <v>педагог, учитель</v>
      </c>
      <c r="I1771" s="8" t="str">
        <f>IFERROR(__xludf.DUMMYFUNCTION("GOOGLETRANSLATE(C1771, ""en"", ""ar"")"),"مربي، معلم")</f>
        <v>مربي، معلم</v>
      </c>
      <c r="J1771" s="8"/>
      <c r="K1771" s="7" t="str">
        <f>IFERROR(__xludf.DUMMYFUNCTION("CONCAT(REGEXREPLACE(C1771,""[ ,]+"",""_""),"".mp3"")"),"pedagogue_teacher.mp3")</f>
        <v>pedagogue_teacher.mp3</v>
      </c>
      <c r="M1771" s="4" t="s">
        <v>10</v>
      </c>
    </row>
    <row r="1772" ht="15.75" customHeight="1">
      <c r="A1772" s="1">
        <v>3140.0</v>
      </c>
      <c r="B1772" s="3">
        <v>155.0</v>
      </c>
      <c r="C1772" s="7" t="s">
        <v>1780</v>
      </c>
      <c r="D1772" s="8" t="str">
        <f>IFERROR(__xludf.DUMMYFUNCTION("GOOGLETRANSLATE(C1772, ""en"", ""pt"")"),"panegírico, louvor")</f>
        <v>panegírico, louvor</v>
      </c>
      <c r="E1772" s="8" t="str">
        <f>IFERROR(__xludf.DUMMYFUNCTION("GOOGLETRANSLATE(C1772, ""en"", ""es"")"),"panegírico, alabanza")</f>
        <v>panegírico, alabanza</v>
      </c>
      <c r="F1772" s="8" t="str">
        <f>IFERROR(__xludf.DUMMYFUNCTION("GOOGLETRANSLATE(C1772, ""en"", ""fr"")"),"panégyrique, éloge")</f>
        <v>panégyrique, éloge</v>
      </c>
      <c r="G1772" s="8" t="str">
        <f>IFERROR(__xludf.DUMMYFUNCTION("GOOGLETRANSLATE(C1772, ""en"", ""de"")"),"Lobgesang, Lobpreisung")</f>
        <v>Lobgesang, Lobpreisung</v>
      </c>
      <c r="H1772" s="8" t="str">
        <f>IFERROR(__xludf.DUMMYFUNCTION("GOOGLETRANSLATE(C1772, ""en"", ""ru"")"),"панегирик, похвала")</f>
        <v>панегирик, похвала</v>
      </c>
      <c r="I1772" s="8" t="str">
        <f>IFERROR(__xludf.DUMMYFUNCTION("GOOGLETRANSLATE(C1772, ""en"", ""ar"")"),"مديح، ثناء")</f>
        <v>مديح، ثناء</v>
      </c>
      <c r="J1772" s="8"/>
      <c r="K1772" s="7" t="str">
        <f>IFERROR(__xludf.DUMMYFUNCTION("CONCAT(REGEXREPLACE(C1772,""[ ,]+"",""_""),"".mp3"")"),"panegyric_praise.mp3")</f>
        <v>panegyric_praise.mp3</v>
      </c>
      <c r="M1772" s="4" t="s">
        <v>10</v>
      </c>
    </row>
    <row r="1773" ht="15.75" customHeight="1">
      <c r="A1773" s="1">
        <v>3141.0</v>
      </c>
      <c r="B1773" s="3">
        <v>155.0</v>
      </c>
      <c r="C1773" s="7" t="s">
        <v>1781</v>
      </c>
      <c r="D1773" s="8" t="str">
        <f>IFERROR(__xludf.DUMMYFUNCTION("GOOGLETRANSLATE(C1773, ""en"", ""pt"")"),"inclinação, gosto por")</f>
        <v>inclinação, gosto por</v>
      </c>
      <c r="E1773" s="8" t="str">
        <f>IFERROR(__xludf.DUMMYFUNCTION("GOOGLETRANSLATE(C1773, ""en"", ""es"")"),"inclinación, gusto por")</f>
        <v>inclinación, gusto por</v>
      </c>
      <c r="F1773" s="8" t="str">
        <f>IFERROR(__xludf.DUMMYFUNCTION("GOOGLETRANSLATE(C1773, ""en"", ""fr"")"),"penchant, goût pour")</f>
        <v>penchant, goût pour</v>
      </c>
      <c r="G1773" s="8" t="str">
        <f>IFERROR(__xludf.DUMMYFUNCTION("GOOGLETRANSLATE(C1773, ""en"", ""de"")"),"Vorliebe, Vorliebe für")</f>
        <v>Vorliebe, Vorliebe für</v>
      </c>
      <c r="H1773" s="8" t="str">
        <f>IFERROR(__xludf.DUMMYFUNCTION("GOOGLETRANSLATE(C1773, ""en"", ""ru"")"),"склонность, симпатия к")</f>
        <v>склонность, симпатия к</v>
      </c>
      <c r="I1773" s="8" t="str">
        <f>IFERROR(__xludf.DUMMYFUNCTION("GOOGLETRANSLATE(C1773, ""en"", ""ar"")"),"ميل، إعجاب بـ")</f>
        <v>ميل، إعجاب بـ</v>
      </c>
      <c r="J1773" s="8"/>
      <c r="K1773" s="7" t="str">
        <f>IFERROR(__xludf.DUMMYFUNCTION("CONCAT(REGEXREPLACE(C1773,""[ ,]+"",""_""),"".mp3"")"),"penchant_liking_for.mp3")</f>
        <v>penchant_liking_for.mp3</v>
      </c>
      <c r="M1773" s="4" t="s">
        <v>10</v>
      </c>
    </row>
    <row r="1774" ht="15.75" customHeight="1">
      <c r="A1774" s="1">
        <v>3142.0</v>
      </c>
      <c r="B1774" s="3">
        <v>155.0</v>
      </c>
      <c r="C1774" s="7" t="s">
        <v>1782</v>
      </c>
      <c r="D1774" s="8" t="str">
        <f>IFERROR(__xludf.DUMMYFUNCTION("GOOGLETRANSLATE(C1774, ""en"", ""pt"")"),"pérfido, infiel")</f>
        <v>pérfido, infiel</v>
      </c>
      <c r="E1774" s="8" t="str">
        <f>IFERROR(__xludf.DUMMYFUNCTION("GOOGLETRANSLATE(C1774, ""en"", ""es"")"),"pérfido, infiel")</f>
        <v>pérfido, infiel</v>
      </c>
      <c r="F1774" s="8" t="str">
        <f>IFERROR(__xludf.DUMMYFUNCTION("GOOGLETRANSLATE(C1774, ""en"", ""fr"")"),"perfide, infidèle")</f>
        <v>perfide, infidèle</v>
      </c>
      <c r="G1774" s="8" t="str">
        <f>IFERROR(__xludf.DUMMYFUNCTION("GOOGLETRANSLATE(C1774, ""en"", ""de"")"),"treulos, treulos")</f>
        <v>treulos, treulos</v>
      </c>
      <c r="H1774" s="8" t="str">
        <f>IFERROR(__xludf.DUMMYFUNCTION("GOOGLETRANSLATE(C1774, ""en"", ""ru"")"),"вероломный, неверный")</f>
        <v>вероломный, неверный</v>
      </c>
      <c r="I1774" s="8" t="str">
        <f>IFERROR(__xludf.DUMMYFUNCTION("GOOGLETRANSLATE(C1774, ""en"", ""ar"")"),"غادر، عديم الإيمان")</f>
        <v>غادر، عديم الإيمان</v>
      </c>
      <c r="J1774" s="8"/>
      <c r="K1774" s="7" t="str">
        <f>IFERROR(__xludf.DUMMYFUNCTION("CONCAT(REGEXREPLACE(C1774,""[ ,]+"",""_""),"".mp3"")"),"perfidious_faithless.mp3")</f>
        <v>perfidious_faithless.mp3</v>
      </c>
      <c r="M1774" s="4" t="s">
        <v>10</v>
      </c>
    </row>
    <row r="1775" ht="15.75" customHeight="1">
      <c r="A1775" s="1">
        <v>3143.0</v>
      </c>
      <c r="B1775" s="3">
        <v>155.0</v>
      </c>
      <c r="C1775" s="7" t="s">
        <v>1783</v>
      </c>
      <c r="D1775" s="8" t="str">
        <f>IFERROR(__xludf.DUMMYFUNCTION("GOOGLETRANSLATE(C1775, ""en"", ""pt"")"),"pernicioso, prejudicial")</f>
        <v>pernicioso, prejudicial</v>
      </c>
      <c r="E1775" s="8" t="str">
        <f>IFERROR(__xludf.DUMMYFUNCTION("GOOGLETRANSLATE(C1775, ""en"", ""es"")"),"pernicioso, dañino")</f>
        <v>pernicioso, dañino</v>
      </c>
      <c r="F1775" s="8" t="str">
        <f>IFERROR(__xludf.DUMMYFUNCTION("GOOGLETRANSLATE(C1775, ""en"", ""fr"")"),"pernicieux, nuisible")</f>
        <v>pernicieux, nuisible</v>
      </c>
      <c r="G1775" s="8" t="str">
        <f>IFERROR(__xludf.DUMMYFUNCTION("GOOGLETRANSLATE(C1775, ""en"", ""de"")"),"schädlich")</f>
        <v>schädlich</v>
      </c>
      <c r="H1775" s="8" t="str">
        <f>IFERROR(__xludf.DUMMYFUNCTION("GOOGLETRANSLATE(C1775, ""en"", ""ru"")"),"пагубный, вредный")</f>
        <v>пагубный, вредный</v>
      </c>
      <c r="I1775" s="8" t="str">
        <f>IFERROR(__xludf.DUMMYFUNCTION("GOOGLETRANSLATE(C1775, ""en"", ""ar"")"),"خبيث، ضار")</f>
        <v>خبيث، ضار</v>
      </c>
      <c r="J1775" s="8"/>
      <c r="K1775" s="7" t="str">
        <f>IFERROR(__xludf.DUMMYFUNCTION("CONCAT(REGEXREPLACE(C1775,""[ ,]+"",""_""),"".mp3"")"),"pernicious_harmful.mp3")</f>
        <v>pernicious_harmful.mp3</v>
      </c>
      <c r="M1775" s="4" t="s">
        <v>10</v>
      </c>
    </row>
    <row r="1776" ht="15.75" customHeight="1">
      <c r="A1776" s="1">
        <v>3144.0</v>
      </c>
      <c r="B1776" s="3">
        <v>155.0</v>
      </c>
      <c r="C1776" s="7" t="s">
        <v>1784</v>
      </c>
      <c r="D1776" s="8" t="str">
        <f>IFERROR(__xludf.DUMMYFUNCTION("GOOGLETRANSLATE(C1776, ""en"", ""pt"")"),"petulante, irritadiço")</f>
        <v>petulante, irritadiço</v>
      </c>
      <c r="E1776" s="8" t="str">
        <f>IFERROR(__xludf.DUMMYFUNCTION("GOOGLETRANSLATE(C1776, ""en"", ""es"")"),"petulante, irritable")</f>
        <v>petulante, irritable</v>
      </c>
      <c r="F1776" s="8" t="str">
        <f>IFERROR(__xludf.DUMMYFUNCTION("GOOGLETRANSLATE(C1776, ""en"", ""fr"")"),"pétillant, grincheux")</f>
        <v>pétillant, grincheux</v>
      </c>
      <c r="G1776" s="8" t="str">
        <f>IFERROR(__xludf.DUMMYFUNCTION("GOOGLETRANSLATE(C1776, ""en"", ""de"")"),"launisch, mürrisch")</f>
        <v>launisch, mürrisch</v>
      </c>
      <c r="H1776" s="8" t="str">
        <f>IFERROR(__xludf.DUMMYFUNCTION("GOOGLETRANSLATE(C1776, ""en"", ""ru"")"),"капризный, раздражительный")</f>
        <v>капризный, раздражительный</v>
      </c>
      <c r="I1776" s="8" t="str">
        <f>IFERROR(__xludf.DUMMYFUNCTION("GOOGLETRANSLATE(C1776, ""en"", ""ar"")"),"متذمر، سريع الغضب")</f>
        <v>متذمر، سريع الغضب</v>
      </c>
      <c r="J1776" s="8"/>
      <c r="K1776" s="7" t="str">
        <f>IFERROR(__xludf.DUMMYFUNCTION("CONCAT(REGEXREPLACE(C1776,""[ ,]+"",""_""),"".mp3"")"),"petulant_peevish.mp3")</f>
        <v>petulant_peevish.mp3</v>
      </c>
      <c r="M1776" s="4" t="s">
        <v>10</v>
      </c>
    </row>
    <row r="1777" ht="15.75" customHeight="1">
      <c r="A1777" s="1">
        <v>3145.0</v>
      </c>
      <c r="B1777" s="3">
        <v>155.0</v>
      </c>
      <c r="C1777" s="7" t="s">
        <v>1785</v>
      </c>
      <c r="D1777" s="8" t="str">
        <f>IFERROR(__xludf.DUMMYFUNCTION("GOOGLETRANSLATE(C1777, ""en"", ""pt"")"),"fleumático, impassível")</f>
        <v>fleumático, impassível</v>
      </c>
      <c r="E1777" s="8" t="str">
        <f>IFERROR(__xludf.DUMMYFUNCTION("GOOGLETRANSLATE(C1777, ""en"", ""es"")"),"flemático, impasible")</f>
        <v>flemático, impasible</v>
      </c>
      <c r="F1777" s="8" t="str">
        <f>IFERROR(__xludf.DUMMYFUNCTION("GOOGLETRANSLATE(C1777, ""en"", ""fr"")"),"flegmatique, impassible")</f>
        <v>flegmatique, impassible</v>
      </c>
      <c r="G1777" s="8" t="str">
        <f>IFERROR(__xludf.DUMMYFUNCTION("GOOGLETRANSLATE(C1777, ""en"", ""de"")"),"phlegmatisch, emotionslos")</f>
        <v>phlegmatisch, emotionslos</v>
      </c>
      <c r="H1777" s="8" t="str">
        <f>IFERROR(__xludf.DUMMYFUNCTION("GOOGLETRANSLATE(C1777, ""en"", ""ru"")"),"флегматичный, бесчувственный")</f>
        <v>флегматичный, бесчувственный</v>
      </c>
      <c r="I1777" s="8" t="str">
        <f>IFERROR(__xludf.DUMMYFUNCTION("GOOGLETRANSLATE(C1777, ""en"", ""ar"")"),"هادئ، غير عاطفي")</f>
        <v>هادئ، غير عاطفي</v>
      </c>
      <c r="J1777" s="8"/>
      <c r="K1777" s="7" t="str">
        <f>IFERROR(__xludf.DUMMYFUNCTION("CONCAT(REGEXREPLACE(C1777,""[ ,]+"",""_""),"".mp3"")"),"phlegmatic_unemotional.mp3")</f>
        <v>phlegmatic_unemotional.mp3</v>
      </c>
      <c r="M1777" s="4" t="s">
        <v>10</v>
      </c>
    </row>
    <row r="1778" ht="15.75" customHeight="1">
      <c r="A1778" s="1">
        <v>3146.0</v>
      </c>
      <c r="B1778" s="3">
        <v>155.0</v>
      </c>
      <c r="C1778" s="7" t="s">
        <v>1481</v>
      </c>
      <c r="D1778" s="8" t="str">
        <f>IFERROR(__xludf.DUMMYFUNCTION("GOOGLETRANSLATE(C1778, ""en"", ""pt"")"),"pragmático, prático")</f>
        <v>pragmático, prático</v>
      </c>
      <c r="E1778" s="8" t="str">
        <f>IFERROR(__xludf.DUMMYFUNCTION("GOOGLETRANSLATE(C1778, ""en"", ""es"")"),"pragmático, práctico")</f>
        <v>pragmático, práctico</v>
      </c>
      <c r="F1778" s="8" t="str">
        <f>IFERROR(__xludf.DUMMYFUNCTION("GOOGLETRANSLATE(C1778, ""en"", ""fr"")"),"pragmatique, pratique")</f>
        <v>pragmatique, pratique</v>
      </c>
      <c r="G1778" s="8" t="str">
        <f>IFERROR(__xludf.DUMMYFUNCTION("GOOGLETRANSLATE(C1778, ""en"", ""de"")"),"pragmatisch, praktisch")</f>
        <v>pragmatisch, praktisch</v>
      </c>
      <c r="H1778" s="8" t="str">
        <f>IFERROR(__xludf.DUMMYFUNCTION("GOOGLETRANSLATE(C1778, ""en"", ""ru"")"),"прагматичный, практичный")</f>
        <v>прагматичный, практичный</v>
      </c>
      <c r="I1778" s="8" t="str">
        <f>IFERROR(__xludf.DUMMYFUNCTION("GOOGLETRANSLATE(C1778, ""en"", ""ar"")"),"عملي، براغماتي")</f>
        <v>عملي، براغماتي</v>
      </c>
      <c r="J1778" s="8"/>
      <c r="K1778" s="7" t="str">
        <f>IFERROR(__xludf.DUMMYFUNCTION("CONCAT(REGEXREPLACE(C1778,""[ ,]+"",""_""),"".mp3"")"),"pragmatic_practical.mp3")</f>
        <v>pragmatic_practical.mp3</v>
      </c>
      <c r="M1778" s="4" t="s">
        <v>10</v>
      </c>
    </row>
    <row r="1779" ht="15.75" customHeight="1">
      <c r="A1779" s="1">
        <v>3147.0</v>
      </c>
      <c r="B1779" s="3">
        <v>155.0</v>
      </c>
      <c r="C1779" s="7" t="s">
        <v>1786</v>
      </c>
      <c r="D1779" s="8" t="str">
        <f>IFERROR(__xludf.DUMMYFUNCTION("GOOGLETRANSLATE(C1779, ""en"", ""pt"")"),"banheiro, privado")</f>
        <v>banheiro, privado</v>
      </c>
      <c r="E1779" s="8" t="str">
        <f>IFERROR(__xludf.DUMMYFUNCTION("GOOGLETRANSLATE(C1779, ""en"", ""es"")"),"privado, privado")</f>
        <v>privado, privado</v>
      </c>
      <c r="F1779" s="8" t="str">
        <f>IFERROR(__xludf.DUMMYFUNCTION("GOOGLETRANSLATE(C1779, ""en"", ""fr"")"),"latrines, privé")</f>
        <v>latrines, privé</v>
      </c>
      <c r="G1779" s="8" t="str">
        <f>IFERROR(__xludf.DUMMYFUNCTION("GOOGLETRANSLATE(C1779, ""en"", ""de"")"),"Privat")</f>
        <v>Privat</v>
      </c>
      <c r="H1779" s="8" t="str">
        <f>IFERROR(__xludf.DUMMYFUNCTION("GOOGLETRANSLATE(C1779, ""en"", ""ru"")"),"личный, частный")</f>
        <v>личный, частный</v>
      </c>
      <c r="I1779" s="8" t="str">
        <f>IFERROR(__xludf.DUMMYFUNCTION("GOOGLETRANSLATE(C1779, ""en"", ""ar"")"),"خاص، خاص")</f>
        <v>خاص، خاص</v>
      </c>
      <c r="J1779" s="8"/>
      <c r="K1779" s="7" t="str">
        <f>IFERROR(__xludf.DUMMYFUNCTION("CONCAT(REGEXREPLACE(C1779,""[ ,]+"",""_""),"".mp3"")"),"privy_private.mp3")</f>
        <v>privy_private.mp3</v>
      </c>
      <c r="M1779" s="4" t="s">
        <v>10</v>
      </c>
    </row>
    <row r="1780" ht="15.75" customHeight="1">
      <c r="A1780" s="1">
        <v>3148.0</v>
      </c>
      <c r="B1780" s="3">
        <v>155.0</v>
      </c>
      <c r="C1780" s="7" t="s">
        <v>1787</v>
      </c>
      <c r="D1780" s="8" t="str">
        <f>IFERROR(__xludf.DUMMYFUNCTION("GOOGLETRANSLATE(C1780, ""en"", ""pt"")"),"gole, beba profundamente")</f>
        <v>gole, beba profundamente</v>
      </c>
      <c r="E1780" s="8" t="str">
        <f>IFERROR(__xludf.DUMMYFUNCTION("GOOGLETRANSLATE(C1780, ""en"", ""es"")"),"beber, beber profundamente")</f>
        <v>beber, beber profundamente</v>
      </c>
      <c r="F1780" s="8" t="str">
        <f>IFERROR(__xludf.DUMMYFUNCTION("GOOGLETRANSLATE(C1780, ""en"", ""fr"")"),"boire à grandes gorgées, boire profondément")</f>
        <v>boire à grandes gorgées, boire profondément</v>
      </c>
      <c r="G1780" s="8" t="str">
        <f>IFERROR(__xludf.DUMMYFUNCTION("GOOGLETRANSLATE(C1780, ""en"", ""de"")"),"Schluck, trink tief durch")</f>
        <v>Schluck, trink tief durch</v>
      </c>
      <c r="H1780" s="8" t="str">
        <f>IFERROR(__xludf.DUMMYFUNCTION("GOOGLETRANSLATE(C1780, ""en"", ""ru"")"),"пьёт, пьёт до дна")</f>
        <v>пьёт, пьёт до дна</v>
      </c>
      <c r="I1780" s="8" t="str">
        <f>IFERROR(__xludf.DUMMYFUNCTION("GOOGLETRANSLATE(C1780, ""en"", ""ar"")"),"اشرب، اشرب بعمق")</f>
        <v>اشرب، اشرب بعمق</v>
      </c>
      <c r="J1780" s="8"/>
      <c r="K1780" s="7" t="str">
        <f>IFERROR(__xludf.DUMMYFUNCTION("CONCAT(REGEXREPLACE(C1780,""[ ,]+"",""_""),"".mp3"")"),"quaff_drink_deeply.mp3")</f>
        <v>quaff_drink_deeply.mp3</v>
      </c>
      <c r="M1780" s="4" t="s">
        <v>10</v>
      </c>
    </row>
    <row r="1781" ht="15.75" customHeight="1">
      <c r="A1781" s="1">
        <v>3149.0</v>
      </c>
      <c r="B1781" s="3">
        <v>155.0</v>
      </c>
      <c r="C1781" s="7" t="s">
        <v>1788</v>
      </c>
      <c r="D1781" s="8" t="str">
        <f>IFERROR(__xludf.DUMMYFUNCTION("GOOGLETRANSLATE(C1781, ""en"", ""pt"")"),"pitoresco, incomum")</f>
        <v>pitoresco, incomum</v>
      </c>
      <c r="E1781" s="8" t="str">
        <f>IFERROR(__xludf.DUMMYFUNCTION("GOOGLETRANSLATE(C1781, ""en"", ""es"")"),"pintoresco, inusual")</f>
        <v>pintoresco, inusual</v>
      </c>
      <c r="F1781" s="8" t="str">
        <f>IFERROR(__xludf.DUMMYFUNCTION("GOOGLETRANSLATE(C1781, ""en"", ""fr"")"),"pittoresque, inhabituel")</f>
        <v>pittoresque, inhabituel</v>
      </c>
      <c r="G1781" s="8" t="str">
        <f>IFERROR(__xludf.DUMMYFUNCTION("GOOGLETRANSLATE(C1781, ""en"", ""de"")"),"skurril, ungewöhnlich")</f>
        <v>skurril, ungewöhnlich</v>
      </c>
      <c r="H1781" s="8" t="str">
        <f>IFERROR(__xludf.DUMMYFUNCTION("GOOGLETRANSLATE(C1781, ""en"", ""ru"")"),"причудливый, необычный")</f>
        <v>причудливый, необычный</v>
      </c>
      <c r="I1781" s="8" t="str">
        <f>IFERROR(__xludf.DUMMYFUNCTION("GOOGLETRANSLATE(C1781, ""en"", ""ar"")"),"غريب، غير عادي")</f>
        <v>غريب، غير عادي</v>
      </c>
      <c r="J1781" s="8"/>
      <c r="K1781" s="7" t="str">
        <f>IFERROR(__xludf.DUMMYFUNCTION("CONCAT(REGEXREPLACE(C1781,""[ ,]+"",""_""),"".mp3"")"),"quaint_unusual.mp3")</f>
        <v>quaint_unusual.mp3</v>
      </c>
      <c r="M1781" s="4" t="s">
        <v>10</v>
      </c>
    </row>
    <row r="1782" ht="15.75" customHeight="1">
      <c r="A1782" s="1">
        <v>3150.0</v>
      </c>
      <c r="B1782" s="3">
        <v>155.0</v>
      </c>
      <c r="C1782" s="7" t="s">
        <v>1789</v>
      </c>
      <c r="D1782" s="8" t="str">
        <f>IFERROR(__xludf.DUMMYFUNCTION("GOOGLETRANSLATE(C1782, ""en"", ""pt"")"),"dilema, dilema")</f>
        <v>dilema, dilema</v>
      </c>
      <c r="E1782" s="8" t="str">
        <f>IFERROR(__xludf.DUMMYFUNCTION("GOOGLETRANSLATE(C1782, ""en"", ""es"")"),"dilema, enigma")</f>
        <v>dilema, enigma</v>
      </c>
      <c r="F1782" s="8" t="str">
        <f>IFERROR(__xludf.DUMMYFUNCTION("GOOGLETRANSLATE(C1782, ""en"", ""fr"")"),"dilemme, casse-tête")</f>
        <v>dilemme, casse-tête</v>
      </c>
      <c r="G1782" s="8" t="str">
        <f>IFERROR(__xludf.DUMMYFUNCTION("GOOGLETRANSLATE(C1782, ""en"", ""de"")"),"Zwickmühle, Dilemma")</f>
        <v>Zwickmühle, Dilemma</v>
      </c>
      <c r="H1782" s="8" t="str">
        <f>IFERROR(__xludf.DUMMYFUNCTION("GOOGLETRANSLATE(C1782, ""en"", ""ru"")"),"затруднительное положение, дилемма")</f>
        <v>затруднительное положение, дилемма</v>
      </c>
      <c r="I1782" s="8" t="str">
        <f>IFERROR(__xludf.DUMMYFUNCTION("GOOGLETRANSLATE(C1782, ""en"", ""ar"")"),"معضلة، حيرة")</f>
        <v>معضلة، حيرة</v>
      </c>
      <c r="J1782" s="8"/>
      <c r="K1782" s="7" t="str">
        <f>IFERROR(__xludf.DUMMYFUNCTION("CONCAT(REGEXREPLACE(C1782,""[ ,]+"",""_""),"".mp3"")"),"quandary_dilemma.mp3")</f>
        <v>quandary_dilemma.mp3</v>
      </c>
      <c r="M1782" s="4" t="s">
        <v>10</v>
      </c>
    </row>
    <row r="1783" ht="15.75" customHeight="1">
      <c r="A1783" s="1">
        <v>3151.0</v>
      </c>
      <c r="B1783" s="3">
        <v>155.0</v>
      </c>
      <c r="C1783" s="7" t="s">
        <v>1790</v>
      </c>
      <c r="D1783" s="8" t="str">
        <f>IFERROR(__xludf.DUMMYFUNCTION("GOOGLETRANSLATE(C1783, ""en"", ""pt"")"),"contador de histórias")</f>
        <v>contador de histórias</v>
      </c>
      <c r="E1783" s="8" t="str">
        <f>IFERROR(__xludf.DUMMYFUNCTION("GOOGLETRANSLATE(C1783, ""en"", ""es"")"),"narrador, cuentacuentos")</f>
        <v>narrador, cuentacuentos</v>
      </c>
      <c r="F1783" s="8" t="str">
        <f>IFERROR(__xludf.DUMMYFUNCTION("GOOGLETRANSLATE(C1783, ""en"", ""fr"")"),"conteur, narrateur")</f>
        <v>conteur, narrateur</v>
      </c>
      <c r="G1783" s="8" t="str">
        <f>IFERROR(__xludf.DUMMYFUNCTION("GOOGLETRANSLATE(C1783, ""en"", ""de"")"),"Geschichtenerzähler")</f>
        <v>Geschichtenerzähler</v>
      </c>
      <c r="H1783" s="8" t="str">
        <f>IFERROR(__xludf.DUMMYFUNCTION("GOOGLETRANSLATE(C1783, ""en"", ""ru"")"),"рассказчик, повествователь")</f>
        <v>рассказчик, повествователь</v>
      </c>
      <c r="I1783" s="8" t="str">
        <f>IFERROR(__xludf.DUMMYFUNCTION("GOOGLETRANSLATE(C1783, ""en"", ""ar"")"),"راوي القصص")</f>
        <v>راوي القصص</v>
      </c>
      <c r="J1783" s="8"/>
      <c r="K1783" s="7" t="str">
        <f>IFERROR(__xludf.DUMMYFUNCTION("CONCAT(REGEXREPLACE(C1783,""[ ,]+"",""_""),"".mp3"")"),"raconteur_story_teller.mp3")</f>
        <v>raconteur_story_teller.mp3</v>
      </c>
      <c r="M1783" s="4" t="s">
        <v>10</v>
      </c>
    </row>
    <row r="1784" ht="15.75" customHeight="1">
      <c r="A1784" s="1">
        <v>3152.0</v>
      </c>
      <c r="B1784" s="3">
        <v>155.0</v>
      </c>
      <c r="C1784" s="7" t="s">
        <v>1791</v>
      </c>
      <c r="D1784" s="8" t="str">
        <f>IFERROR(__xludf.DUMMYFUNCTION("GOOGLETRANSLATE(C1784, ""en"", ""pt"")"),"desenfreado, generalizado")</f>
        <v>desenfreado, generalizado</v>
      </c>
      <c r="E1784" s="8" t="str">
        <f>IFERROR(__xludf.DUMMYFUNCTION("GOOGLETRANSLATE(C1784, ""en"", ""es"")"),"desenfrenado, generalizado")</f>
        <v>desenfrenado, generalizado</v>
      </c>
      <c r="F1784" s="8" t="str">
        <f>IFERROR(__xludf.DUMMYFUNCTION("GOOGLETRANSLATE(C1784, ""en"", ""fr"")"),"rampant, généralisé")</f>
        <v>rampant, généralisé</v>
      </c>
      <c r="G1784" s="8" t="str">
        <f>IFERROR(__xludf.DUMMYFUNCTION("GOOGLETRANSLATE(C1784, ""en"", ""de"")"),"grassierend, weitverbreitet")</f>
        <v>grassierend, weitverbreitet</v>
      </c>
      <c r="H1784" s="8" t="str">
        <f>IFERROR(__xludf.DUMMYFUNCTION("GOOGLETRANSLATE(C1784, ""en"", ""ru"")"),"безудержный, широко распространенный")</f>
        <v>безудержный, широко распространенный</v>
      </c>
      <c r="I1784" s="8" t="str">
        <f>IFERROR(__xludf.DUMMYFUNCTION("GOOGLETRANSLATE(C1784, ""en"", ""ar"")"),"متفشٍ، واسع الانتشار")</f>
        <v>متفشٍ، واسع الانتشار</v>
      </c>
      <c r="J1784" s="8"/>
      <c r="K1784" s="7" t="str">
        <f>IFERROR(__xludf.DUMMYFUNCTION("CONCAT(REGEXREPLACE(C1784,""[ ,]+"",""_""),"".mp3"")"),"rampant_widespread.mp3")</f>
        <v>rampant_widespread.mp3</v>
      </c>
      <c r="M1784" s="4" t="s">
        <v>10</v>
      </c>
    </row>
    <row r="1785" ht="15.75" customHeight="1">
      <c r="A1785" s="1">
        <v>3153.0</v>
      </c>
      <c r="B1785" s="3">
        <v>155.0</v>
      </c>
      <c r="C1785" s="7" t="s">
        <v>1792</v>
      </c>
      <c r="D1785" s="8" t="str">
        <f>IFERROR(__xludf.DUMMYFUNCTION("GOOGLETRANSLATE(C1785, ""en"", ""pt"")"),"rancor, inimizade")</f>
        <v>rancor, inimizade</v>
      </c>
      <c r="E1785" s="8" t="str">
        <f>IFERROR(__xludf.DUMMYFUNCTION("GOOGLETRANSLATE(C1785, ""en"", ""es"")"),"rencor, enemistad")</f>
        <v>rencor, enemistad</v>
      </c>
      <c r="F1785" s="8" t="str">
        <f>IFERROR(__xludf.DUMMYFUNCTION("GOOGLETRANSLATE(C1785, ""en"", ""fr"")"),"rancœur, inimitié")</f>
        <v>rancœur, inimitié</v>
      </c>
      <c r="G1785" s="8" t="str">
        <f>IFERROR(__xludf.DUMMYFUNCTION("GOOGLETRANSLATE(C1785, ""en"", ""de"")"),"Groll, Feindschaft")</f>
        <v>Groll, Feindschaft</v>
      </c>
      <c r="H1785" s="8" t="str">
        <f>IFERROR(__xludf.DUMMYFUNCTION("GOOGLETRANSLATE(C1785, ""en"", ""ru"")"),"злоба, вражда")</f>
        <v>злоба, вражда</v>
      </c>
      <c r="I1785" s="8" t="str">
        <f>IFERROR(__xludf.DUMMYFUNCTION("GOOGLETRANSLATE(C1785, ""en"", ""ar"")"),"ضغينة، عداوة")</f>
        <v>ضغينة، عداوة</v>
      </c>
      <c r="J1785" s="8"/>
      <c r="K1785" s="7" t="str">
        <f>IFERROR(__xludf.DUMMYFUNCTION("CONCAT(REGEXREPLACE(C1785,""[ ,]+"",""_""),"".mp3"")"),"rancour_enmity.mp3")</f>
        <v>rancour_enmity.mp3</v>
      </c>
      <c r="M1785" s="4" t="s">
        <v>10</v>
      </c>
    </row>
    <row r="1786" ht="15.75" customHeight="1">
      <c r="A1786" s="1">
        <v>3154.0</v>
      </c>
      <c r="B1786" s="3">
        <v>155.0</v>
      </c>
      <c r="C1786" s="7" t="s">
        <v>1793</v>
      </c>
      <c r="D1786" s="8" t="str">
        <f>IFERROR(__xludf.DUMMYFUNCTION("GOOGLETRANSLATE(C1786, ""en"", ""pt"")"),"reformar, renovar")</f>
        <v>reformar, renovar</v>
      </c>
      <c r="E1786" s="8" t="str">
        <f>IFERROR(__xludf.DUMMYFUNCTION("GOOGLETRANSLATE(C1786, ""en"", ""es"")"),"reformar, renovar")</f>
        <v>reformar, renovar</v>
      </c>
      <c r="F1786" s="8" t="str">
        <f>IFERROR(__xludf.DUMMYFUNCTION("GOOGLETRANSLATE(C1786, ""en"", ""fr"")"),"rénover, rénover")</f>
        <v>rénover, rénover</v>
      </c>
      <c r="G1786" s="8" t="str">
        <f>IFERROR(__xludf.DUMMYFUNCTION("GOOGLETRANSLATE(C1786, ""en"", ""de"")"),"sanieren, renovieren")</f>
        <v>sanieren, renovieren</v>
      </c>
      <c r="H1786" s="8" t="str">
        <f>IFERROR(__xludf.DUMMYFUNCTION("GOOGLETRANSLATE(C1786, ""en"", ""ru"")"),"ремонтировать, обновлять")</f>
        <v>ремонтировать, обновлять</v>
      </c>
      <c r="I1786" s="8" t="str">
        <f>IFERROR(__xludf.DUMMYFUNCTION("GOOGLETRANSLATE(C1786, ""en"", ""ar"")"),"تجديد، ترميم")</f>
        <v>تجديد، ترميم</v>
      </c>
      <c r="J1786" s="8"/>
      <c r="K1786" s="7" t="str">
        <f>IFERROR(__xludf.DUMMYFUNCTION("CONCAT(REGEXREPLACE(C1786,""[ ,]+"",""_""),"".mp3"")"),"refurbish_renovate.mp3")</f>
        <v>refurbish_renovate.mp3</v>
      </c>
      <c r="M1786" s="4" t="s">
        <v>10</v>
      </c>
    </row>
    <row r="1787" ht="15.75" customHeight="1">
      <c r="A1787" s="1">
        <v>3155.0</v>
      </c>
      <c r="B1787" s="3">
        <v>155.0</v>
      </c>
      <c r="C1787" s="7" t="s">
        <v>1794</v>
      </c>
      <c r="D1787" s="8" t="str">
        <f>IFERROR(__xludf.DUMMYFUNCTION("GOOGLETRANSLATE(C1787, ""en"", ""pt"")"),"renunciar, abandonar")</f>
        <v>renunciar, abandonar</v>
      </c>
      <c r="E1787" s="8" t="str">
        <f>IFERROR(__xludf.DUMMYFUNCTION("GOOGLETRANSLATE(C1787, ""en"", ""es"")"),"renunciar, abandonar")</f>
        <v>renunciar, abandonar</v>
      </c>
      <c r="F1787" s="8" t="str">
        <f>IFERROR(__xludf.DUMMYFUNCTION("GOOGLETRANSLATE(C1787, ""en"", ""fr"")"),"renoncer, abandonner")</f>
        <v>renoncer, abandonner</v>
      </c>
      <c r="G1787" s="8" t="str">
        <f>IFERROR(__xludf.DUMMYFUNCTION("GOOGLETRANSLATE(C1787, ""en"", ""de"")"),"aufgeben, verlassen")</f>
        <v>aufgeben, verlassen</v>
      </c>
      <c r="H1787" s="8" t="str">
        <f>IFERROR(__xludf.DUMMYFUNCTION("GOOGLETRANSLATE(C1787, ""en"", ""ru"")"),"отказаться, бросить")</f>
        <v>отказаться, бросить</v>
      </c>
      <c r="I1787" s="8" t="str">
        <f>IFERROR(__xludf.DUMMYFUNCTION("GOOGLETRANSLATE(C1787, ""en"", ""ar"")"),"التخلي، التخلي")</f>
        <v>التخلي، التخلي</v>
      </c>
      <c r="J1787" s="8"/>
      <c r="K1787" s="7" t="str">
        <f>IFERROR(__xludf.DUMMYFUNCTION("CONCAT(REGEXREPLACE(C1787,""[ ,]+"",""_""),"".mp3"")"),"relinquish_abandon.mp3")</f>
        <v>relinquish_abandon.mp3</v>
      </c>
      <c r="M1787" s="4" t="s">
        <v>10</v>
      </c>
    </row>
    <row r="1788" ht="15.75" customHeight="1">
      <c r="A1788" s="1">
        <v>3156.0</v>
      </c>
      <c r="B1788" s="3">
        <v>155.0</v>
      </c>
      <c r="C1788" s="7" t="s">
        <v>1795</v>
      </c>
      <c r="D1788" s="8" t="str">
        <f>IFERROR(__xludf.DUMMYFUNCTION("GOOGLETRANSLATE(C1788, ""en"", ""pt"")"),"repreender, criticar")</f>
        <v>repreender, criticar</v>
      </c>
      <c r="E1788" s="8" t="str">
        <f>IFERROR(__xludf.DUMMYFUNCTION("GOOGLETRANSLATE(C1788, ""en"", ""es"")"),"reprender, criticar")</f>
        <v>reprender, criticar</v>
      </c>
      <c r="F1788" s="8" t="str">
        <f>IFERROR(__xludf.DUMMYFUNCTION("GOOGLETRANSLATE(C1788, ""en"", ""fr"")"),"réprimander, critiquer")</f>
        <v>réprimander, critiquer</v>
      </c>
      <c r="G1788" s="8" t="str">
        <f>IFERROR(__xludf.DUMMYFUNCTION("GOOGLETRANSLATE(C1788, ""en"", ""de"")"),"tadeln, kritisieren")</f>
        <v>tadeln, kritisieren</v>
      </c>
      <c r="H1788" s="8" t="str">
        <f>IFERROR(__xludf.DUMMYFUNCTION("GOOGLETRANSLATE(C1788, ""en"", ""ru"")"),"порицать, критиковать")</f>
        <v>порицать, критиковать</v>
      </c>
      <c r="I1788" s="8" t="str">
        <f>IFERROR(__xludf.DUMMYFUNCTION("GOOGLETRANSLATE(C1788, ""en"", ""ar"")"),"توبيخ، انتقاد")</f>
        <v>توبيخ، انتقاد</v>
      </c>
      <c r="J1788" s="8"/>
      <c r="K1788" s="7" t="str">
        <f>IFERROR(__xludf.DUMMYFUNCTION("CONCAT(REGEXREPLACE(C1788,""[ ,]+"",""_""),"".mp3"")"),"reprehend_criticize.mp3")</f>
        <v>reprehend_criticize.mp3</v>
      </c>
      <c r="M1788" s="4" t="s">
        <v>10</v>
      </c>
    </row>
    <row r="1789" ht="15.75" customHeight="1">
      <c r="A1789" s="1">
        <v>3157.0</v>
      </c>
      <c r="B1789" s="3">
        <v>155.0</v>
      </c>
      <c r="C1789" s="7" t="s">
        <v>1796</v>
      </c>
      <c r="D1789" s="8" t="str">
        <f>IFERROR(__xludf.DUMMYFUNCTION("GOOGLETRANSLATE(C1789, ""en"", ""pt"")"),"compreender, entender")</f>
        <v>compreender, entender</v>
      </c>
      <c r="E1789" s="8" t="str">
        <f>IFERROR(__xludf.DUMMYFUNCTION("GOOGLETRANSLATE(C1789, ""en"", ""es"")"),"comprender, entender")</f>
        <v>comprender, entender</v>
      </c>
      <c r="F1789" s="8" t="str">
        <f>IFERROR(__xludf.DUMMYFUNCTION("GOOGLETRANSLATE(C1789, ""en"", ""fr"")"),"comprendre, comprendre")</f>
        <v>comprendre, comprendre</v>
      </c>
      <c r="G1789" s="8" t="str">
        <f>IFERROR(__xludf.DUMMYFUNCTION("GOOGLETRANSLATE(C1789, ""en"", ""de"")"),"verstehen, begreifen")</f>
        <v>verstehen, begreifen</v>
      </c>
      <c r="H1789" s="8" t="str">
        <f>IFERROR(__xludf.DUMMYFUNCTION("GOOGLETRANSLATE(C1789, ""en"", ""ru"")"),"понимать, осознавать")</f>
        <v>понимать, осознавать</v>
      </c>
      <c r="I1789" s="8" t="str">
        <f>IFERROR(__xludf.DUMMYFUNCTION("GOOGLETRANSLATE(C1789, ""en"", ""ar"")"),"فهم، استيعاب")</f>
        <v>فهم، استيعاب</v>
      </c>
      <c r="J1789" s="8"/>
      <c r="K1789" s="7" t="str">
        <f>IFERROR(__xludf.DUMMYFUNCTION("CONCAT(REGEXREPLACE(C1789,""[ ,]+"",""_""),"".mp3"")"),"comprehend_understand.mp3")</f>
        <v>comprehend_understand.mp3</v>
      </c>
      <c r="M1789" s="4" t="s">
        <v>10</v>
      </c>
    </row>
    <row r="1790" ht="15.75" customHeight="1">
      <c r="A1790" s="1">
        <v>3158.0</v>
      </c>
      <c r="B1790" s="3">
        <v>155.0</v>
      </c>
      <c r="C1790" s="7" t="s">
        <v>1797</v>
      </c>
      <c r="D1790" s="8" t="str">
        <f>IFERROR(__xludf.DUMMYFUNCTION("GOOGLETRANSLATE(C1790, ""en"", ""pt"")"),"resplandecente, brilhante")</f>
        <v>resplandecente, brilhante</v>
      </c>
      <c r="E1790" s="8" t="str">
        <f>IFERROR(__xludf.DUMMYFUNCTION("GOOGLETRANSLATE(C1790, ""en"", ""es"")"),"resplandeciente, brillante")</f>
        <v>resplandeciente, brillante</v>
      </c>
      <c r="F1790" s="8" t="str">
        <f>IFERROR(__xludf.DUMMYFUNCTION("GOOGLETRANSLATE(C1790, ""en"", ""fr"")"),"resplendissant, brillant")</f>
        <v>resplendissant, brillant</v>
      </c>
      <c r="G1790" s="8" t="str">
        <f>IFERROR(__xludf.DUMMYFUNCTION("GOOGLETRANSLATE(C1790, ""en"", ""de"")"),"strahlend, glänzend")</f>
        <v>strahlend, glänzend</v>
      </c>
      <c r="H1790" s="8" t="str">
        <f>IFERROR(__xludf.DUMMYFUNCTION("GOOGLETRANSLATE(C1790, ""en"", ""ru"")"),"великолепный, сияющий")</f>
        <v>великолепный, сияющий</v>
      </c>
      <c r="I1790" s="8" t="str">
        <f>IFERROR(__xludf.DUMMYFUNCTION("GOOGLETRANSLATE(C1790, ""en"", ""ar"")"),"متألق، لامع")</f>
        <v>متألق، لامع</v>
      </c>
      <c r="J1790" s="8"/>
      <c r="K1790" s="7" t="str">
        <f>IFERROR(__xludf.DUMMYFUNCTION("CONCAT(REGEXREPLACE(C1790,""[ ,]+"",""_""),"".mp3"")"),"resplendent_shinning.mp3")</f>
        <v>resplendent_shinning.mp3</v>
      </c>
      <c r="M1790" s="4" t="s">
        <v>10</v>
      </c>
    </row>
    <row r="1791" ht="15.75" customHeight="1">
      <c r="A1791" s="1">
        <v>3159.0</v>
      </c>
      <c r="B1791" s="3">
        <v>155.0</v>
      </c>
      <c r="C1791" s="7" t="s">
        <v>1798</v>
      </c>
      <c r="D1791" s="8" t="str">
        <f>IFERROR(__xludf.DUMMYFUNCTION("GOOGLETRANSLATE(C1791, ""en"", ""pt"")"),"rudimentar, elementar")</f>
        <v>rudimentar, elementar</v>
      </c>
      <c r="E1791" s="8" t="str">
        <f>IFERROR(__xludf.DUMMYFUNCTION("GOOGLETRANSLATE(C1791, ""en"", ""es"")"),"rudimentario, elemental")</f>
        <v>rudimentario, elemental</v>
      </c>
      <c r="F1791" s="8" t="str">
        <f>IFERROR(__xludf.DUMMYFUNCTION("GOOGLETRANSLATE(C1791, ""en"", ""fr"")"),"rudimentaire, élémentaire")</f>
        <v>rudimentaire, élémentaire</v>
      </c>
      <c r="G1791" s="8" t="str">
        <f>IFERROR(__xludf.DUMMYFUNCTION("GOOGLETRANSLATE(C1791, ""en"", ""de"")"),"rudimentär, elementar")</f>
        <v>rudimentär, elementar</v>
      </c>
      <c r="H1791" s="8" t="str">
        <f>IFERROR(__xludf.DUMMYFUNCTION("GOOGLETRANSLATE(C1791, ""en"", ""ru"")"),"элементарный, элементарный")</f>
        <v>элементарный, элементарный</v>
      </c>
      <c r="I1791" s="8" t="str">
        <f>IFERROR(__xludf.DUMMYFUNCTION("GOOGLETRANSLATE(C1791, ""en"", ""ar"")"),"بدائي، ابتدائي")</f>
        <v>بدائي، ابتدائي</v>
      </c>
      <c r="J1791" s="8"/>
      <c r="K1791" s="7" t="str">
        <f>IFERROR(__xludf.DUMMYFUNCTION("CONCAT(REGEXREPLACE(C1791,""[ ,]+"",""_""),"".mp3"")"),"rudimentary_elementary.mp3")</f>
        <v>rudimentary_elementary.mp3</v>
      </c>
      <c r="M1791" s="4" t="s">
        <v>10</v>
      </c>
    </row>
    <row r="1792" ht="15.75" customHeight="1">
      <c r="A1792" s="1">
        <v>3160.0</v>
      </c>
      <c r="B1792" s="3">
        <v>155.0</v>
      </c>
      <c r="C1792" s="7" t="s">
        <v>1586</v>
      </c>
      <c r="D1792" s="8" t="str">
        <f>IFERROR(__xludf.DUMMYFUNCTION("GOOGLETRANSLATE(C1792, ""en"", ""pt"")"),"sanguíneo, otimista")</f>
        <v>sanguíneo, otimista</v>
      </c>
      <c r="E1792" s="8" t="str">
        <f>IFERROR(__xludf.DUMMYFUNCTION("GOOGLETRANSLATE(C1792, ""en"", ""es"")"),"sanguíneo, optimista")</f>
        <v>sanguíneo, optimista</v>
      </c>
      <c r="F1792" s="8" t="str">
        <f>IFERROR(__xludf.DUMMYFUNCTION("GOOGLETRANSLATE(C1792, ""en"", ""fr"")"),"optimiste")</f>
        <v>optimiste</v>
      </c>
      <c r="G1792" s="8" t="str">
        <f>IFERROR(__xludf.DUMMYFUNCTION("GOOGLETRANSLATE(C1792, ""en"", ""de"")"),"optimistisch, zuversichtlich")</f>
        <v>optimistisch, zuversichtlich</v>
      </c>
      <c r="H1792" s="8" t="str">
        <f>IFERROR(__xludf.DUMMYFUNCTION("GOOGLETRANSLATE(C1792, ""en"", ""ru"")"),"оптимистичный, оптимистичный")</f>
        <v>оптимистичный, оптимистичный</v>
      </c>
      <c r="I1792" s="8" t="str">
        <f>IFERROR(__xludf.DUMMYFUNCTION("GOOGLETRANSLATE(C1792, ""en"", ""ar"")"),"متفائل، متفائل")</f>
        <v>متفائل، متفائل</v>
      </c>
      <c r="J1792" s="8"/>
      <c r="K1792" s="7" t="str">
        <f>IFERROR(__xludf.DUMMYFUNCTION("CONCAT(REGEXREPLACE(C1792,""[ ,]+"",""_""),"".mp3"")"),"sanguine_optimistic.mp3")</f>
        <v>sanguine_optimistic.mp3</v>
      </c>
      <c r="M1792" s="4" t="s">
        <v>10</v>
      </c>
    </row>
    <row r="1793" ht="15.75" customHeight="1">
      <c r="A1793" s="1">
        <v>3161.0</v>
      </c>
      <c r="B1793" s="3">
        <v>155.0</v>
      </c>
      <c r="C1793" s="7" t="s">
        <v>1799</v>
      </c>
      <c r="D1793" s="8" t="str">
        <f>IFERROR(__xludf.DUMMYFUNCTION("GOOGLETRANSLATE(C1793, ""en"", ""pt"")"),"passear, dar um passeio")</f>
        <v>passear, dar um passeio</v>
      </c>
      <c r="E1793" s="8" t="str">
        <f>IFERROR(__xludf.DUMMYFUNCTION("GOOGLETRANSLATE(C1793, ""en"", ""es"")"),"pasear, caminar")</f>
        <v>pasear, caminar</v>
      </c>
      <c r="F1793" s="8" t="str">
        <f>IFERROR(__xludf.DUMMYFUNCTION("GOOGLETRANSLATE(C1793, ""en"", ""fr"")"),"flâner, se promener")</f>
        <v>flâner, se promener</v>
      </c>
      <c r="G1793" s="8" t="str">
        <f>IFERROR(__xludf.DUMMYFUNCTION("GOOGLETRANSLATE(C1793, ""en"", ""de"")"),"schlendern, flanieren")</f>
        <v>schlendern, flanieren</v>
      </c>
      <c r="H1793" s="8" t="str">
        <f>IFERROR(__xludf.DUMMYFUNCTION("GOOGLETRANSLATE(C1793, ""en"", ""ru"")"),"неспешно прогуливаться, прогуливаться")</f>
        <v>неспешно прогуливаться, прогуливаться</v>
      </c>
      <c r="I1793" s="8" t="str">
        <f>IFERROR(__xludf.DUMMYFUNCTION("GOOGLETRANSLATE(C1793, ""en"", ""ar"")"),"تجول، تمشى")</f>
        <v>تجول، تمشى</v>
      </c>
      <c r="J1793" s="8"/>
      <c r="K1793" s="7" t="str">
        <f>IFERROR(__xludf.DUMMYFUNCTION("CONCAT(REGEXREPLACE(C1793,""[ ,]+"",""_""),"".mp3"")"),"saunter_stroll.mp3")</f>
        <v>saunter_stroll.mp3</v>
      </c>
      <c r="M1793" s="4" t="s">
        <v>10</v>
      </c>
    </row>
    <row r="1794" ht="15.75" customHeight="1">
      <c r="A1794" s="1">
        <v>3162.0</v>
      </c>
      <c r="B1794" s="3">
        <v>155.0</v>
      </c>
      <c r="C1794" s="7" t="s">
        <v>1800</v>
      </c>
      <c r="D1794" s="8" t="str">
        <f>IFERROR(__xludf.DUMMYFUNCTION("GOOGLETRANSLATE(C1794, ""en"", ""pt"")"),"difamatório, vulgar")</f>
        <v>difamatório, vulgar</v>
      </c>
      <c r="E1794" s="8" t="str">
        <f>IFERROR(__xludf.DUMMYFUNCTION("GOOGLETRANSLATE(C1794, ""en"", ""es"")"),"injurioso, vulgar")</f>
        <v>injurioso, vulgar</v>
      </c>
      <c r="F1794" s="8" t="str">
        <f>IFERROR(__xludf.DUMMYFUNCTION("GOOGLETRANSLATE(C1794, ""en"", ""fr"")"),"scurriles, vulgaires")</f>
        <v>scurriles, vulgaires</v>
      </c>
      <c r="G1794" s="8" t="str">
        <f>IFERROR(__xludf.DUMMYFUNCTION("GOOGLETRANSLATE(C1794, ""en"", ""de"")"),"schändlich, vulgär")</f>
        <v>schändlich, vulgär</v>
      </c>
      <c r="H1794" s="8" t="str">
        <f>IFERROR(__xludf.DUMMYFUNCTION("GOOGLETRANSLATE(C1794, ""en"", ""ru"")"),"оскорбительный, вульгарный")</f>
        <v>оскорбительный, вульгарный</v>
      </c>
      <c r="I1794" s="8" t="str">
        <f>IFERROR(__xludf.DUMMYFUNCTION("GOOGLETRANSLATE(C1794, ""en"", ""ar"")"),"بذيء، مبتذل")</f>
        <v>بذيء، مبتذل</v>
      </c>
      <c r="J1794" s="8"/>
      <c r="K1794" s="7" t="str">
        <f>IFERROR(__xludf.DUMMYFUNCTION("CONCAT(REGEXREPLACE(C1794,""[ ,]+"",""_""),"".mp3"")"),"scurrilous_vulgar.mp3")</f>
        <v>scurrilous_vulgar.mp3</v>
      </c>
      <c r="M1794" s="4" t="s">
        <v>10</v>
      </c>
    </row>
    <row r="1795" ht="15.75" customHeight="1">
      <c r="A1795" s="1">
        <v>3163.0</v>
      </c>
      <c r="B1795" s="3">
        <v>155.0</v>
      </c>
      <c r="C1795" s="7" t="s">
        <v>1801</v>
      </c>
      <c r="D1795" s="8" t="str">
        <f>IFERROR(__xludf.DUMMYFUNCTION("GOOGLETRANSLATE(C1795, ""en"", ""pt"")"),"sequestrar, separar")</f>
        <v>sequestrar, separar</v>
      </c>
      <c r="E1795" s="8" t="str">
        <f>IFERROR(__xludf.DUMMYFUNCTION("GOOGLETRANSLATE(C1795, ""en"", ""es"")"),"secuestro, separación")</f>
        <v>secuestro, separación</v>
      </c>
      <c r="F1795" s="8" t="str">
        <f>IFERROR(__xludf.DUMMYFUNCTION("GOOGLETRANSLATE(C1795, ""en"", ""fr"")"),"séquestrer, séparer")</f>
        <v>séquestrer, séparer</v>
      </c>
      <c r="G1795" s="8" t="str">
        <f>IFERROR(__xludf.DUMMYFUNCTION("GOOGLETRANSLATE(C1795, ""en"", ""de"")"),"sequestrieren, trennen")</f>
        <v>sequestrieren, trennen</v>
      </c>
      <c r="H1795" s="8" t="str">
        <f>IFERROR(__xludf.DUMMYFUNCTION("GOOGLETRANSLATE(C1795, ""en"", ""ru"")"),"секвестрировать, отделить")</f>
        <v>секвестрировать, отделить</v>
      </c>
      <c r="I1795" s="8" t="str">
        <f>IFERROR(__xludf.DUMMYFUNCTION("GOOGLETRANSLATE(C1795, ""en"", ""ar"")"),"العزل، الفصل")</f>
        <v>العزل، الفصل</v>
      </c>
      <c r="J1795" s="8"/>
      <c r="K1795" s="7" t="str">
        <f>IFERROR(__xludf.DUMMYFUNCTION("CONCAT(REGEXREPLACE(C1795,""[ ,]+"",""_""),"".mp3"")"),"sequester_separate.mp3")</f>
        <v>sequester_separate.mp3</v>
      </c>
      <c r="M1795" s="4" t="s">
        <v>10</v>
      </c>
    </row>
    <row r="1796" ht="15.75" customHeight="1">
      <c r="A1796" s="1">
        <v>3164.0</v>
      </c>
      <c r="B1796" s="3">
        <v>155.0</v>
      </c>
      <c r="C1796" s="7" t="s">
        <v>1802</v>
      </c>
      <c r="D1796" s="8" t="str">
        <f>IFERROR(__xludf.DUMMYFUNCTION("GOOGLETRANSLATE(C1796, ""en"", ""pt"")"),"cético, incrédulo")</f>
        <v>cético, incrédulo</v>
      </c>
      <c r="E1796" s="8" t="str">
        <f>IFERROR(__xludf.DUMMYFUNCTION("GOOGLETRANSLATE(C1796, ""en"", ""es"")"),"escéptico, dubitativo")</f>
        <v>escéptico, dubitativo</v>
      </c>
      <c r="F1796" s="8" t="str">
        <f>IFERROR(__xludf.DUMMYFUNCTION("GOOGLETRANSLATE(C1796, ""en"", ""fr"")"),"sceptique, sceptique")</f>
        <v>sceptique, sceptique</v>
      </c>
      <c r="G1796" s="8" t="str">
        <f>IFERROR(__xludf.DUMMYFUNCTION("GOOGLETRANSLATE(C1796, ""en"", ""de"")"),"Skeptiker, Zweifler")</f>
        <v>Skeptiker, Zweifler</v>
      </c>
      <c r="H1796" s="8" t="str">
        <f>IFERROR(__xludf.DUMMYFUNCTION("GOOGLETRANSLATE(C1796, ""en"", ""ru"")"),"скептик, сомневающийся")</f>
        <v>скептик, сомневающийся</v>
      </c>
      <c r="I1796" s="8" t="str">
        <f>IFERROR(__xludf.DUMMYFUNCTION("GOOGLETRANSLATE(C1796, ""en"", ""ar"")"),"متشكك، رافض")</f>
        <v>متشكك، رافض</v>
      </c>
      <c r="J1796" s="8"/>
      <c r="K1796" s="7" t="str">
        <f>IFERROR(__xludf.DUMMYFUNCTION("CONCAT(REGEXREPLACE(C1796,""[ ,]+"",""_""),"".mp3"")"),"skeptic_doubter.mp3")</f>
        <v>skeptic_doubter.mp3</v>
      </c>
      <c r="M1796" s="4" t="s">
        <v>10</v>
      </c>
    </row>
    <row r="1797" ht="15.75" customHeight="1">
      <c r="A1797" s="1">
        <v>3165.0</v>
      </c>
      <c r="B1797" s="3">
        <v>155.0</v>
      </c>
      <c r="C1797" s="7" t="s">
        <v>1803</v>
      </c>
      <c r="D1797" s="8" t="str">
        <f>IFERROR(__xludf.DUMMYFUNCTION("GOOGLETRANSLATE(C1797, ""en"", ""pt"")"),"soporífero, que causa sono")</f>
        <v>soporífero, que causa sono</v>
      </c>
      <c r="E1797" s="8" t="str">
        <f>IFERROR(__xludf.DUMMYFUNCTION("GOOGLETRANSLATE(C1797, ""en"", ""es"")"),"soporífero, que provoca sueño")</f>
        <v>soporífero, que provoca sueño</v>
      </c>
      <c r="F1797" s="8" t="str">
        <f>IFERROR(__xludf.DUMMYFUNCTION("GOOGLETRANSLATE(C1797, ""en"", ""fr"")"),"soporifique, provoquant le sommeil")</f>
        <v>soporifique, provoquant le sommeil</v>
      </c>
      <c r="G1797" s="8" t="str">
        <f>IFERROR(__xludf.DUMMYFUNCTION("GOOGLETRANSLATE(C1797, ""en"", ""de"")"),"schlaffördernd, verursacht Schlaf")</f>
        <v>schlaffördernd, verursacht Schlaf</v>
      </c>
      <c r="H1797" s="8" t="str">
        <f>IFERROR(__xludf.DUMMYFUNCTION("GOOGLETRANSLATE(C1797, ""en"", ""ru"")"),"снотворное, вызывающее сонливость")</f>
        <v>снотворное, вызывающее сонливость</v>
      </c>
      <c r="I1797" s="8" t="str">
        <f>IFERROR(__xludf.DUMMYFUNCTION("GOOGLETRANSLATE(C1797, ""en"", ""ar"")"),"مُنَوِّم، يُسبِّب النوم")</f>
        <v>مُنَوِّم، يُسبِّب النوم</v>
      </c>
      <c r="J1797" s="8"/>
      <c r="K1797" s="7" t="str">
        <f>IFERROR(__xludf.DUMMYFUNCTION("CONCAT(REGEXREPLACE(C1797,""[ ,]+"",""_""),"".mp3"")"),"soporific_causing_sleep.mp3")</f>
        <v>soporific_causing_sleep.mp3</v>
      </c>
      <c r="M1797" s="4" t="s">
        <v>10</v>
      </c>
    </row>
    <row r="1798" ht="15.75" customHeight="1">
      <c r="A1798" s="1">
        <v>3166.0</v>
      </c>
      <c r="B1798" s="3">
        <v>155.0</v>
      </c>
      <c r="C1798" s="7" t="s">
        <v>1804</v>
      </c>
      <c r="D1798" s="8" t="str">
        <f>IFERROR(__xludf.DUMMYFUNCTION("GOOGLETRANSLATE(C1798, ""en"", ""pt"")"),"soberano, supremo")</f>
        <v>soberano, supremo</v>
      </c>
      <c r="E1798" s="8" t="str">
        <f>IFERROR(__xludf.DUMMYFUNCTION("GOOGLETRANSLATE(C1798, ""en"", ""es"")"),"soberano, supremo")</f>
        <v>soberano, supremo</v>
      </c>
      <c r="F1798" s="8" t="str">
        <f>IFERROR(__xludf.DUMMYFUNCTION("GOOGLETRANSLATE(C1798, ""en"", ""fr"")"),"souverain, suprême")</f>
        <v>souverain, suprême</v>
      </c>
      <c r="G1798" s="8" t="str">
        <f>IFERROR(__xludf.DUMMYFUNCTION("GOOGLETRANSLATE(C1798, ""en"", ""de"")"),"souverän, oberste")</f>
        <v>souverän, oberste</v>
      </c>
      <c r="H1798" s="8" t="str">
        <f>IFERROR(__xludf.DUMMYFUNCTION("GOOGLETRANSLATE(C1798, ""en"", ""ru"")"),"суверенный, верховный")</f>
        <v>суверенный, верховный</v>
      </c>
      <c r="I1798" s="8" t="str">
        <f>IFERROR(__xludf.DUMMYFUNCTION("GOOGLETRANSLATE(C1798, ""en"", ""ar"")"),"سيادة، أعلى")</f>
        <v>سيادة، أعلى</v>
      </c>
      <c r="J1798" s="8"/>
      <c r="K1798" s="7" t="str">
        <f>IFERROR(__xludf.DUMMYFUNCTION("CONCAT(REGEXREPLACE(C1798,""[ ,]+"",""_""),"".mp3"")"),"sovereign_supreme.mp3")</f>
        <v>sovereign_supreme.mp3</v>
      </c>
      <c r="M1798" s="4" t="s">
        <v>10</v>
      </c>
    </row>
    <row r="1799" ht="15.75" customHeight="1">
      <c r="A1799" s="1">
        <v>3167.0</v>
      </c>
      <c r="B1799" s="3">
        <v>155.0</v>
      </c>
      <c r="C1799" s="7" t="s">
        <v>1805</v>
      </c>
      <c r="D1799" s="8" t="str">
        <f>IFERROR(__xludf.DUMMYFUNCTION("GOOGLETRANSLATE(C1799, ""en"", ""pt"")"),"sórdido, imundo")</f>
        <v>sórdido, imundo</v>
      </c>
      <c r="E1799" s="8" t="str">
        <f>IFERROR(__xludf.DUMMYFUNCTION("GOOGLETRANSLATE(C1799, ""en"", ""es"")"),"sórdido, inmundo")</f>
        <v>sórdido, inmundo</v>
      </c>
      <c r="F1799" s="8" t="str">
        <f>IFERROR(__xludf.DUMMYFUNCTION("GOOGLETRANSLATE(C1799, ""en"", ""fr"")"),"sordide, immonde")</f>
        <v>sordide, immonde</v>
      </c>
      <c r="G1799" s="8" t="str">
        <f>IFERROR(__xludf.DUMMYFUNCTION("GOOGLETRANSLATE(C1799, ""en"", ""de"")"),"schmutzig, dreckig")</f>
        <v>schmutzig, dreckig</v>
      </c>
      <c r="H1799" s="8" t="str">
        <f>IFERROR(__xludf.DUMMYFUNCTION("GOOGLETRANSLATE(C1799, ""en"", ""ru"")"),"грязный, мерзкий")</f>
        <v>грязный, мерзкий</v>
      </c>
      <c r="I1799" s="8" t="str">
        <f>IFERROR(__xludf.DUMMYFUNCTION("GOOGLETRANSLATE(C1799, ""en"", ""ar"")"),"قذر، بائس")</f>
        <v>قذر، بائس</v>
      </c>
      <c r="J1799" s="8"/>
      <c r="K1799" s="7" t="str">
        <f>IFERROR(__xludf.DUMMYFUNCTION("CONCAT(REGEXREPLACE(C1799,""[ ,]+"",""_""),"".mp3"")"),"squalid_filthy.mp3")</f>
        <v>squalid_filthy.mp3</v>
      </c>
      <c r="M1799" s="4" t="s">
        <v>10</v>
      </c>
    </row>
    <row r="1800" ht="15.75" customHeight="1">
      <c r="A1800" s="1">
        <v>3168.0</v>
      </c>
      <c r="B1800" s="3">
        <v>155.0</v>
      </c>
      <c r="C1800" s="7" t="s">
        <v>1806</v>
      </c>
      <c r="D1800" s="8" t="str">
        <f>IFERROR(__xludf.DUMMYFUNCTION("GOOGLETRANSLATE(C1800, ""en"", ""pt"")"),"estagnado, imóvel")</f>
        <v>estagnado, imóvel</v>
      </c>
      <c r="E1800" s="8" t="str">
        <f>IFERROR(__xludf.DUMMYFUNCTION("GOOGLETRANSLATE(C1800, ""en"", ""es"")"),"estancado, inmóvil")</f>
        <v>estancado, inmóvil</v>
      </c>
      <c r="F1800" s="8" t="str">
        <f>IFERROR(__xludf.DUMMYFUNCTION("GOOGLETRANSLATE(C1800, ""en"", ""fr"")"),"stagnant, immobile")</f>
        <v>stagnant, immobile</v>
      </c>
      <c r="G1800" s="8" t="str">
        <f>IFERROR(__xludf.DUMMYFUNCTION("GOOGLETRANSLATE(C1800, ""en"", ""de"")"),"stagnierend, bewegungslos")</f>
        <v>stagnierend, bewegungslos</v>
      </c>
      <c r="H1800" s="8" t="str">
        <f>IFERROR(__xludf.DUMMYFUNCTION("GOOGLETRANSLATE(C1800, ""en"", ""ru"")"),"застойный, неподвижный")</f>
        <v>застойный, неподвижный</v>
      </c>
      <c r="I1800" s="8" t="str">
        <f>IFERROR(__xludf.DUMMYFUNCTION("GOOGLETRANSLATE(C1800, ""en"", ""ar"")"),"راكد، بلا حراك")</f>
        <v>راكد، بلا حراك</v>
      </c>
      <c r="J1800" s="8"/>
      <c r="K1800" s="7" t="str">
        <f>IFERROR(__xludf.DUMMYFUNCTION("CONCAT(REGEXREPLACE(C1800,""[ ,]+"",""_""),"".mp3"")"),"stagnant_motionless.mp3")</f>
        <v>stagnant_motionless.mp3</v>
      </c>
      <c r="M1800" s="4" t="s">
        <v>10</v>
      </c>
    </row>
    <row r="1801" ht="15.75" customHeight="1">
      <c r="A1801" s="1">
        <v>3169.0</v>
      </c>
      <c r="B1801" s="3">
        <v>155.0</v>
      </c>
      <c r="C1801" s="7" t="s">
        <v>1807</v>
      </c>
      <c r="D1801" s="8" t="str">
        <f>IFERROR(__xludf.DUMMYFUNCTION("GOOGLETRANSLATE(C1801, ""en"", ""pt"")"),"impedir, obstruir")</f>
        <v>impedir, obstruir</v>
      </c>
      <c r="E1801" s="8" t="str">
        <f>IFERROR(__xludf.DUMMYFUNCTION("GOOGLETRANSLATE(C1801, ""en"", ""es"")"),"obstaculizar, impedir")</f>
        <v>obstaculizar, impedir</v>
      </c>
      <c r="F1801" s="8" t="str">
        <f>IFERROR(__xludf.DUMMYFUNCTION("GOOGLETRANSLATE(C1801, ""en"", ""fr"")"),"bloquer, entraver")</f>
        <v>bloquer, entraver</v>
      </c>
      <c r="G1801" s="8" t="str">
        <f>IFERROR(__xludf.DUMMYFUNCTION("GOOGLETRANSLATE(C1801, ""en"", ""de"")"),"behindern, blockieren")</f>
        <v>behindern, blockieren</v>
      </c>
      <c r="H1801" s="8" t="str">
        <f>IFERROR(__xludf.DUMMYFUNCTION("GOOGLETRANSLATE(C1801, ""en"", ""ru"")"),"препятствовать, мешать")</f>
        <v>препятствовать, мешать</v>
      </c>
      <c r="I1801" s="8" t="str">
        <f>IFERROR(__xludf.DUMMYFUNCTION("GOOGLETRANSLATE(C1801, ""en"", ""ar"")"),"عرقلة، إعاقة")</f>
        <v>عرقلة، إعاقة</v>
      </c>
      <c r="J1801" s="8"/>
      <c r="K1801" s="7" t="str">
        <f>IFERROR(__xludf.DUMMYFUNCTION("CONCAT(REGEXREPLACE(C1801,""[ ,]+"",""_""),"".mp3"")"),"stymie_obstruct.mp3")</f>
        <v>stymie_obstruct.mp3</v>
      </c>
      <c r="M1801" s="4" t="s">
        <v>10</v>
      </c>
    </row>
    <row r="1802" ht="15.75" customHeight="1">
      <c r="A1802" s="1">
        <v>3170.0</v>
      </c>
      <c r="B1802" s="3">
        <v>155.0</v>
      </c>
      <c r="C1802" s="7" t="s">
        <v>1808</v>
      </c>
      <c r="D1802" s="8" t="str">
        <f>IFERROR(__xludf.DUMMYFUNCTION("GOOGLETRANSLATE(C1802, ""en"", ""pt"")"),"tímido, acanhado")</f>
        <v>tímido, acanhado</v>
      </c>
      <c r="E1802" s="8" t="str">
        <f>IFERROR(__xludf.DUMMYFUNCTION("GOOGLETRANSLATE(C1802, ""en"", ""es"")"),"tímido, retraído")</f>
        <v>tímido, retraído</v>
      </c>
      <c r="F1802" s="8" t="str">
        <f>IFERROR(__xludf.DUMMYFUNCTION("GOOGLETRANSLATE(C1802, ""en"", ""fr"")"),"timide, timoré")</f>
        <v>timide, timoré</v>
      </c>
      <c r="G1802" s="8" t="str">
        <f>IFERROR(__xludf.DUMMYFUNCTION("GOOGLETRANSLATE(C1802, ""en"", ""de"")"),"ängstlich, scheu")</f>
        <v>ängstlich, scheu</v>
      </c>
      <c r="H1802" s="8" t="str">
        <f>IFERROR(__xludf.DUMMYFUNCTION("GOOGLETRANSLATE(C1802, ""en"", ""ru"")"),"робкий, застенчивый")</f>
        <v>робкий, застенчивый</v>
      </c>
      <c r="I1802" s="8" t="str">
        <f>IFERROR(__xludf.DUMMYFUNCTION("GOOGLETRANSLATE(C1802, ""en"", ""ar"")"),"خجول، جبان")</f>
        <v>خجول، جبان</v>
      </c>
      <c r="J1802" s="8"/>
      <c r="K1802" s="7" t="str">
        <f>IFERROR(__xludf.DUMMYFUNCTION("CONCAT(REGEXREPLACE(C1802,""[ ,]+"",""_""),"".mp3"")"),"timorous_timid.mp3")</f>
        <v>timorous_timid.mp3</v>
      </c>
      <c r="M1802" s="4" t="s">
        <v>10</v>
      </c>
    </row>
    <row r="1803" ht="15.75" customHeight="1">
      <c r="A1803" s="1">
        <v>3171.0</v>
      </c>
      <c r="B1803" s="3">
        <v>155.0</v>
      </c>
      <c r="C1803" s="7" t="s">
        <v>1809</v>
      </c>
      <c r="D1803" s="8" t="str">
        <f>IFERROR(__xludf.DUMMYFUNCTION("GOOGLETRANSLATE(C1803, ""en"", ""pt"")"),"tratável, de fácil gestão")</f>
        <v>tratável, de fácil gestão</v>
      </c>
      <c r="E1803" s="8" t="str">
        <f>IFERROR(__xludf.DUMMYFUNCTION("GOOGLETRANSLATE(C1803, ""en"", ""es"")"),"manejable, fácil de gestionar")</f>
        <v>manejable, fácil de gestionar</v>
      </c>
      <c r="F1803" s="8" t="str">
        <f>IFERROR(__xludf.DUMMYFUNCTION("GOOGLETRANSLATE(C1803, ""en"", ""fr"")"),"docile, facile à gérer")</f>
        <v>docile, facile à gérer</v>
      </c>
      <c r="G1803" s="8" t="str">
        <f>IFERROR(__xludf.DUMMYFUNCTION("GOOGLETRANSLATE(C1803, ""en"", ""de"")"),"handhabbar, leicht zu verwalten")</f>
        <v>handhabbar, leicht zu verwalten</v>
      </c>
      <c r="H1803" s="8" t="str">
        <f>IFERROR(__xludf.DUMMYFUNCTION("GOOGLETRANSLATE(C1803, ""en"", ""ru"")"),"податливый, легко управляемый")</f>
        <v>податливый, легко управляемый</v>
      </c>
      <c r="I1803" s="8" t="str">
        <f>IFERROR(__xludf.DUMMYFUNCTION("GOOGLETRANSLATE(C1803, ""en"", ""ar"")"),"سهل الانقياد، سهل الإدارة")</f>
        <v>سهل الانقياد، سهل الإدارة</v>
      </c>
      <c r="J1803" s="8"/>
      <c r="K1803" s="7" t="str">
        <f>IFERROR(__xludf.DUMMYFUNCTION("CONCAT(REGEXREPLACE(C1803,""[ ,]+"",""_""),"".mp3"")"),"tractable_easily_managed.mp3")</f>
        <v>tractable_easily_managed.mp3</v>
      </c>
      <c r="M1803" s="4" t="s">
        <v>10</v>
      </c>
    </row>
    <row r="1804" ht="15.75" customHeight="1">
      <c r="A1804" s="1">
        <v>3172.0</v>
      </c>
      <c r="B1804" s="3">
        <v>155.0</v>
      </c>
      <c r="C1804" s="7" t="s">
        <v>1810</v>
      </c>
      <c r="D1804" s="8" t="str">
        <f>IFERROR(__xludf.DUMMYFUNCTION("GOOGLETRANSLATE(C1804, ""en"", ""pt"")"),"apreensão, inquietação")</f>
        <v>apreensão, inquietação</v>
      </c>
      <c r="E1804" s="8" t="str">
        <f>IFERROR(__xludf.DUMMYFUNCTION("GOOGLETRANSLATE(C1804, ""en"", ""es"")"),"temor, inquietud")</f>
        <v>temor, inquietud</v>
      </c>
      <c r="F1804" s="8" t="str">
        <f>IFERROR(__xludf.DUMMYFUNCTION("GOOGLETRANSLATE(C1804, ""en"", ""fr"")"),"appréhension, malaise")</f>
        <v>appréhension, malaise</v>
      </c>
      <c r="G1804" s="8" t="str">
        <f>IFERROR(__xludf.DUMMYFUNCTION("GOOGLETRANSLATE(C1804, ""en"", ""de"")"),"Besorgnis, Unbehagen")</f>
        <v>Besorgnis, Unbehagen</v>
      </c>
      <c r="H1804" s="8" t="str">
        <f>IFERROR(__xludf.DUMMYFUNCTION("GOOGLETRANSLATE(C1804, ""en"", ""ru"")"),"трепет, беспокойство")</f>
        <v>трепет, беспокойство</v>
      </c>
      <c r="I1804" s="8" t="str">
        <f>IFERROR(__xludf.DUMMYFUNCTION("GOOGLETRANSLATE(C1804, ""en"", ""ar"")"),"الخوف، القلق")</f>
        <v>الخوف، القلق</v>
      </c>
      <c r="J1804" s="8"/>
      <c r="K1804" s="7" t="str">
        <f>IFERROR(__xludf.DUMMYFUNCTION("CONCAT(REGEXREPLACE(C1804,""[ ,]+"",""_""),"".mp3"")"),"trepidation_uneasiness.mp3")</f>
        <v>trepidation_uneasiness.mp3</v>
      </c>
      <c r="M1804" s="4" t="s">
        <v>10</v>
      </c>
    </row>
    <row r="1805" ht="15.75" customHeight="1">
      <c r="A1805" s="1">
        <v>3173.0</v>
      </c>
      <c r="B1805" s="3">
        <v>155.0</v>
      </c>
      <c r="C1805" s="7" t="s">
        <v>1811</v>
      </c>
      <c r="D1805" s="8" t="str">
        <f>IFERROR(__xludf.DUMMYFUNCTION("GOOGLETRANSLATE(C1805, ""en"", ""pt"")"),"tirania, ditadura")</f>
        <v>tirania, ditadura</v>
      </c>
      <c r="E1805" s="8" t="str">
        <f>IFERROR(__xludf.DUMMYFUNCTION("GOOGLETRANSLATE(C1805, ""en"", ""es"")"),"tiranía, dictadura")</f>
        <v>tiranía, dictadura</v>
      </c>
      <c r="F1805" s="8" t="str">
        <f>IFERROR(__xludf.DUMMYFUNCTION("GOOGLETRANSLATE(C1805, ""en"", ""fr"")"),"tyrannie, dictature")</f>
        <v>tyrannie, dictature</v>
      </c>
      <c r="G1805" s="8" t="str">
        <f>IFERROR(__xludf.DUMMYFUNCTION("GOOGLETRANSLATE(C1805, ""en"", ""de"")"),"Tyrannei, Diktatur")</f>
        <v>Tyrannei, Diktatur</v>
      </c>
      <c r="H1805" s="8" t="str">
        <f>IFERROR(__xludf.DUMMYFUNCTION("GOOGLETRANSLATE(C1805, ""en"", ""ru"")"),"тирания, диктатура")</f>
        <v>тирания, диктатура</v>
      </c>
      <c r="I1805" s="8" t="str">
        <f>IFERROR(__xludf.DUMMYFUNCTION("GOOGLETRANSLATE(C1805, ""en"", ""ar"")"),"الاستبداد، الديكتاتورية")</f>
        <v>الاستبداد، الديكتاتورية</v>
      </c>
      <c r="J1805" s="8"/>
      <c r="K1805" s="7" t="str">
        <f>IFERROR(__xludf.DUMMYFUNCTION("CONCAT(REGEXREPLACE(C1805,""[ ,]+"",""_""),"".mp3"")"),"tyranny_dictatorship.mp3")</f>
        <v>tyranny_dictatorship.mp3</v>
      </c>
      <c r="M1805" s="4" t="s">
        <v>10</v>
      </c>
    </row>
    <row r="1806" ht="15.75" customHeight="1">
      <c r="A1806" s="1">
        <v>3174.0</v>
      </c>
      <c r="B1806" s="3">
        <v>155.0</v>
      </c>
      <c r="C1806" s="7" t="s">
        <v>1546</v>
      </c>
      <c r="D1806" s="8" t="str">
        <f>IFERROR(__xludf.DUMMYFUNCTION("GOOGLETRANSLATE(C1806, ""en"", ""pt"")"),"minar, enfraquecer")</f>
        <v>minar, enfraquecer</v>
      </c>
      <c r="E1806" s="8" t="str">
        <f>IFERROR(__xludf.DUMMYFUNCTION("GOOGLETRANSLATE(C1806, ""en"", ""es"")"),"socavar, debilitar")</f>
        <v>socavar, debilitar</v>
      </c>
      <c r="F1806" s="8" t="str">
        <f>IFERROR(__xludf.DUMMYFUNCTION("GOOGLETRANSLATE(C1806, ""en"", ""fr"")"),"saper, affaiblir")</f>
        <v>saper, affaiblir</v>
      </c>
      <c r="G1806" s="8" t="str">
        <f>IFERROR(__xludf.DUMMYFUNCTION("GOOGLETRANSLATE(C1806, ""en"", ""de"")"),"untergraben, schwächen")</f>
        <v>untergraben, schwächen</v>
      </c>
      <c r="H1806" s="8" t="str">
        <f>IFERROR(__xludf.DUMMYFUNCTION("GOOGLETRANSLATE(C1806, ""en"", ""ru"")"),"подрывать, ослаблять")</f>
        <v>подрывать, ослаблять</v>
      </c>
      <c r="I1806" s="8" t="str">
        <f>IFERROR(__xludf.DUMMYFUNCTION("GOOGLETRANSLATE(C1806, ""en"", ""ar"")"),"تقويض، إضعاف")</f>
        <v>تقويض، إضعاف</v>
      </c>
      <c r="J1806" s="8"/>
      <c r="K1806" s="7" t="str">
        <f>IFERROR(__xludf.DUMMYFUNCTION("CONCAT(REGEXREPLACE(C1806,""[ ,]+"",""_""),"".mp3"")"),"undermine_weaken.mp3")</f>
        <v>undermine_weaken.mp3</v>
      </c>
      <c r="M1806" s="4" t="s">
        <v>10</v>
      </c>
    </row>
    <row r="1807" ht="15.75" customHeight="1">
      <c r="A1807" s="1">
        <v>3175.0</v>
      </c>
      <c r="B1807" s="3">
        <v>155.0</v>
      </c>
      <c r="C1807" s="7" t="s">
        <v>1812</v>
      </c>
      <c r="D1807" s="8" t="str">
        <f>IFERROR(__xludf.DUMMYFUNCTION("GOOGLETRANSLATE(C1807, ""en"", ""pt"")"),"urbano, inculto")</f>
        <v>urbano, inculto</v>
      </c>
      <c r="E1807" s="8" t="str">
        <f>IFERROR(__xludf.DUMMYFUNCTION("GOOGLETRANSLATE(C1807, ""en"", ""es"")"),"urbano, inculto")</f>
        <v>urbano, inculto</v>
      </c>
      <c r="F1807" s="8" t="str">
        <f>IFERROR(__xludf.DUMMYFUNCTION("GOOGLETRANSLATE(C1807, ""en"", ""fr"")"),"urbain, inculte")</f>
        <v>urbain, inculte</v>
      </c>
      <c r="G1807" s="8" t="str">
        <f>IFERROR(__xludf.DUMMYFUNCTION("GOOGLETRANSLATE(C1807, ""en"", ""de"")"),"urban, unkultiviert")</f>
        <v>urban, unkultiviert</v>
      </c>
      <c r="H1807" s="8" t="str">
        <f>IFERROR(__xludf.DUMMYFUNCTION("GOOGLETRANSLATE(C1807, ""en"", ""ru"")"),"утонченный, некультурный")</f>
        <v>утонченный, некультурный</v>
      </c>
      <c r="I1807" s="8" t="str">
        <f>IFERROR(__xludf.DUMMYFUNCTION("GOOGLETRANSLATE(C1807, ""en"", ""ar"")"),"حضري، غير مثقف")</f>
        <v>حضري، غير مثقف</v>
      </c>
      <c r="J1807" s="8"/>
      <c r="K1807" s="7" t="str">
        <f>IFERROR(__xludf.DUMMYFUNCTION("CONCAT(REGEXREPLACE(C1807,""[ ,]+"",""_""),"".mp3"")"),"urbane_uncultured.mp3")</f>
        <v>urbane_uncultured.mp3</v>
      </c>
      <c r="M1807" s="4" t="s">
        <v>10</v>
      </c>
    </row>
    <row r="1808" ht="15.75" customHeight="1">
      <c r="A1808" s="1">
        <v>3176.0</v>
      </c>
      <c r="B1808" s="3">
        <v>155.0</v>
      </c>
      <c r="C1808" s="7" t="s">
        <v>1813</v>
      </c>
      <c r="D1808" s="8" t="str">
        <f>IFERROR(__xludf.DUMMYFUNCTION("GOOGLETRANSLATE(C1808, ""en"", ""pt"")"),"variegado, multicolorido")</f>
        <v>variegado, multicolorido</v>
      </c>
      <c r="E1808" s="8" t="str">
        <f>IFERROR(__xludf.DUMMYFUNCTION("GOOGLETRANSLATE(C1808, ""en"", ""es"")"),"variegado, multicolor")</f>
        <v>variegado, multicolor</v>
      </c>
      <c r="F1808" s="8" t="str">
        <f>IFERROR(__xludf.DUMMYFUNCTION("GOOGLETRANSLATE(C1808, ""en"", ""fr"")"),"variés, multicolores")</f>
        <v>variés, multicolores</v>
      </c>
      <c r="G1808" s="8" t="str">
        <f>IFERROR(__xludf.DUMMYFUNCTION("GOOGLETRANSLATE(C1808, ""en"", ""de"")"),"bunt, mehrfarbig")</f>
        <v>bunt, mehrfarbig</v>
      </c>
      <c r="H1808" s="8" t="str">
        <f>IFERROR(__xludf.DUMMYFUNCTION("GOOGLETRANSLATE(C1808, ""en"", ""ru"")"),"пестрый, многоцветный")</f>
        <v>пестрый, многоцветный</v>
      </c>
      <c r="I1808" s="8" t="str">
        <f>IFERROR(__xludf.DUMMYFUNCTION("GOOGLETRANSLATE(C1808, ""en"", ""ar"")"),"متنوعة الألوان، متعددة الألوان")</f>
        <v>متنوعة الألوان، متعددة الألوان</v>
      </c>
      <c r="J1808" s="8"/>
      <c r="K1808" s="7" t="str">
        <f>IFERROR(__xludf.DUMMYFUNCTION("CONCAT(REGEXREPLACE(C1808,""[ ,]+"",""_""),"".mp3"")"),"variegated_multi-coloured.mp3")</f>
        <v>variegated_multi-coloured.mp3</v>
      </c>
      <c r="M1808" s="4" t="s">
        <v>10</v>
      </c>
    </row>
    <row r="1809" ht="15.75" customHeight="1">
      <c r="A1809" s="1">
        <v>3177.0</v>
      </c>
      <c r="B1809" s="3">
        <v>155.0</v>
      </c>
      <c r="C1809" s="7" t="s">
        <v>1814</v>
      </c>
      <c r="D1809" s="8" t="str">
        <f>IFERROR(__xludf.DUMMYFUNCTION("GOOGLETRANSLATE(C1809, ""en"", ""pt"")"),"carne de veado, carne de um cervo")</f>
        <v>carne de veado, carne de um cervo</v>
      </c>
      <c r="E1809" s="8" t="str">
        <f>IFERROR(__xludf.DUMMYFUNCTION("GOOGLETRANSLATE(C1809, ""en"", ""es"")"),"carne de venado, carne de ciervo")</f>
        <v>carne de venado, carne de ciervo</v>
      </c>
      <c r="F1809" s="8" t="str">
        <f>IFERROR(__xludf.DUMMYFUNCTION("GOOGLETRANSLATE(C1809, ""en"", ""fr"")"),"venaison, viande de cerf")</f>
        <v>venaison, viande de cerf</v>
      </c>
      <c r="G1809" s="8" t="str">
        <f>IFERROR(__xludf.DUMMYFUNCTION("GOOGLETRANSLATE(C1809, ""en"", ""de"")"),"Wildfleisch, Fleisch vom Hirsch")</f>
        <v>Wildfleisch, Fleisch vom Hirsch</v>
      </c>
      <c r="H1809" s="8" t="str">
        <f>IFERROR(__xludf.DUMMYFUNCTION("GOOGLETRANSLATE(C1809, ""en"", ""ru"")"),"оленина, мясо оленя")</f>
        <v>оленина, мясо оленя</v>
      </c>
      <c r="I1809" s="8" t="str">
        <f>IFERROR(__xludf.DUMMYFUNCTION("GOOGLETRANSLATE(C1809, ""en"", ""ar"")"),"لحم الغزال، لحم الأيل")</f>
        <v>لحم الغزال، لحم الأيل</v>
      </c>
      <c r="J1809" s="8"/>
      <c r="K1809" s="7" t="str">
        <f>IFERROR(__xludf.DUMMYFUNCTION("CONCAT(REGEXREPLACE(C1809,""[ ,]+"",""_""),"".mp3"")"),"venison_meat_of_a_deer.mp3")</f>
        <v>venison_meat_of_a_deer.mp3</v>
      </c>
      <c r="M1809" s="4" t="s">
        <v>10</v>
      </c>
    </row>
    <row r="1810" ht="15.75" customHeight="1">
      <c r="A1810" s="1">
        <v>3178.0</v>
      </c>
      <c r="B1810" s="3">
        <v>155.0</v>
      </c>
      <c r="C1810" s="7" t="s">
        <v>1815</v>
      </c>
      <c r="D1810" s="8" t="str">
        <f>IFERROR(__xludf.DUMMYFUNCTION("GOOGLETRANSLATE(C1810, ""en"", ""pt"")"),"vociferante, barulhento")</f>
        <v>vociferante, barulhento</v>
      </c>
      <c r="E1810" s="8" t="str">
        <f>IFERROR(__xludf.DUMMYFUNCTION("GOOGLETRANSLATE(C1810, ""en"", ""es"")"),"vociferante, ruidoso")</f>
        <v>vociferante, ruidoso</v>
      </c>
      <c r="F1810" s="8" t="str">
        <f>IFERROR(__xludf.DUMMYFUNCTION("GOOGLETRANSLATE(C1810, ""en"", ""fr"")"),"bruyant, vociférant")</f>
        <v>bruyant, vociférant</v>
      </c>
      <c r="G1810" s="8" t="str">
        <f>IFERROR(__xludf.DUMMYFUNCTION("GOOGLETRANSLATE(C1810, ""en"", ""de"")"),"lautstark, lärmend")</f>
        <v>lautstark, lärmend</v>
      </c>
      <c r="H1810" s="8" t="str">
        <f>IFERROR(__xludf.DUMMYFUNCTION("GOOGLETRANSLATE(C1810, ""en"", ""ru"")"),"громкий, шумный")</f>
        <v>громкий, шумный</v>
      </c>
      <c r="I1810" s="8" t="str">
        <f>IFERROR(__xludf.DUMMYFUNCTION("GOOGLETRANSLATE(C1810, ""en"", ""ar"")"),"صاخب، مزعج")</f>
        <v>صاخب، مزعج</v>
      </c>
      <c r="J1810" s="8"/>
      <c r="K1810" s="7" t="str">
        <f>IFERROR(__xludf.DUMMYFUNCTION("CONCAT(REGEXREPLACE(C1810,""[ ,]+"",""_""),"".mp3"")"),"vociferous_noisy.mp3")</f>
        <v>vociferous_noisy.mp3</v>
      </c>
      <c r="M1810" s="4" t="s">
        <v>10</v>
      </c>
    </row>
    <row r="1811" ht="15.75" customHeight="1">
      <c r="A1811" s="1">
        <v>3179.0</v>
      </c>
      <c r="B1811" s="3">
        <v>155.0</v>
      </c>
      <c r="C1811" s="7" t="s">
        <v>1816</v>
      </c>
      <c r="D1811" s="8" t="str">
        <f>IFERROR(__xludf.DUMMYFUNCTION("GOOGLETRANSLATE(C1811, ""en"", ""pt"")"),"fanático, zelote")</f>
        <v>fanático, zelote</v>
      </c>
      <c r="E1811" s="8" t="str">
        <f>IFERROR(__xludf.DUMMYFUNCTION("GOOGLETRANSLATE(C1811, ""en"", ""es"")"),"fanático, seguidor")</f>
        <v>fanático, seguidor</v>
      </c>
      <c r="F1811" s="8" t="str">
        <f>IFERROR(__xludf.DUMMYFUNCTION("GOOGLETRANSLATE(C1811, ""en"", ""fr"")"),"zélote, fanatique")</f>
        <v>zélote, fanatique</v>
      </c>
      <c r="G1811" s="8" t="str">
        <f>IFERROR(__xludf.DUMMYFUNCTION("GOOGLETRANSLATE(C1811, ""en"", ""de"")"),"Eiferer, Fanatiker")</f>
        <v>Eiferer, Fanatiker</v>
      </c>
      <c r="H1811" s="8" t="str">
        <f>IFERROR(__xludf.DUMMYFUNCTION("GOOGLETRANSLATE(C1811, ""en"", ""ru"")"),"фанатик, фанатик")</f>
        <v>фанатик, фанатик</v>
      </c>
      <c r="I1811" s="8" t="str">
        <f>IFERROR(__xludf.DUMMYFUNCTION("GOOGLETRANSLATE(C1811, ""en"", ""ar"")"),"متعصب، متشدد")</f>
        <v>متعصب، متشدد</v>
      </c>
      <c r="J1811" s="8"/>
      <c r="K1811" s="7" t="str">
        <f>IFERROR(__xludf.DUMMYFUNCTION("CONCAT(REGEXREPLACE(C1811,""[ ,]+"",""_""),"".mp3"")"),"zealot_fanatic.mp3")</f>
        <v>zealot_fanatic.mp3</v>
      </c>
      <c r="M1811" s="4" t="s">
        <v>10</v>
      </c>
    </row>
    <row r="1812" ht="15.75" customHeight="1">
      <c r="A1812" s="1">
        <v>3180.0</v>
      </c>
      <c r="B1812" s="3">
        <v>155.0</v>
      </c>
      <c r="C1812" s="7" t="s">
        <v>1817</v>
      </c>
      <c r="D1812" s="8" t="str">
        <f>IFERROR(__xludf.DUMMYFUNCTION("GOOGLETRANSLATE(C1812, ""en"", ""pt"")"),"zéfiro, brisa")</f>
        <v>zéfiro, brisa</v>
      </c>
      <c r="E1812" s="8" t="str">
        <f>IFERROR(__xludf.DUMMYFUNCTION("GOOGLETRANSLATE(C1812, ""en"", ""es"")"),"céfiro, brisa")</f>
        <v>céfiro, brisa</v>
      </c>
      <c r="F1812" s="8" t="str">
        <f>IFERROR(__xludf.DUMMYFUNCTION("GOOGLETRANSLATE(C1812, ""en"", ""fr"")"),"zéphyr, brise")</f>
        <v>zéphyr, brise</v>
      </c>
      <c r="G1812" s="8" t="str">
        <f>IFERROR(__xludf.DUMMYFUNCTION("GOOGLETRANSLATE(C1812, ""en"", ""de"")"),"Zephyr, Brise")</f>
        <v>Zephyr, Brise</v>
      </c>
      <c r="H1812" s="8" t="str">
        <f>IFERROR(__xludf.DUMMYFUNCTION("GOOGLETRANSLATE(C1812, ""en"", ""ru"")"),"зефир, бриз")</f>
        <v>зефир, бриз</v>
      </c>
      <c r="I1812" s="8" t="str">
        <f>IFERROR(__xludf.DUMMYFUNCTION("GOOGLETRANSLATE(C1812, ""en"", ""ar"")"),"نسيم عليل، نسيم عليل")</f>
        <v>نسيم عليل، نسيم عليل</v>
      </c>
      <c r="J1812" s="8"/>
      <c r="K1812" s="7" t="str">
        <f>IFERROR(__xludf.DUMMYFUNCTION("CONCAT(REGEXREPLACE(C1812,""[ ,]+"",""_""),"".mp3"")"),"zephyr_breeze.mp3")</f>
        <v>zephyr_breeze.mp3</v>
      </c>
      <c r="M1812" s="4" t="s">
        <v>10</v>
      </c>
    </row>
    <row r="1813" ht="15.75" customHeight="1">
      <c r="A1813" s="1">
        <v>3181.0</v>
      </c>
      <c r="B1813" s="3">
        <v>155.0</v>
      </c>
      <c r="C1813" s="7" t="s">
        <v>1818</v>
      </c>
      <c r="D1813" s="8" t="str">
        <f>IFERROR(__xludf.DUMMYFUNCTION("GOOGLETRANSLATE(C1813, ""en"", ""pt"")"),"ligação, conexão")</f>
        <v>ligação, conexão</v>
      </c>
      <c r="E1813" s="8" t="str">
        <f>IFERROR(__xludf.DUMMYFUNCTION("GOOGLETRANSLATE(C1813, ""en"", ""es"")"),"enlace, conexión")</f>
        <v>enlace, conexión</v>
      </c>
      <c r="F1813" s="8" t="str">
        <f>IFERROR(__xludf.DUMMYFUNCTION("GOOGLETRANSLATE(C1813, ""en"", ""fr"")"),"liaison, connexion")</f>
        <v>liaison, connexion</v>
      </c>
      <c r="G1813" s="8" t="str">
        <f>IFERROR(__xludf.DUMMYFUNCTION("GOOGLETRANSLATE(C1813, ""en"", ""de"")"),"Verbindung, Kontakt")</f>
        <v>Verbindung, Kontakt</v>
      </c>
      <c r="H1813" s="8" t="str">
        <f>IFERROR(__xludf.DUMMYFUNCTION("GOOGLETRANSLATE(C1813, ""en"", ""ru"")"),"связь, контакт")</f>
        <v>связь, контакт</v>
      </c>
      <c r="I1813" s="8" t="str">
        <f>IFERROR(__xludf.DUMMYFUNCTION("GOOGLETRANSLATE(C1813, ""en"", ""ar"")"),"الاتصال، التواصل")</f>
        <v>الاتصال، التواصل</v>
      </c>
      <c r="J1813" s="8"/>
      <c r="K1813" s="7" t="str">
        <f>IFERROR(__xludf.DUMMYFUNCTION("CONCAT(REGEXREPLACE(C1813,""[ ,]+"",""_""),"".mp3"")"),"liaison_connection.mp3")</f>
        <v>liaison_connection.mp3</v>
      </c>
      <c r="M1813" s="4" t="s">
        <v>10</v>
      </c>
    </row>
    <row r="1814" ht="15.75" customHeight="1">
      <c r="A1814" s="1">
        <v>3182.0</v>
      </c>
      <c r="B1814" s="3">
        <v>155.0</v>
      </c>
      <c r="C1814" s="7" t="s">
        <v>1819</v>
      </c>
      <c r="D1814" s="8" t="str">
        <f>IFERROR(__xludf.DUMMYFUNCTION("GOOGLETRANSLATE(C1814, ""en"", ""pt"")"),"ágil, flexível")</f>
        <v>ágil, flexível</v>
      </c>
      <c r="E1814" s="8" t="str">
        <f>IFERROR(__xludf.DUMMYFUNCTION("GOOGLETRANSLATE(C1814, ""en"", ""es"")"),"ágil, flexible")</f>
        <v>ágil, flexible</v>
      </c>
      <c r="F1814" s="8" t="str">
        <f>IFERROR(__xludf.DUMMYFUNCTION("GOOGLETRANSLATE(C1814, ""en"", ""fr"")"),"souple, flexible")</f>
        <v>souple, flexible</v>
      </c>
      <c r="G1814" s="8" t="str">
        <f>IFERROR(__xludf.DUMMYFUNCTION("GOOGLETRANSLATE(C1814, ""en"", ""de"")"),"geschmeidig, biegsam")</f>
        <v>geschmeidig, biegsam</v>
      </c>
      <c r="H1814" s="8" t="str">
        <f>IFERROR(__xludf.DUMMYFUNCTION("GOOGLETRANSLATE(C1814, ""en"", ""ru"")"),"гибкий, эластичный")</f>
        <v>гибкий, эластичный</v>
      </c>
      <c r="I1814" s="8" t="str">
        <f>IFERROR(__xludf.DUMMYFUNCTION("GOOGLETRANSLATE(C1814, ""en"", ""ar"")"),"رشيق، مرن")</f>
        <v>رشيق، مرن</v>
      </c>
      <c r="J1814" s="8"/>
      <c r="K1814" s="7" t="str">
        <f>IFERROR(__xludf.DUMMYFUNCTION("CONCAT(REGEXREPLACE(C1814,""[ ,]+"",""_""),"".mp3"")"),"lithe_supple.mp3")</f>
        <v>lithe_supple.mp3</v>
      </c>
      <c r="M1814" s="4" t="s">
        <v>10</v>
      </c>
    </row>
    <row r="1815" ht="15.75" customHeight="1">
      <c r="A1815" s="1">
        <v>3183.0</v>
      </c>
      <c r="B1815" s="3">
        <v>155.0</v>
      </c>
      <c r="C1815" s="7" t="s">
        <v>1820</v>
      </c>
      <c r="D1815" s="8" t="str">
        <f>IFERROR(__xludf.DUMMYFUNCTION("GOOGLETRANSLATE(C1815, ""en"", ""pt"")"),"mandato, ordem")</f>
        <v>mandato, ordem</v>
      </c>
      <c r="E1815" s="8" t="str">
        <f>IFERROR(__xludf.DUMMYFUNCTION("GOOGLETRANSLATE(C1815, ""en"", ""es"")"),"mandato, orden")</f>
        <v>mandato, orden</v>
      </c>
      <c r="F1815" s="8" t="str">
        <f>IFERROR(__xludf.DUMMYFUNCTION("GOOGLETRANSLATE(C1815, ""en"", ""fr"")"),"mandat, ordre")</f>
        <v>mandat, ordre</v>
      </c>
      <c r="G1815" s="8" t="str">
        <f>IFERROR(__xludf.DUMMYFUNCTION("GOOGLETRANSLATE(C1815, ""en"", ""de"")"),"Mandat, Anordnung")</f>
        <v>Mandat, Anordnung</v>
      </c>
      <c r="H1815" s="8" t="str">
        <f>IFERROR(__xludf.DUMMYFUNCTION("GOOGLETRANSLATE(C1815, ""en"", ""ru"")"),"мандат, приказ")</f>
        <v>мандат, приказ</v>
      </c>
      <c r="I1815" s="8" t="str">
        <f>IFERROR(__xludf.DUMMYFUNCTION("GOOGLETRANSLATE(C1815, ""en"", ""ar"")"),"تفويض، أمر")</f>
        <v>تفويض، أمر</v>
      </c>
      <c r="J1815" s="8"/>
      <c r="K1815" s="7" t="str">
        <f>IFERROR(__xludf.DUMMYFUNCTION("CONCAT(REGEXREPLACE(C1815,""[ ,]+"",""_""),"".mp3"")"),"mandate_order.mp3")</f>
        <v>mandate_order.mp3</v>
      </c>
      <c r="M1815" s="4" t="s">
        <v>10</v>
      </c>
    </row>
    <row r="1816" ht="15.75" customHeight="1">
      <c r="A1816" s="1">
        <v>3184.0</v>
      </c>
      <c r="B1816" s="3">
        <v>155.0</v>
      </c>
      <c r="C1816" s="7" t="s">
        <v>1821</v>
      </c>
      <c r="D1816" s="8" t="str">
        <f>IFERROR(__xludf.DUMMYFUNCTION("GOOGLETRANSLATE(C1816, ""en"", ""pt"")"),"semblante, comportamento")</f>
        <v>semblante, comportamento</v>
      </c>
      <c r="E1816" s="8" t="str">
        <f>IFERROR(__xludf.DUMMYFUNCTION("GOOGLETRANSLATE(C1816, ""en"", ""es"")"),"semblante, comportamiento")</f>
        <v>semblante, comportamiento</v>
      </c>
      <c r="F1816" s="8" t="str">
        <f>IFERROR(__xludf.DUMMYFUNCTION("GOOGLETRANSLATE(C1816, ""en"", ""fr"")"),"allure, comportement")</f>
        <v>allure, comportement</v>
      </c>
      <c r="G1816" s="8" t="str">
        <f>IFERROR(__xludf.DUMMYFUNCTION("GOOGLETRANSLATE(C1816, ""en"", ""de"")"),"Miene, Benehmen")</f>
        <v>Miene, Benehmen</v>
      </c>
      <c r="H1816" s="8" t="str">
        <f>IFERROR(__xludf.DUMMYFUNCTION("GOOGLETRANSLATE(C1816, ""en"", ""ru"")"),"манера поведения")</f>
        <v>манера поведения</v>
      </c>
      <c r="I1816" s="8" t="str">
        <f>IFERROR(__xludf.DUMMYFUNCTION("GOOGLETRANSLATE(C1816, ""en"", ""ar"")"),"المظهر، السلوك")</f>
        <v>المظهر، السلوك</v>
      </c>
      <c r="J1816" s="8"/>
      <c r="K1816" s="7" t="str">
        <f>IFERROR(__xludf.DUMMYFUNCTION("CONCAT(REGEXREPLACE(C1816,""[ ,]+"",""_""),"".mp3"")"),"mien_demeanour.mp3")</f>
        <v>mien_demeanour.mp3</v>
      </c>
      <c r="M1816" s="4" t="s">
        <v>10</v>
      </c>
    </row>
    <row r="1817" ht="15.75" customHeight="1">
      <c r="A1817" s="1">
        <v>3185.0</v>
      </c>
      <c r="B1817" s="3">
        <v>155.0</v>
      </c>
      <c r="C1817" s="7" t="s">
        <v>1822</v>
      </c>
      <c r="D1817" s="8" t="str">
        <f>IFERROR(__xludf.DUMMYFUNCTION("GOOGLETRANSLATE(C1817, ""en"", ""pt"")"),"mundano, comum")</f>
        <v>mundano, comum</v>
      </c>
      <c r="E1817" s="8" t="str">
        <f>IFERROR(__xludf.DUMMYFUNCTION("GOOGLETRANSLATE(C1817, ""en"", ""es"")"),"mundano, ordinario")</f>
        <v>mundano, ordinario</v>
      </c>
      <c r="F1817" s="8" t="str">
        <f>IFERROR(__xludf.DUMMYFUNCTION("GOOGLETRANSLATE(C1817, ""en"", ""fr"")"),"banal, ordinaire")</f>
        <v>banal, ordinaire</v>
      </c>
      <c r="G1817" s="8" t="str">
        <f>IFERROR(__xludf.DUMMYFUNCTION("GOOGLETRANSLATE(C1817, ""en"", ""de"")"),"alltäglich, gewöhnlich")</f>
        <v>alltäglich, gewöhnlich</v>
      </c>
      <c r="H1817" s="8" t="str">
        <f>IFERROR(__xludf.DUMMYFUNCTION("GOOGLETRANSLATE(C1817, ""en"", ""ru"")"),"обыденный, заурядный")</f>
        <v>обыденный, заурядный</v>
      </c>
      <c r="I1817" s="8" t="str">
        <f>IFERROR(__xludf.DUMMYFUNCTION("GOOGLETRANSLATE(C1817, ""en"", ""ar"")"),"عادي، دنيوي")</f>
        <v>عادي، دنيوي</v>
      </c>
      <c r="J1817" s="8"/>
      <c r="K1817" s="7" t="str">
        <f>IFERROR(__xludf.DUMMYFUNCTION("CONCAT(REGEXREPLACE(C1817,""[ ,]+"",""_""),"".mp3"")"),"mundane_ordinary.mp3")</f>
        <v>mundane_ordinary.mp3</v>
      </c>
      <c r="M1817" s="4" t="s">
        <v>10</v>
      </c>
    </row>
    <row r="1818" ht="15.75" customHeight="1">
      <c r="A1818" s="1">
        <v>3186.0</v>
      </c>
      <c r="B1818" s="3">
        <v>155.0</v>
      </c>
      <c r="C1818" s="7" t="s">
        <v>1823</v>
      </c>
      <c r="D1818" s="8" t="str">
        <f>IFERROR(__xludf.DUMMYFUNCTION("GOOGLETRANSLATE(C1818, ""en"", ""pt"")"),"neófito, iniciante")</f>
        <v>neófito, iniciante</v>
      </c>
      <c r="E1818" s="8" t="str">
        <f>IFERROR(__xludf.DUMMYFUNCTION("GOOGLETRANSLATE(C1818, ""en"", ""es"")"),"neófito, principiante")</f>
        <v>neófito, principiante</v>
      </c>
      <c r="F1818" s="8" t="str">
        <f>IFERROR(__xludf.DUMMYFUNCTION("GOOGLETRANSLATE(C1818, ""en"", ""fr"")"),"néophyte, débutant")</f>
        <v>néophyte, débutant</v>
      </c>
      <c r="G1818" s="8" t="str">
        <f>IFERROR(__xludf.DUMMYFUNCTION("GOOGLETRANSLATE(C1818, ""en"", ""de"")"),"Neuling, Anfänger")</f>
        <v>Neuling, Anfänger</v>
      </c>
      <c r="H1818" s="8" t="str">
        <f>IFERROR(__xludf.DUMMYFUNCTION("GOOGLETRANSLATE(C1818, ""en"", ""ru"")"),"неофит, начинающий")</f>
        <v>неофит, начинающий</v>
      </c>
      <c r="I1818" s="8" t="str">
        <f>IFERROR(__xludf.DUMMYFUNCTION("GOOGLETRANSLATE(C1818, ""en"", ""ar"")"),"مبتدئ، حديث العهد")</f>
        <v>مبتدئ، حديث العهد</v>
      </c>
      <c r="J1818" s="8"/>
      <c r="K1818" s="7" t="str">
        <f>IFERROR(__xludf.DUMMYFUNCTION("CONCAT(REGEXREPLACE(C1818,""[ ,]+"",""_""),"".mp3"")"),"neophyte_beginner.mp3")</f>
        <v>neophyte_beginner.mp3</v>
      </c>
      <c r="M1818" s="4" t="s">
        <v>10</v>
      </c>
    </row>
    <row r="1819" ht="15.75" customHeight="1">
      <c r="A1819" s="1">
        <v>3187.0</v>
      </c>
      <c r="B1819" s="3">
        <v>155.0</v>
      </c>
      <c r="C1819" s="7" t="s">
        <v>1824</v>
      </c>
      <c r="D1819" s="8" t="str">
        <f>IFERROR(__xludf.DUMMYFUNCTION("GOOGLETRANSLATE(C1819, ""en"", ""pt"")"),"nulo, inútil")</f>
        <v>nulo, inútil</v>
      </c>
      <c r="E1819" s="8" t="str">
        <f>IFERROR(__xludf.DUMMYFUNCTION("GOOGLETRANSLATE(C1819, ""en"", ""es"")"),"nulo, inútil")</f>
        <v>nulo, inútil</v>
      </c>
      <c r="F1819" s="8" t="str">
        <f>IFERROR(__xludf.DUMMYFUNCTION("GOOGLETRANSLATE(C1819, ""en"", ""fr"")"),"inutile, futile")</f>
        <v>inutile, futile</v>
      </c>
      <c r="G1819" s="8" t="str">
        <f>IFERROR(__xludf.DUMMYFUNCTION("GOOGLETRANSLATE(C1819, ""en"", ""de"")"),"nutzlos, vergeblich")</f>
        <v>nutzlos, vergeblich</v>
      </c>
      <c r="H1819" s="8" t="str">
        <f>IFERROR(__xludf.DUMMYFUNCTION("GOOGLETRANSLATE(C1819, ""en"", ""ru"")"),"ничтожный, бесполезный")</f>
        <v>ничтожный, бесполезный</v>
      </c>
      <c r="I1819" s="8" t="str">
        <f>IFERROR(__xludf.DUMMYFUNCTION("GOOGLETRANSLATE(C1819, ""en"", ""ar"")"),"لا قيمة له، عديم الجدوى")</f>
        <v>لا قيمة له، عديم الجدوى</v>
      </c>
      <c r="J1819" s="8"/>
      <c r="K1819" s="7" t="str">
        <f>IFERROR(__xludf.DUMMYFUNCTION("CONCAT(REGEXREPLACE(C1819,""[ ,]+"",""_""),"".mp3"")"),"nugatory_futile.mp3")</f>
        <v>nugatory_futile.mp3</v>
      </c>
      <c r="M1819" s="4" t="s">
        <v>10</v>
      </c>
    </row>
    <row r="1820" ht="15.75" customHeight="1">
      <c r="A1820" s="1">
        <v>3188.0</v>
      </c>
      <c r="B1820" s="3">
        <v>155.0</v>
      </c>
      <c r="C1820" s="7" t="s">
        <v>1825</v>
      </c>
      <c r="D1820" s="8" t="str">
        <f>IFERROR(__xludf.DUMMYFUNCTION("GOOGLETRANSLATE(C1820, ""en"", ""pt"")"),"obliterar, destruir")</f>
        <v>obliterar, destruir</v>
      </c>
      <c r="E1820" s="8" t="str">
        <f>IFERROR(__xludf.DUMMYFUNCTION("GOOGLETRANSLATE(C1820, ""en"", ""es"")"),"aniquilar, destruir")</f>
        <v>aniquilar, destruir</v>
      </c>
      <c r="F1820" s="8" t="str">
        <f>IFERROR(__xludf.DUMMYFUNCTION("GOOGLETRANSLATE(C1820, ""en"", ""fr"")"),"anéantir, détruire")</f>
        <v>anéantir, détruire</v>
      </c>
      <c r="G1820" s="8" t="str">
        <f>IFERROR(__xludf.DUMMYFUNCTION("GOOGLETRANSLATE(C1820, ""en"", ""de"")"),"auslöschen, zerstören")</f>
        <v>auslöschen, zerstören</v>
      </c>
      <c r="H1820" s="8" t="str">
        <f>IFERROR(__xludf.DUMMYFUNCTION("GOOGLETRANSLATE(C1820, ""en"", ""ru"")"),"уничтожить, стереть с лица земли")</f>
        <v>уничтожить, стереть с лица земли</v>
      </c>
      <c r="I1820" s="8" t="str">
        <f>IFERROR(__xludf.DUMMYFUNCTION("GOOGLETRANSLATE(C1820, ""en"", ""ar"")"),"إبادة، تدمير")</f>
        <v>إبادة، تدمير</v>
      </c>
      <c r="J1820" s="8"/>
      <c r="K1820" s="7" t="str">
        <f>IFERROR(__xludf.DUMMYFUNCTION("CONCAT(REGEXREPLACE(C1820,""[ ,]+"",""_""),"".mp3"")"),"obliterate_destroy.mp3")</f>
        <v>obliterate_destroy.mp3</v>
      </c>
      <c r="M1820" s="4" t="s">
        <v>10</v>
      </c>
    </row>
    <row r="1821" ht="15.75" customHeight="1">
      <c r="A1821" s="1">
        <v>3189.0</v>
      </c>
      <c r="B1821" s="3">
        <v>155.0</v>
      </c>
      <c r="C1821" s="7" t="s">
        <v>1826</v>
      </c>
      <c r="D1821" s="8" t="str">
        <f>IFERROR(__xludf.DUMMYFUNCTION("GOOGLETRANSLATE(C1821, ""en"", ""pt"")"),"inato, inato")</f>
        <v>inato, inato</v>
      </c>
      <c r="E1821" s="8" t="str">
        <f>IFERROR(__xludf.DUMMYFUNCTION("GOOGLETRANSLATE(C1821, ""en"", ""es"")"),"innato, congénito")</f>
        <v>innato, congénito</v>
      </c>
      <c r="F1821" s="8" t="str">
        <f>IFERROR(__xludf.DUMMYFUNCTION("GOOGLETRANSLATE(C1821, ""en"", ""fr"")"),"inné, inné")</f>
        <v>inné, inné</v>
      </c>
      <c r="G1821" s="8" t="str">
        <f>IFERROR(__xludf.DUMMYFUNCTION("GOOGLETRANSLATE(C1821, ""en"", ""de"")"),"angeboren")</f>
        <v>angeboren</v>
      </c>
      <c r="H1821" s="8" t="str">
        <f>IFERROR(__xludf.DUMMYFUNCTION("GOOGLETRANSLATE(C1821, ""en"", ""ru"")"),"врожденный, врожденный")</f>
        <v>врожденный, врожденный</v>
      </c>
      <c r="I1821" s="8" t="str">
        <f>IFERROR(__xludf.DUMMYFUNCTION("GOOGLETRANSLATE(C1821, ""en"", ""ar"")"),"فطري، فطري")</f>
        <v>فطري، فطري</v>
      </c>
      <c r="J1821" s="8"/>
      <c r="K1821" s="7" t="str">
        <f>IFERROR(__xludf.DUMMYFUNCTION("CONCAT(REGEXREPLACE(C1821,""[ ,]+"",""_""),"".mp3"")"),"innate_inborn.mp3")</f>
        <v>innate_inborn.mp3</v>
      </c>
      <c r="M1821" s="4" t="s">
        <v>10</v>
      </c>
    </row>
    <row r="1822" ht="15.75" customHeight="1">
      <c r="A1822" s="1">
        <v>3190.0</v>
      </c>
      <c r="B1822" s="3">
        <v>155.0</v>
      </c>
      <c r="C1822" s="7" t="s">
        <v>1827</v>
      </c>
      <c r="D1822" s="8" t="str">
        <f>IFERROR(__xludf.DUMMYFUNCTION("GOOGLETRANSLATE(C1822, ""en"", ""pt"")"),"inadvertido, não intencional")</f>
        <v>inadvertido, não intencional</v>
      </c>
      <c r="E1822" s="8" t="str">
        <f>IFERROR(__xludf.DUMMYFUNCTION("GOOGLETRANSLATE(C1822, ""en"", ""es"")"),"inadvertido, no intencional")</f>
        <v>inadvertido, no intencional</v>
      </c>
      <c r="F1822" s="8" t="str">
        <f>IFERROR(__xludf.DUMMYFUNCTION("GOOGLETRANSLATE(C1822, ""en"", ""fr"")"),"involontaire, involontaire")</f>
        <v>involontaire, involontaire</v>
      </c>
      <c r="G1822" s="8" t="str">
        <f>IFERROR(__xludf.DUMMYFUNCTION("GOOGLETRANSLATE(C1822, ""en"", ""de"")"),"unbeabsichtigt, unbeabsichtigt")</f>
        <v>unbeabsichtigt, unbeabsichtigt</v>
      </c>
      <c r="H1822" s="8" t="str">
        <f>IFERROR(__xludf.DUMMYFUNCTION("GOOGLETRANSLATE(C1822, ""en"", ""ru"")"),"непреднамеренный, случайный")</f>
        <v>непреднамеренный, случайный</v>
      </c>
      <c r="I1822" s="8" t="str">
        <f>IFERROR(__xludf.DUMMYFUNCTION("GOOGLETRANSLATE(C1822, ""en"", ""ar"")"),"غير مقصود، غير متعمد")</f>
        <v>غير مقصود، غير متعمد</v>
      </c>
      <c r="J1822" s="8"/>
      <c r="K1822" s="7" t="str">
        <f>IFERROR(__xludf.DUMMYFUNCTION("CONCAT(REGEXREPLACE(C1822,""[ ,]+"",""_""),"".mp3"")"),"inadvertent_unintentional.mp3")</f>
        <v>inadvertent_unintentional.mp3</v>
      </c>
      <c r="M1822" s="4" t="s">
        <v>10</v>
      </c>
    </row>
    <row r="1823" ht="15.75" customHeight="1">
      <c r="A1823" s="1">
        <v>3191.0</v>
      </c>
      <c r="B1823" s="3">
        <v>155.0</v>
      </c>
      <c r="C1823" s="7" t="s">
        <v>1828</v>
      </c>
      <c r="D1823" s="8" t="str">
        <f>IFERROR(__xludf.DUMMYFUNCTION("GOOGLETRANSLATE(C1823, ""en"", ""pt"")"),"iníquo, injusto")</f>
        <v>iníquo, injusto</v>
      </c>
      <c r="E1823" s="8" t="str">
        <f>IFERROR(__xludf.DUMMYFUNCTION("GOOGLETRANSLATE(C1823, ""en"", ""es"")"),"inicuo, injusto")</f>
        <v>inicuo, injusto</v>
      </c>
      <c r="F1823" s="8" t="str">
        <f>IFERROR(__xludf.DUMMYFUNCTION("GOOGLETRANSLATE(C1823, ""en"", ""fr"")"),"inique, injuste")</f>
        <v>inique, injuste</v>
      </c>
      <c r="G1823" s="8" t="str">
        <f>IFERROR(__xludf.DUMMYFUNCTION("GOOGLETRANSLATE(C1823, ""en"", ""de"")"),"ungerecht, ungerecht")</f>
        <v>ungerecht, ungerecht</v>
      </c>
      <c r="H1823" s="8" t="str">
        <f>IFERROR(__xludf.DUMMYFUNCTION("GOOGLETRANSLATE(C1823, ""en"", ""ru"")"),"нечестивый, несправедливый")</f>
        <v>нечестивый, несправедливый</v>
      </c>
      <c r="I1823" s="8" t="str">
        <f>IFERROR(__xludf.DUMMYFUNCTION("GOOGLETRANSLATE(C1823, ""en"", ""ar"")"),"ظالم، جائر")</f>
        <v>ظالم، جائر</v>
      </c>
      <c r="J1823" s="8"/>
      <c r="K1823" s="7" t="str">
        <f>IFERROR(__xludf.DUMMYFUNCTION("CONCAT(REGEXREPLACE(C1823,""[ ,]+"",""_""),"".mp3"")"),"iniquitous_unjust.mp3")</f>
        <v>iniquitous_unjust.mp3</v>
      </c>
      <c r="M1823" s="4" t="s">
        <v>10</v>
      </c>
    </row>
    <row r="1824" ht="15.75" customHeight="1">
      <c r="A1824" s="1">
        <v>3192.0</v>
      </c>
      <c r="B1824" s="3">
        <v>155.0</v>
      </c>
      <c r="C1824" s="7" t="s">
        <v>1829</v>
      </c>
      <c r="D1824" s="8" t="str">
        <f>IFERROR(__xludf.DUMMYFUNCTION("GOOGLETRANSLATE(C1824, ""en"", ""pt"")"),"glutão, comilão")</f>
        <v>glutão, comilão</v>
      </c>
      <c r="E1824" s="8" t="str">
        <f>IFERROR(__xludf.DUMMYFUNCTION("GOOGLETRANSLATE(C1824, ""en"", ""es"")"),"glotón, comedor compulsivo")</f>
        <v>glotón, comedor compulsivo</v>
      </c>
      <c r="F1824" s="8" t="str">
        <f>IFERROR(__xludf.DUMMYFUNCTION("GOOGLETRANSLATE(C1824, ""en"", ""fr"")"),"glouton, mangeur excessif")</f>
        <v>glouton, mangeur excessif</v>
      </c>
      <c r="G1824" s="8" t="str">
        <f>IFERROR(__xludf.DUMMYFUNCTION("GOOGLETRANSLATE(C1824, ""en"", ""de"")"),"Vielfraß, Überesser")</f>
        <v>Vielfraß, Überesser</v>
      </c>
      <c r="H1824" s="8" t="str">
        <f>IFERROR(__xludf.DUMMYFUNCTION("GOOGLETRANSLATE(C1824, ""en"", ""ru"")"),"обжора, переедающий")</f>
        <v>обжора, переедающий</v>
      </c>
      <c r="I1824" s="8" t="str">
        <f>IFERROR(__xludf.DUMMYFUNCTION("GOOGLETRANSLATE(C1824, ""en"", ""ar"")"),"شره، يفرط في تناول الطعام")</f>
        <v>شره، يفرط في تناول الطعام</v>
      </c>
      <c r="J1824" s="8"/>
      <c r="K1824" s="7" t="str">
        <f>IFERROR(__xludf.DUMMYFUNCTION("CONCAT(REGEXREPLACE(C1824,""[ ,]+"",""_""),"".mp3"")"),"glutton_overeater.mp3")</f>
        <v>glutton_overeater.mp3</v>
      </c>
      <c r="M1824" s="4" t="s">
        <v>10</v>
      </c>
    </row>
    <row r="1825" ht="15.75" customHeight="1">
      <c r="A1825" s="1">
        <v>3193.0</v>
      </c>
      <c r="B1825" s="3">
        <v>155.0</v>
      </c>
      <c r="C1825" s="7" t="s">
        <v>1830</v>
      </c>
      <c r="D1825" s="8" t="str">
        <f>IFERROR(__xludf.DUMMYFUNCTION("GOOGLETRANSLATE(C1825, ""en"", ""pt"")"),"infeliz, azarado")</f>
        <v>infeliz, azarado</v>
      </c>
      <c r="E1825" s="8" t="str">
        <f>IFERROR(__xludf.DUMMYFUNCTION("GOOGLETRANSLATE(C1825, ""en"", ""es"")"),"desafortunado, desafortunado")</f>
        <v>desafortunado, desafortunado</v>
      </c>
      <c r="F1825" s="8" t="str">
        <f>IFERROR(__xludf.DUMMYFUNCTION("GOOGLETRANSLATE(C1825, ""en"", ""fr"")"),"malheureux, malchanceux")</f>
        <v>malheureux, malchanceux</v>
      </c>
      <c r="G1825" s="8" t="str">
        <f>IFERROR(__xludf.DUMMYFUNCTION("GOOGLETRANSLATE(C1825, ""en"", ""de"")"),"unglücklich, vom Pech verfolgt")</f>
        <v>unglücklich, vom Pech verfolgt</v>
      </c>
      <c r="H1825" s="8" t="str">
        <f>IFERROR(__xludf.DUMMYFUNCTION("GOOGLETRANSLATE(C1825, ""en"", ""ru"")"),"несчастный, невезучий")</f>
        <v>несчастный, невезучий</v>
      </c>
      <c r="I1825" s="8" t="str">
        <f>IFERROR(__xludf.DUMMYFUNCTION("GOOGLETRANSLATE(C1825, ""en"", ""ar"")"),"بائس، سيء الحظ")</f>
        <v>بائس، سيء الحظ</v>
      </c>
      <c r="J1825" s="8"/>
      <c r="K1825" s="7" t="str">
        <f>IFERROR(__xludf.DUMMYFUNCTION("CONCAT(REGEXREPLACE(C1825,""[ ,]+"",""_""),"".mp3"")"),"hapless_unlucky.mp3")</f>
        <v>hapless_unlucky.mp3</v>
      </c>
      <c r="M1825" s="4" t="s">
        <v>10</v>
      </c>
    </row>
    <row r="1826" ht="15.75" customHeight="1">
      <c r="A1826" s="1">
        <v>3194.0</v>
      </c>
      <c r="B1826" s="3">
        <v>155.0</v>
      </c>
      <c r="C1826" s="7" t="s">
        <v>1831</v>
      </c>
      <c r="D1826" s="8" t="str">
        <f>IFERROR(__xludf.DUMMYFUNCTION("GOOGLETRANSLATE(C1826, ""en"", ""pt"")"),"arrogância, prepotência")</f>
        <v>arrogância, prepotência</v>
      </c>
      <c r="E1826" s="8" t="str">
        <f>IFERROR(__xludf.DUMMYFUNCTION("GOOGLETRANSLATE(C1826, ""en"", ""es"")"),"Soberbia, arrogancia")</f>
        <v>Soberbia, arrogancia</v>
      </c>
      <c r="F1826" s="8" t="str">
        <f>IFERROR(__xludf.DUMMYFUNCTION("GOOGLETRANSLATE(C1826, ""en"", ""fr"")"),"hubris, arrogance")</f>
        <v>hubris, arrogance</v>
      </c>
      <c r="G1826" s="8" t="str">
        <f>IFERROR(__xludf.DUMMYFUNCTION("GOOGLETRANSLATE(C1826, ""en"", ""de"")"),"Überheblichkeit, Arroganz")</f>
        <v>Überheblichkeit, Arroganz</v>
      </c>
      <c r="H1826" s="8" t="str">
        <f>IFERROR(__xludf.DUMMYFUNCTION("GOOGLETRANSLATE(C1826, ""en"", ""ru"")"),"высокомерие, надменность")</f>
        <v>высокомерие, надменность</v>
      </c>
      <c r="I1826" s="8" t="str">
        <f>IFERROR(__xludf.DUMMYFUNCTION("GOOGLETRANSLATE(C1826, ""en"", ""ar"")"),"الغطرسة، الكبرياء")</f>
        <v>الغطرسة، الكبرياء</v>
      </c>
      <c r="J1826" s="8"/>
      <c r="K1826" s="7" t="str">
        <f>IFERROR(__xludf.DUMMYFUNCTION("CONCAT(REGEXREPLACE(C1826,""[ ,]+"",""_""),"".mp3"")"),"hubris_arrogance.mp3")</f>
        <v>hubris_arrogance.mp3</v>
      </c>
      <c r="M1826" s="4" t="s">
        <v>10</v>
      </c>
    </row>
    <row r="1827" ht="15.75" customHeight="1">
      <c r="A1827" s="1">
        <v>3195.0</v>
      </c>
      <c r="B1827" s="3">
        <v>155.0</v>
      </c>
      <c r="C1827" s="7" t="s">
        <v>1832</v>
      </c>
      <c r="D1827" s="8" t="str">
        <f>IFERROR(__xludf.DUMMYFUNCTION("GOOGLETRANSLATE(C1827, ""en"", ""pt"")"),"iminente, iminente")</f>
        <v>iminente, iminente</v>
      </c>
      <c r="E1827" s="8" t="str">
        <f>IFERROR(__xludf.DUMMYFUNCTION("GOOGLETRANSLATE(C1827, ""en"", ""es"")"),"inminente, inminente")</f>
        <v>inminente, inminente</v>
      </c>
      <c r="F1827" s="8" t="str">
        <f>IFERROR(__xludf.DUMMYFUNCTION("GOOGLETRANSLATE(C1827, ""en"", ""fr"")"),"imminent, imminent")</f>
        <v>imminent, imminent</v>
      </c>
      <c r="G1827" s="8" t="str">
        <f>IFERROR(__xludf.DUMMYFUNCTION("GOOGLETRANSLATE(C1827, ""en"", ""de"")"),"unmittelbar bevorstehend, bevorstehend")</f>
        <v>unmittelbar bevorstehend, bevorstehend</v>
      </c>
      <c r="H1827" s="8" t="str">
        <f>IFERROR(__xludf.DUMMYFUNCTION("GOOGLETRANSLATE(C1827, ""en"", ""ru"")"),"неминуемый, надвигающийся")</f>
        <v>неминуемый, надвигающийся</v>
      </c>
      <c r="I1827" s="8" t="str">
        <f>IFERROR(__xludf.DUMMYFUNCTION("GOOGLETRANSLATE(C1827, ""en"", ""ar"")"),"وشيك، مُرتقب")</f>
        <v>وشيك، مُرتقب</v>
      </c>
      <c r="J1827" s="8"/>
      <c r="K1827" s="7" t="str">
        <f>IFERROR(__xludf.DUMMYFUNCTION("CONCAT(REGEXREPLACE(C1827,""[ ,]+"",""_""),"".mp3"")"),"imminent_impending.mp3")</f>
        <v>imminent_impending.mp3</v>
      </c>
      <c r="M1827" s="4" t="s">
        <v>10</v>
      </c>
    </row>
    <row r="1828" ht="15.75" customHeight="1">
      <c r="A1828" s="1">
        <v>3196.0</v>
      </c>
      <c r="B1828" s="3">
        <v>155.0</v>
      </c>
      <c r="C1828" s="7" t="s">
        <v>1833</v>
      </c>
      <c r="D1828" s="8" t="str">
        <f>IFERROR(__xludf.DUMMYFUNCTION("GOOGLETRANSLATE(C1828, ""en"", ""pt"")"),"conhecedor, especialista")</f>
        <v>conhecedor, especialista</v>
      </c>
      <c r="E1828" s="8" t="str">
        <f>IFERROR(__xludf.DUMMYFUNCTION("GOOGLETRANSLATE(C1828, ""en"", ""es"")"),"conocedor, experto")</f>
        <v>conocedor, experto</v>
      </c>
      <c r="F1828" s="8" t="str">
        <f>IFERROR(__xludf.DUMMYFUNCTION("GOOGLETRANSLATE(C1828, ""en"", ""fr"")"),"connaisseur, expert")</f>
        <v>connaisseur, expert</v>
      </c>
      <c r="G1828" s="8" t="str">
        <f>IFERROR(__xludf.DUMMYFUNCTION("GOOGLETRANSLATE(C1828, ""en"", ""de"")"),"Kenner, Experte")</f>
        <v>Kenner, Experte</v>
      </c>
      <c r="H1828" s="8" t="str">
        <f>IFERROR(__xludf.DUMMYFUNCTION("GOOGLETRANSLATE(C1828, ""en"", ""ru"")"),"знаток, эксперт")</f>
        <v>знаток, эксперт</v>
      </c>
      <c r="I1828" s="8" t="str">
        <f>IFERROR(__xludf.DUMMYFUNCTION("GOOGLETRANSLATE(C1828, ""en"", ""ar"")"),"خبير، ذوّاق")</f>
        <v>خبير، ذوّاق</v>
      </c>
      <c r="J1828" s="8"/>
      <c r="K1828" s="7" t="str">
        <f>IFERROR(__xludf.DUMMYFUNCTION("CONCAT(REGEXREPLACE(C1828,""[ ,]+"",""_""),"".mp3"")"),"connoisseur_expert.mp3")</f>
        <v>connoisseur_expert.mp3</v>
      </c>
      <c r="M1828" s="4" t="s">
        <v>10</v>
      </c>
    </row>
    <row r="1829" ht="15.75" customHeight="1">
      <c r="A1829" s="1">
        <v>3197.0</v>
      </c>
      <c r="B1829" s="3">
        <v>155.0</v>
      </c>
      <c r="C1829" s="7" t="s">
        <v>1834</v>
      </c>
      <c r="D1829" s="8" t="str">
        <f>IFERROR(__xludf.DUMMYFUNCTION("GOOGLETRANSLATE(C1829, ""en"", ""pt"")"),"contrito, arrependido")</f>
        <v>contrito, arrependido</v>
      </c>
      <c r="E1829" s="8" t="str">
        <f>IFERROR(__xludf.DUMMYFUNCTION("GOOGLETRANSLATE(C1829, ""en"", ""es"")"),"arrepentido, arrepentido")</f>
        <v>arrepentido, arrepentido</v>
      </c>
      <c r="F1829" s="8" t="str">
        <f>IFERROR(__xludf.DUMMYFUNCTION("GOOGLETRANSLATE(C1829, ""en"", ""fr"")"),"contrit, regrettant")</f>
        <v>contrit, regrettant</v>
      </c>
      <c r="G1829" s="8" t="str">
        <f>IFERROR(__xludf.DUMMYFUNCTION("GOOGLETRANSLATE(C1829, ""en"", ""de"")"),"reumütig, voller Bedauern")</f>
        <v>reumütig, voller Bedauern</v>
      </c>
      <c r="H1829" s="8" t="str">
        <f>IFERROR(__xludf.DUMMYFUNCTION("GOOGLETRANSLATE(C1829, ""en"", ""ru"")"),"раскаявшийся, сожалеющий")</f>
        <v>раскаявшийся, сожалеющий</v>
      </c>
      <c r="I1829" s="8" t="str">
        <f>IFERROR(__xludf.DUMMYFUNCTION("GOOGLETRANSLATE(C1829, ""en"", ""ar"")"),"نادم، حزين")</f>
        <v>نادم، حزين</v>
      </c>
      <c r="J1829" s="8"/>
      <c r="K1829" s="7" t="str">
        <f>IFERROR(__xludf.DUMMYFUNCTION("CONCAT(REGEXREPLACE(C1829,""[ ,]+"",""_""),"".mp3"")"),"contrite_regretful.mp3")</f>
        <v>contrite_regretful.mp3</v>
      </c>
      <c r="M1829" s="4" t="s">
        <v>10</v>
      </c>
    </row>
    <row r="1830" ht="15.75" customHeight="1">
      <c r="A1830" s="1">
        <v>3198.0</v>
      </c>
      <c r="B1830" s="3">
        <v>155.0</v>
      </c>
      <c r="C1830" s="7" t="s">
        <v>1835</v>
      </c>
      <c r="D1830" s="8" t="str">
        <f>IFERROR(__xludf.DUMMYFUNCTION("GOOGLETRANSLATE(C1830, ""en"", ""pt"")"),"enigma, quebra-cabeça")</f>
        <v>enigma, quebra-cabeça</v>
      </c>
      <c r="E1830" s="8" t="str">
        <f>IFERROR(__xludf.DUMMYFUNCTION("GOOGLETRANSLATE(C1830, ""en"", ""es"")"),"enigma, rompecabezas")</f>
        <v>enigma, rompecabezas</v>
      </c>
      <c r="F1830" s="8" t="str">
        <f>IFERROR(__xludf.DUMMYFUNCTION("GOOGLETRANSLATE(C1830, ""en"", ""fr"")"),"énigme, casse-tête")</f>
        <v>énigme, casse-tête</v>
      </c>
      <c r="G1830" s="8" t="str">
        <f>IFERROR(__xludf.DUMMYFUNCTION("GOOGLETRANSLATE(C1830, ""en"", ""de"")"),"Rätsel, Puzzle")</f>
        <v>Rätsel, Puzzle</v>
      </c>
      <c r="H1830" s="8" t="str">
        <f>IFERROR(__xludf.DUMMYFUNCTION("GOOGLETRANSLATE(C1830, ""en"", ""ru"")"),"загадка, головоломка")</f>
        <v>загадка, головоломка</v>
      </c>
      <c r="I1830" s="8" t="str">
        <f>IFERROR(__xludf.DUMMYFUNCTION("GOOGLETRANSLATE(C1830, ""en"", ""ar"")"),"لغز، أحجية")</f>
        <v>لغز، أحجية</v>
      </c>
      <c r="J1830" s="8"/>
      <c r="K1830" s="7" t="str">
        <f>IFERROR(__xludf.DUMMYFUNCTION("CONCAT(REGEXREPLACE(C1830,""[ ,]+"",""_""),"".mp3"")"),"conundrum_puzzle.mp3")</f>
        <v>conundrum_puzzle.mp3</v>
      </c>
      <c r="M1830" s="4" t="s">
        <v>10</v>
      </c>
    </row>
    <row r="1831" ht="15.75" customHeight="1">
      <c r="A1831" s="1">
        <v>3199.0</v>
      </c>
      <c r="B1831" s="3">
        <v>155.0</v>
      </c>
      <c r="C1831" s="7" t="s">
        <v>1836</v>
      </c>
      <c r="D1831" s="8" t="str">
        <f>IFERROR(__xludf.DUMMYFUNCTION("GOOGLETRANSLATE(C1831, ""en"", ""pt"")"),"corroborar, confirmar")</f>
        <v>corroborar, confirmar</v>
      </c>
      <c r="E1831" s="8" t="str">
        <f>IFERROR(__xludf.DUMMYFUNCTION("GOOGLETRANSLATE(C1831, ""en"", ""es"")"),"corroborar, confirmar")</f>
        <v>corroborar, confirmar</v>
      </c>
      <c r="F1831" s="8" t="str">
        <f>IFERROR(__xludf.DUMMYFUNCTION("GOOGLETRANSLATE(C1831, ""en"", ""fr"")"),"corroborer, confirmer")</f>
        <v>corroborer, confirmer</v>
      </c>
      <c r="G1831" s="8" t="str">
        <f>IFERROR(__xludf.DUMMYFUNCTION("GOOGLETRANSLATE(C1831, ""en"", ""de"")"),"untermauern, bestätigen")</f>
        <v>untermauern, bestätigen</v>
      </c>
      <c r="H1831" s="8" t="str">
        <f>IFERROR(__xludf.DUMMYFUNCTION("GOOGLETRANSLATE(C1831, ""en"", ""ru"")"),"подтвердить, удостоверить")</f>
        <v>подтвердить, удостоверить</v>
      </c>
      <c r="I1831" s="8" t="str">
        <f>IFERROR(__xludf.DUMMYFUNCTION("GOOGLETRANSLATE(C1831, ""en"", ""ar"")"),"تأكيد، تأييد")</f>
        <v>تأكيد، تأييد</v>
      </c>
      <c r="J1831" s="8"/>
      <c r="K1831" s="7" t="str">
        <f>IFERROR(__xludf.DUMMYFUNCTION("CONCAT(REGEXREPLACE(C1831,""[ ,]+"",""_""),"".mp3"")"),"corroborate_confirm.mp3")</f>
        <v>corroborate_confirm.mp3</v>
      </c>
      <c r="M1831" s="4" t="s">
        <v>10</v>
      </c>
    </row>
    <row r="1832" ht="15.75" customHeight="1">
      <c r="A1832" s="1">
        <v>3200.0</v>
      </c>
      <c r="B1832" s="3">
        <v>155.0</v>
      </c>
      <c r="C1832" s="7" t="s">
        <v>1837</v>
      </c>
      <c r="D1832" s="8" t="str">
        <f>IFERROR(__xludf.DUMMYFUNCTION("GOOGLETRANSLATE(C1832, ""en"", ""pt"")"),"destemido, destemido")</f>
        <v>destemido, destemido</v>
      </c>
      <c r="E1832" s="8" t="str">
        <f>IFERROR(__xludf.DUMMYFUNCTION("GOOGLETRANSLATE(C1832, ""en"", ""es"")"),"intrépido, intrépido")</f>
        <v>intrépido, intrépido</v>
      </c>
      <c r="F1832" s="8" t="str">
        <f>IFERROR(__xludf.DUMMYFUNCTION("GOOGLETRANSLATE(C1832, ""en"", ""fr"")"),"intrépide, intrépide")</f>
        <v>intrépide, intrépide</v>
      </c>
      <c r="G1832" s="8" t="str">
        <f>IFERROR(__xludf.DUMMYFUNCTION("GOOGLETRANSLATE(C1832, ""en"", ""de"")"),"unerschrocken, furchtlos")</f>
        <v>unerschrocken, furchtlos</v>
      </c>
      <c r="H1832" s="8" t="str">
        <f>IFERROR(__xludf.DUMMYFUNCTION("GOOGLETRANSLATE(C1832, ""en"", ""ru"")"),"бесстрашный, неустрашимый")</f>
        <v>бесстрашный, неустрашимый</v>
      </c>
      <c r="I1832" s="8" t="str">
        <f>IFERROR(__xludf.DUMMYFUNCTION("GOOGLETRANSLATE(C1832, ""en"", ""ar"")"),"شجاع، لا يخشى شيئاً")</f>
        <v>شجاع، لا يخشى شيئاً</v>
      </c>
      <c r="J1832" s="8"/>
      <c r="K1832" s="7" t="str">
        <f>IFERROR(__xludf.DUMMYFUNCTION("CONCAT(REGEXREPLACE(C1832,""[ ,]+"",""_""),"".mp3"")"),"dauntless_fearless.mp3")</f>
        <v>dauntless_fearless.mp3</v>
      </c>
      <c r="M1832" s="4" t="s">
        <v>10</v>
      </c>
    </row>
    <row r="1833" ht="15.75" customHeight="1">
      <c r="A1833" s="1">
        <v>3201.0</v>
      </c>
      <c r="B1833" s="3">
        <v>155.0</v>
      </c>
      <c r="C1833" s="7" t="s">
        <v>1838</v>
      </c>
      <c r="D1833" s="8" t="str">
        <f>IFERROR(__xludf.DUMMYFUNCTION("GOOGLETRANSLATE(C1833, ""en"", ""pt"")"),"denunciar, condenar abertamente")</f>
        <v>denunciar, condenar abertamente</v>
      </c>
      <c r="E1833" s="8" t="str">
        <f>IFERROR(__xludf.DUMMYFUNCTION("GOOGLETRANSLATE(C1833, ""en"", ""es"")"),"denunciar, condenar abiertamente")</f>
        <v>denunciar, condenar abiertamente</v>
      </c>
      <c r="F1833" s="8" t="str">
        <f>IFERROR(__xludf.DUMMYFUNCTION("GOOGLETRANSLATE(C1833, ""en"", ""fr"")"),"dénoncer, condamner ouvertement")</f>
        <v>dénoncer, condamner ouvertement</v>
      </c>
      <c r="G1833" s="8" t="str">
        <f>IFERROR(__xludf.DUMMYFUNCTION("GOOGLETRANSLATE(C1833, ""en"", ""de"")"),"anprangern, öffentlich verurteilen")</f>
        <v>anprangern, öffentlich verurteilen</v>
      </c>
      <c r="H1833" s="8" t="str">
        <f>IFERROR(__xludf.DUMMYFUNCTION("GOOGLETRANSLATE(C1833, ""en"", ""ru"")"),"осуждать, открыто порицать")</f>
        <v>осуждать, открыто порицать</v>
      </c>
      <c r="I1833" s="8" t="str">
        <f>IFERROR(__xludf.DUMMYFUNCTION("GOOGLETRANSLATE(C1833, ""en"", ""ar"")"),"استنكر، وأدان علنًا")</f>
        <v>استنكر، وأدان علنًا</v>
      </c>
      <c r="J1833" s="8"/>
      <c r="K1833" s="7" t="str">
        <f>IFERROR(__xludf.DUMMYFUNCTION("CONCAT(REGEXREPLACE(C1833,""[ ,]+"",""_""),"".mp3"")"),"decry_condemn_openly.mp3")</f>
        <v>decry_condemn_openly.mp3</v>
      </c>
      <c r="M1833" s="4" t="s">
        <v>10</v>
      </c>
    </row>
    <row r="1834" ht="15.75" customHeight="1">
      <c r="A1834" s="1">
        <v>3202.0</v>
      </c>
      <c r="B1834" s="3">
        <v>155.0</v>
      </c>
      <c r="C1834" s="7" t="s">
        <v>1434</v>
      </c>
      <c r="D1834" s="8" t="str">
        <f>IFERROR(__xludf.DUMMYFUNCTION("GOOGLETRANSLATE(C1834, ""en"", ""pt"")"),"prejudicial, nocivo")</f>
        <v>prejudicial, nocivo</v>
      </c>
      <c r="E1834" s="8" t="str">
        <f>IFERROR(__xludf.DUMMYFUNCTION("GOOGLETRANSLATE(C1834, ""en"", ""es"")"),"nocivo, perjudicial")</f>
        <v>nocivo, perjudicial</v>
      </c>
      <c r="F1834" s="8" t="str">
        <f>IFERROR(__xludf.DUMMYFUNCTION("GOOGLETRANSLATE(C1834, ""en"", ""fr"")"),"délétère, nuisible")</f>
        <v>délétère, nuisible</v>
      </c>
      <c r="G1834" s="8" t="str">
        <f>IFERROR(__xludf.DUMMYFUNCTION("GOOGLETRANSLATE(C1834, ""en"", ""de"")"),"schädlich")</f>
        <v>schädlich</v>
      </c>
      <c r="H1834" s="8" t="str">
        <f>IFERROR(__xludf.DUMMYFUNCTION("GOOGLETRANSLATE(C1834, ""en"", ""ru"")"),"вредный, опасный")</f>
        <v>вредный, опасный</v>
      </c>
      <c r="I1834" s="8" t="str">
        <f>IFERROR(__xludf.DUMMYFUNCTION("GOOGLETRANSLATE(C1834, ""en"", ""ar"")"),"ضار، مؤذٍ")</f>
        <v>ضار، مؤذٍ</v>
      </c>
      <c r="J1834" s="8"/>
      <c r="K1834" s="7" t="str">
        <f>IFERROR(__xludf.DUMMYFUNCTION("CONCAT(REGEXREPLACE(C1834,""[ ,]+"",""_""),"".mp3"")"),"deleterious_harmful.mp3")</f>
        <v>deleterious_harmful.mp3</v>
      </c>
      <c r="M1834" s="4" t="s">
        <v>10</v>
      </c>
    </row>
    <row r="1835" ht="15.75" customHeight="1">
      <c r="A1835" s="1">
        <v>3203.0</v>
      </c>
      <c r="B1835" s="3">
        <v>155.0</v>
      </c>
      <c r="C1835" s="7" t="s">
        <v>1839</v>
      </c>
      <c r="D1835" s="8" t="str">
        <f>IFERROR(__xludf.DUMMYFUNCTION("GOOGLETRANSLATE(C1835, ""en"", ""pt"")"),"hesitar, recusar")</f>
        <v>hesitar, recusar</v>
      </c>
      <c r="E1835" s="8" t="str">
        <f>IFERROR(__xludf.DUMMYFUNCTION("GOOGLETRANSLATE(C1835, ""en"", ""es"")"),"reticencia, duda")</f>
        <v>reticencia, duda</v>
      </c>
      <c r="F1835" s="8" t="str">
        <f>IFERROR(__xludf.DUMMYFUNCTION("GOOGLETRANSLATE(C1835, ""en"", ""fr"")"),"hésiter,")</f>
        <v>hésiter,</v>
      </c>
      <c r="G1835" s="8" t="str">
        <f>IFERROR(__xludf.DUMMYFUNCTION("GOOGLETRANSLATE(C1835, ""en"", ""de"")"),"zurückweisen, zögern")</f>
        <v>zurückweisen, zögern</v>
      </c>
      <c r="H1835" s="8" t="str">
        <f>IFERROR(__xludf.DUMMYFUNCTION("GOOGLETRANSLATE(C1835, ""en"", ""ru"")"),"возражать, колебаться")</f>
        <v>возражать, колебаться</v>
      </c>
      <c r="I1835" s="8" t="str">
        <f>IFERROR(__xludf.DUMMYFUNCTION("GOOGLETRANSLATE(C1835, ""en"", ""ar"")"),"التردد، الامتناع")</f>
        <v>التردد، الامتناع</v>
      </c>
      <c r="J1835" s="8"/>
      <c r="K1835" s="7" t="str">
        <f>IFERROR(__xludf.DUMMYFUNCTION("CONCAT(REGEXREPLACE(C1835,""[ ,]+"",""_""),"".mp3"")"),"demur_hesitate.mp3")</f>
        <v>demur_hesitate.mp3</v>
      </c>
      <c r="M1835" s="4" t="s">
        <v>10</v>
      </c>
    </row>
    <row r="1836" ht="15.75" customHeight="1">
      <c r="A1836" s="1">
        <v>3204.0</v>
      </c>
      <c r="B1836" s="3">
        <v>155.0</v>
      </c>
      <c r="C1836" s="7" t="s">
        <v>1840</v>
      </c>
      <c r="D1836" s="8" t="str">
        <f>IFERROR(__xludf.DUMMYFUNCTION("GOOGLETRANSLATE(C1836, ""en"", ""pt"")"),"diatribe, discurso abusivo")</f>
        <v>diatribe, discurso abusivo</v>
      </c>
      <c r="E1836" s="8" t="str">
        <f>IFERROR(__xludf.DUMMYFUNCTION("GOOGLETRANSLATE(C1836, ""en"", ""es"")"),"diatriba, discurso abusivo")</f>
        <v>diatriba, discurso abusivo</v>
      </c>
      <c r="F1836" s="8" t="str">
        <f>IFERROR(__xludf.DUMMYFUNCTION("GOOGLETRANSLATE(C1836, ""en"", ""fr"")"),"diatribe, discours injurieux")</f>
        <v>diatribe, discours injurieux</v>
      </c>
      <c r="G1836" s="8" t="str">
        <f>IFERROR(__xludf.DUMMYFUNCTION("GOOGLETRANSLATE(C1836, ""en"", ""de"")"),"Schmährede, beleidigende Rede")</f>
        <v>Schmährede, beleidigende Rede</v>
      </c>
      <c r="H1836" s="8" t="str">
        <f>IFERROR(__xludf.DUMMYFUNCTION("GOOGLETRANSLATE(C1836, ""en"", ""ru"")"),"диатриба, оскорбительная речь")</f>
        <v>диатриба, оскорбительная речь</v>
      </c>
      <c r="I1836" s="8" t="str">
        <f>IFERROR(__xludf.DUMMYFUNCTION("GOOGLETRANSLATE(C1836, ""en"", ""ar"")"),"خطاب لاذع، كلام مسيء")</f>
        <v>خطاب لاذع، كلام مسيء</v>
      </c>
      <c r="J1836" s="8"/>
      <c r="K1836" s="7" t="str">
        <f>IFERROR(__xludf.DUMMYFUNCTION("CONCAT(REGEXREPLACE(C1836,""[ ,]+"",""_""),"".mp3"")"),"diatribe_abusive_speech.mp3")</f>
        <v>diatribe_abusive_speech.mp3</v>
      </c>
      <c r="M1836" s="4" t="s">
        <v>10</v>
      </c>
    </row>
    <row r="1837" ht="15.75" customHeight="1">
      <c r="A1837" s="1">
        <v>3205.0</v>
      </c>
      <c r="B1837" s="3">
        <v>155.0</v>
      </c>
      <c r="C1837" s="7" t="s">
        <v>1841</v>
      </c>
      <c r="D1837" s="8" t="str">
        <f>IFERROR(__xludf.DUMMYFUNCTION("GOOGLETRANSLATE(C1837, ""en"", ""pt"")"),"diletante, amador")</f>
        <v>diletante, amador</v>
      </c>
      <c r="E1837" s="8" t="str">
        <f>IFERROR(__xludf.DUMMYFUNCTION("GOOGLETRANSLATE(C1837, ""en"", ""es"")"),"diletante, aficionado")</f>
        <v>diletante, aficionado</v>
      </c>
      <c r="F1837" s="8" t="str">
        <f>IFERROR(__xludf.DUMMYFUNCTION("GOOGLETRANSLATE(C1837, ""en"", ""fr"")"),"dilettante, amateur")</f>
        <v>dilettante, amateur</v>
      </c>
      <c r="G1837" s="8" t="str">
        <f>IFERROR(__xludf.DUMMYFUNCTION("GOOGLETRANSLATE(C1837, ""en"", ""de"")"),"Dilettant, Amateur")</f>
        <v>Dilettant, Amateur</v>
      </c>
      <c r="H1837" s="8" t="str">
        <f>IFERROR(__xludf.DUMMYFUNCTION("GOOGLETRANSLATE(C1837, ""en"", ""ru"")"),"дилетант, любитель")</f>
        <v>дилетант, любитель</v>
      </c>
      <c r="I1837" s="8" t="str">
        <f>IFERROR(__xludf.DUMMYFUNCTION("GOOGLETRANSLATE(C1837, ""en"", ""ar"")"),"هاوٍ، مبتدئ")</f>
        <v>هاوٍ، مبتدئ</v>
      </c>
      <c r="J1837" s="8"/>
      <c r="K1837" s="7" t="str">
        <f>IFERROR(__xludf.DUMMYFUNCTION("CONCAT(REGEXREPLACE(C1837,""[ ,]+"",""_""),"".mp3"")"),"dilettante_amateur.mp3")</f>
        <v>dilettante_amateur.mp3</v>
      </c>
      <c r="M1837" s="4" t="s">
        <v>10</v>
      </c>
    </row>
    <row r="1838" ht="15.75" customHeight="1">
      <c r="A1838" s="1">
        <v>3206.0</v>
      </c>
      <c r="B1838" s="3">
        <v>155.0</v>
      </c>
      <c r="C1838" s="7" t="s">
        <v>1842</v>
      </c>
      <c r="D1838" s="8" t="str">
        <f>IFERROR(__xludf.DUMMYFUNCTION("GOOGLETRANSLATE(C1838, ""en"", ""pt"")"),"desinteressado, imparcial")</f>
        <v>desinteressado, imparcial</v>
      </c>
      <c r="E1838" s="8" t="str">
        <f>IFERROR(__xludf.DUMMYFUNCTION("GOOGLETRANSLATE(C1838, ""en"", ""es"")"),"desinteresado, imparcial")</f>
        <v>desinteresado, imparcial</v>
      </c>
      <c r="F1838" s="8" t="str">
        <f>IFERROR(__xludf.DUMMYFUNCTION("GOOGLETRANSLATE(C1838, ""en"", ""fr"")"),"désintéressé, impartial")</f>
        <v>désintéressé, impartial</v>
      </c>
      <c r="G1838" s="8" t="str">
        <f>IFERROR(__xludf.DUMMYFUNCTION("GOOGLETRANSLATE(C1838, ""en"", ""de"")"),"unvoreingenommen, unparteiisch")</f>
        <v>unvoreingenommen, unparteiisch</v>
      </c>
      <c r="H1838" s="8" t="str">
        <f>IFERROR(__xludf.DUMMYFUNCTION("GOOGLETRANSLATE(C1838, ""en"", ""ru"")"),"беспристрастный, непредвзятый")</f>
        <v>беспристрастный, непредвзятый</v>
      </c>
      <c r="I1838" s="8" t="str">
        <f>IFERROR(__xludf.DUMMYFUNCTION("GOOGLETRANSLATE(C1838, ""en"", ""ar"")"),"غير متحيز، غير مهتم")</f>
        <v>غير متحيز، غير مهتم</v>
      </c>
      <c r="J1838" s="8"/>
      <c r="K1838" s="7" t="str">
        <f>IFERROR(__xludf.DUMMYFUNCTION("CONCAT(REGEXREPLACE(C1838,""[ ,]+"",""_""),"".mp3"")"),"disinterested_unbiased.mp3")</f>
        <v>disinterested_unbiased.mp3</v>
      </c>
      <c r="M1838" s="4" t="s">
        <v>10</v>
      </c>
    </row>
    <row r="1839" ht="15.75" customHeight="1">
      <c r="A1839" s="1">
        <v>3207.0</v>
      </c>
      <c r="B1839" s="3">
        <v>155.0</v>
      </c>
      <c r="C1839" s="7" t="s">
        <v>1843</v>
      </c>
      <c r="D1839" s="8" t="str">
        <f>IFERROR(__xludf.DUMMYFUNCTION("GOOGLETRANSLATE(C1839, ""en"", ""pt"")"),"coação, prisão")</f>
        <v>coação, prisão</v>
      </c>
      <c r="E1839" s="8" t="str">
        <f>IFERROR(__xludf.DUMMYFUNCTION("GOOGLETRANSLATE(C1839, ""en"", ""es"")"),"coacción, encarcelamiento")</f>
        <v>coacción, encarcelamiento</v>
      </c>
      <c r="F1839" s="8" t="str">
        <f>IFERROR(__xludf.DUMMYFUNCTION("GOOGLETRANSLATE(C1839, ""en"", ""fr"")"),"contrainte, emprisonnement")</f>
        <v>contrainte, emprisonnement</v>
      </c>
      <c r="G1839" s="8" t="str">
        <f>IFERROR(__xludf.DUMMYFUNCTION("GOOGLETRANSLATE(C1839, ""en"", ""de"")"),"Nötigung, Inhaftierung")</f>
        <v>Nötigung, Inhaftierung</v>
      </c>
      <c r="H1839" s="8" t="str">
        <f>IFERROR(__xludf.DUMMYFUNCTION("GOOGLETRANSLATE(C1839, ""en"", ""ru"")"),"принуждение, тюремное заключение")</f>
        <v>принуждение, тюремное заключение</v>
      </c>
      <c r="I1839" s="8" t="str">
        <f>IFERROR(__xludf.DUMMYFUNCTION("GOOGLETRANSLATE(C1839, ""en"", ""ar"")"),"الإكراه والسجن")</f>
        <v>الإكراه والسجن</v>
      </c>
      <c r="J1839" s="8"/>
      <c r="K1839" s="7" t="str">
        <f>IFERROR(__xludf.DUMMYFUNCTION("CONCAT(REGEXREPLACE(C1839,""[ ,]+"",""_""),"".mp3"")"),"duress_imprisonment.mp3")</f>
        <v>duress_imprisonment.mp3</v>
      </c>
      <c r="M1839" s="4" t="s">
        <v>10</v>
      </c>
    </row>
    <row r="1840" ht="15.75" customHeight="1">
      <c r="A1840" s="1">
        <v>3208.0</v>
      </c>
      <c r="B1840" s="3">
        <v>155.0</v>
      </c>
      <c r="C1840" s="7" t="s">
        <v>1844</v>
      </c>
      <c r="D1840" s="8" t="str">
        <f>IFERROR(__xludf.DUMMYFUNCTION("GOOGLETRANSLATE(C1840, ""en"", ""pt"")"),"conclave, reunião privada")</f>
        <v>conclave, reunião privada</v>
      </c>
      <c r="E1840" s="8" t="str">
        <f>IFERROR(__xludf.DUMMYFUNCTION("GOOGLETRANSLATE(C1840, ""en"", ""es"")"),"cónclave, reunión privada")</f>
        <v>cónclave, reunión privada</v>
      </c>
      <c r="F1840" s="8" t="str">
        <f>IFERROR(__xludf.DUMMYFUNCTION("GOOGLETRANSLATE(C1840, ""en"", ""fr"")"),"conclave, réunion privée")</f>
        <v>conclave, réunion privée</v>
      </c>
      <c r="G1840" s="8" t="str">
        <f>IFERROR(__xludf.DUMMYFUNCTION("GOOGLETRANSLATE(C1840, ""en"", ""de"")"),"Konklave, privates Treffen")</f>
        <v>Konklave, privates Treffen</v>
      </c>
      <c r="H1840" s="8" t="str">
        <f>IFERROR(__xludf.DUMMYFUNCTION("GOOGLETRANSLATE(C1840, ""en"", ""ru"")"),"конклав, частное собрание")</f>
        <v>конклав, частное собрание</v>
      </c>
      <c r="I1840" s="8" t="str">
        <f>IFERROR(__xludf.DUMMYFUNCTION("GOOGLETRANSLATE(C1840, ""en"", ""ar"")"),"اجتماع خاص")</f>
        <v>اجتماع خاص</v>
      </c>
      <c r="J1840" s="8"/>
      <c r="K1840" s="7" t="str">
        <f>IFERROR(__xludf.DUMMYFUNCTION("CONCAT(REGEXREPLACE(C1840,""[ ,]+"",""_""),"".mp3"")"),"conclave_private_meeting.mp3")</f>
        <v>conclave_private_meeting.mp3</v>
      </c>
      <c r="M1840" s="4" t="s">
        <v>10</v>
      </c>
    </row>
    <row r="1841" ht="15.75" customHeight="1">
      <c r="A1841" s="1">
        <v>3209.0</v>
      </c>
      <c r="B1841" s="3">
        <v>155.0</v>
      </c>
      <c r="C1841" s="7" t="s">
        <v>1845</v>
      </c>
      <c r="D1841" s="8" t="str">
        <f>IFERROR(__xludf.DUMMYFUNCTION("GOOGLETRANSLATE(C1841, ""en"", ""pt"")"),"cogitar, ponderar")</f>
        <v>cogitar, ponderar</v>
      </c>
      <c r="E1841" s="8" t="str">
        <f>IFERROR(__xludf.DUMMYFUNCTION("GOOGLETRANSLATE(C1841, ""en"", ""es"")"),"meditar, reflexionar")</f>
        <v>meditar, reflexionar</v>
      </c>
      <c r="F1841" s="8" t="str">
        <f>IFERROR(__xludf.DUMMYFUNCTION("GOOGLETRANSLATE(C1841, ""en"", ""fr"")"),"cogiter, réfléchir")</f>
        <v>cogiter, réfléchir</v>
      </c>
      <c r="G1841" s="8" t="str">
        <f>IFERROR(__xludf.DUMMYFUNCTION("GOOGLETRANSLATE(C1841, ""en"", ""de"")"),"nachdenken, grübeln")</f>
        <v>nachdenken, grübeln</v>
      </c>
      <c r="H1841" s="8" t="str">
        <f>IFERROR(__xludf.DUMMYFUNCTION("GOOGLETRANSLATE(C1841, ""en"", ""ru"")"),"размышлять, обдумывать")</f>
        <v>размышлять, обдумывать</v>
      </c>
      <c r="I1841" s="8" t="str">
        <f>IFERROR(__xludf.DUMMYFUNCTION("GOOGLETRANSLATE(C1841, ""en"", ""ar"")"),"تأمل، فكر")</f>
        <v>تأمل، فكر</v>
      </c>
      <c r="J1841" s="8"/>
      <c r="K1841" s="7" t="str">
        <f>IFERROR(__xludf.DUMMYFUNCTION("CONCAT(REGEXREPLACE(C1841,""[ ,]+"",""_""),"".mp3"")"),"cogitate_ponder.mp3")</f>
        <v>cogitate_ponder.mp3</v>
      </c>
      <c r="M1841" s="4" t="s">
        <v>10</v>
      </c>
    </row>
    <row r="1842" ht="15.75" customHeight="1">
      <c r="A1842" s="1">
        <v>3210.0</v>
      </c>
      <c r="B1842" s="3">
        <v>155.0</v>
      </c>
      <c r="C1842" s="7" t="s">
        <v>1846</v>
      </c>
      <c r="D1842" s="8" t="str">
        <f>IFERROR(__xludf.DUMMYFUNCTION("GOOGLETRANSLATE(C1842, ""en"", ""pt"")"),"circunspecto, cuidadoso")</f>
        <v>circunspecto, cuidadoso</v>
      </c>
      <c r="E1842" s="8" t="str">
        <f>IFERROR(__xludf.DUMMYFUNCTION("GOOGLETRANSLATE(C1842, ""en"", ""es"")"),"circunspecto, cuidadoso")</f>
        <v>circunspecto, cuidadoso</v>
      </c>
      <c r="F1842" s="8" t="str">
        <f>IFERROR(__xludf.DUMMYFUNCTION("GOOGLETRANSLATE(C1842, ""en"", ""fr"")"),"circonspect, prudent")</f>
        <v>circonspect, prudent</v>
      </c>
      <c r="G1842" s="8" t="str">
        <f>IFERROR(__xludf.DUMMYFUNCTION("GOOGLETRANSLATE(C1842, ""en"", ""de"")"),"umsichtig, vorsichtig")</f>
        <v>umsichtig, vorsichtig</v>
      </c>
      <c r="H1842" s="8" t="str">
        <f>IFERROR(__xludf.DUMMYFUNCTION("GOOGLETRANSLATE(C1842, ""en"", ""ru"")"),"осмотрительный, осторожный")</f>
        <v>осмотрительный, осторожный</v>
      </c>
      <c r="I1842" s="8" t="str">
        <f>IFERROR(__xludf.DUMMYFUNCTION("GOOGLETRANSLATE(C1842, ""en"", ""ar"")"),"حذر، متأنٍ")</f>
        <v>حذر، متأنٍ</v>
      </c>
      <c r="J1842" s="8"/>
      <c r="K1842" s="7" t="str">
        <f>IFERROR(__xludf.DUMMYFUNCTION("CONCAT(REGEXREPLACE(C1842,""[ ,]+"",""_""),"".mp3"")"),"circumspect_careful.mp3")</f>
        <v>circumspect_careful.mp3</v>
      </c>
      <c r="M1842" s="4" t="s">
        <v>10</v>
      </c>
    </row>
    <row r="1843" ht="15.75" customHeight="1">
      <c r="A1843" s="1">
        <v>3211.0</v>
      </c>
      <c r="B1843" s="3">
        <v>155.0</v>
      </c>
      <c r="C1843" s="7" t="s">
        <v>1847</v>
      </c>
      <c r="D1843" s="8" t="str">
        <f>IFERROR(__xludf.DUMMYFUNCTION("GOOGLETRANSLATE(C1843, ""en"", ""pt"")"),"arquétipo, protótipo")</f>
        <v>arquétipo, protótipo</v>
      </c>
      <c r="E1843" s="8" t="str">
        <f>IFERROR(__xludf.DUMMYFUNCTION("GOOGLETRANSLATE(C1843, ""en"", ""es"")"),"arquetipo, prototipo")</f>
        <v>arquetipo, prototipo</v>
      </c>
      <c r="F1843" s="8" t="str">
        <f>IFERROR(__xludf.DUMMYFUNCTION("GOOGLETRANSLATE(C1843, ""en"", ""fr"")"),"archétype, prototype")</f>
        <v>archétype, prototype</v>
      </c>
      <c r="G1843" s="8" t="str">
        <f>IFERROR(__xludf.DUMMYFUNCTION("GOOGLETRANSLATE(C1843, ""en"", ""de"")"),"Archetyp, Prototyp")</f>
        <v>Archetyp, Prototyp</v>
      </c>
      <c r="H1843" s="8" t="str">
        <f>IFERROR(__xludf.DUMMYFUNCTION("GOOGLETRANSLATE(C1843, ""en"", ""ru"")"),"архетип, прототип")</f>
        <v>архетип, прототип</v>
      </c>
      <c r="I1843" s="8" t="str">
        <f>IFERROR(__xludf.DUMMYFUNCTION("GOOGLETRANSLATE(C1843, ""en"", ""ar"")"),"النموذج الأصلي، النموذج الأولي")</f>
        <v>النموذج الأصلي، النموذج الأولي</v>
      </c>
      <c r="J1843" s="8"/>
      <c r="K1843" s="7" t="str">
        <f>IFERROR(__xludf.DUMMYFUNCTION("CONCAT(REGEXREPLACE(C1843,""[ ,]+"",""_""),"".mp3"")"),"archetype_prototype.mp3")</f>
        <v>archetype_prototype.mp3</v>
      </c>
      <c r="M1843" s="4" t="s">
        <v>10</v>
      </c>
    </row>
    <row r="1844" ht="15.75" customHeight="1">
      <c r="A1844" s="1">
        <v>3212.0</v>
      </c>
      <c r="B1844" s="3">
        <v>155.0</v>
      </c>
      <c r="C1844" s="7" t="s">
        <v>1848</v>
      </c>
      <c r="D1844" s="8" t="str">
        <f>IFERROR(__xludf.DUMMYFUNCTION("GOOGLETRANSLATE(C1844, ""en"", ""pt"")"),"atenuar, enfraquecer")</f>
        <v>atenuar, enfraquecer</v>
      </c>
      <c r="E1844" s="8" t="str">
        <f>IFERROR(__xludf.DUMMYFUNCTION("GOOGLETRANSLATE(C1844, ""en"", ""es"")"),"atenuar, debilitar")</f>
        <v>atenuar, debilitar</v>
      </c>
      <c r="F1844" s="8" t="str">
        <f>IFERROR(__xludf.DUMMYFUNCTION("GOOGLETRANSLATE(C1844, ""en"", ""fr"")"),"atténuer, affaiblir")</f>
        <v>atténuer, affaiblir</v>
      </c>
      <c r="G1844" s="8" t="str">
        <f>IFERROR(__xludf.DUMMYFUNCTION("GOOGLETRANSLATE(C1844, ""en"", ""de"")"),"abschwächen, schwächen")</f>
        <v>abschwächen, schwächen</v>
      </c>
      <c r="H1844" s="8" t="str">
        <f>IFERROR(__xludf.DUMMYFUNCTION("GOOGLETRANSLATE(C1844, ""en"", ""ru"")"),"ослаблять, смягчать")</f>
        <v>ослаблять, смягчать</v>
      </c>
      <c r="I1844" s="8" t="str">
        <f>IFERROR(__xludf.DUMMYFUNCTION("GOOGLETRANSLATE(C1844, ""en"", ""ar"")"),"إضعاف، تخفيف")</f>
        <v>إضعاف، تخفيف</v>
      </c>
      <c r="J1844" s="8"/>
      <c r="K1844" s="7" t="str">
        <f>IFERROR(__xludf.DUMMYFUNCTION("CONCAT(REGEXREPLACE(C1844,""[ ,]+"",""_""),"".mp3"")"),"attenuate_weaken.mp3")</f>
        <v>attenuate_weaken.mp3</v>
      </c>
      <c r="M1844" s="4" t="s">
        <v>10</v>
      </c>
    </row>
    <row r="1845" ht="15.75" customHeight="1">
      <c r="A1845" s="1">
        <v>3213.0</v>
      </c>
      <c r="B1845" s="3">
        <v>155.0</v>
      </c>
      <c r="C1845" s="7" t="s">
        <v>1849</v>
      </c>
      <c r="D1845" s="8" t="str">
        <f>IFERROR(__xludf.DUMMYFUNCTION("GOOGLETRANSLATE(C1845, ""en"", ""pt"")"),"avareza, ganância")</f>
        <v>avareza, ganância</v>
      </c>
      <c r="E1845" s="8" t="str">
        <f>IFERROR(__xludf.DUMMYFUNCTION("GOOGLETRANSLATE(C1845, ""en"", ""es"")"),"avaricia, codicia")</f>
        <v>avaricia, codicia</v>
      </c>
      <c r="F1845" s="8" t="str">
        <f>IFERROR(__xludf.DUMMYFUNCTION("GOOGLETRANSLATE(C1845, ""en"", ""fr"")"),"avarice, cupidité")</f>
        <v>avarice, cupidité</v>
      </c>
      <c r="G1845" s="8" t="str">
        <f>IFERROR(__xludf.DUMMYFUNCTION("GOOGLETRANSLATE(C1845, ""en"", ""de"")"),"Habgier, Geiz")</f>
        <v>Habgier, Geiz</v>
      </c>
      <c r="H1845" s="8" t="str">
        <f>IFERROR(__xludf.DUMMYFUNCTION("GOOGLETRANSLATE(C1845, ""en"", ""ru"")"),"алчность, жадность")</f>
        <v>алчность, жадность</v>
      </c>
      <c r="I1845" s="8" t="str">
        <f>IFERROR(__xludf.DUMMYFUNCTION("GOOGLETRANSLATE(C1845, ""en"", ""ar"")"),"الجشع، الطمع")</f>
        <v>الجشع، الطمع</v>
      </c>
      <c r="J1845" s="8"/>
      <c r="K1845" s="7" t="str">
        <f>IFERROR(__xludf.DUMMYFUNCTION("CONCAT(REGEXREPLACE(C1845,""[ ,]+"",""_""),"".mp3"")"),"avarice_greediness.mp3")</f>
        <v>avarice_greediness.mp3</v>
      </c>
      <c r="M1845" s="4" t="s">
        <v>10</v>
      </c>
    </row>
    <row r="1846" ht="15.75" customHeight="1">
      <c r="A1846" s="1">
        <v>3214.0</v>
      </c>
      <c r="B1846" s="3">
        <v>155.0</v>
      </c>
      <c r="C1846" s="7" t="s">
        <v>1850</v>
      </c>
      <c r="D1846" s="8" t="str">
        <f>IFERROR(__xludf.DUMMYFUNCTION("GOOGLETRANSLATE(C1846, ""en"", ""pt"")"),"presságio, predizer")</f>
        <v>presságio, predizer</v>
      </c>
      <c r="E1846" s="8" t="str">
        <f>IFERROR(__xludf.DUMMYFUNCTION("GOOGLETRANSLATE(C1846, ""en"", ""es"")"),"presagiar, predecir")</f>
        <v>presagiar, predecir</v>
      </c>
      <c r="F1846" s="8" t="str">
        <f>IFERROR(__xludf.DUMMYFUNCTION("GOOGLETRANSLATE(C1846, ""en"", ""fr"")"),"présager, prédire")</f>
        <v>présager, prédire</v>
      </c>
      <c r="G1846" s="8" t="str">
        <f>IFERROR(__xludf.DUMMYFUNCTION("GOOGLETRANSLATE(C1846, ""en"", ""de"")"),"bode, foretell")</f>
        <v>bode, foretell</v>
      </c>
      <c r="H1846" s="8" t="str">
        <f>IFERROR(__xludf.DUMMYFUNCTION("GOOGLETRANSLATE(C1846, ""en"", ""ru"")"),"предзнаменование, предсказание")</f>
        <v>предзнаменование, предсказание</v>
      </c>
      <c r="I1846" s="8" t="str">
        <f>IFERROR(__xludf.DUMMYFUNCTION("GOOGLETRANSLATE(C1846, ""en"", ""ar"")"),"بُشِّرَ، تنبأ")</f>
        <v>بُشِّرَ، تنبأ</v>
      </c>
      <c r="J1846" s="8"/>
      <c r="K1846" s="7" t="str">
        <f>IFERROR(__xludf.DUMMYFUNCTION("CONCAT(REGEXREPLACE(C1846,""[ ,]+"",""_""),"".mp3"")"),"bode_foretell.mp3")</f>
        <v>bode_foretell.mp3</v>
      </c>
      <c r="M1846" s="4" t="s">
        <v>10</v>
      </c>
    </row>
    <row r="1847" ht="15.75" customHeight="1">
      <c r="A1847" s="1">
        <v>3215.0</v>
      </c>
      <c r="B1847" s="3">
        <v>155.0</v>
      </c>
      <c r="C1847" s="7" t="s">
        <v>1851</v>
      </c>
      <c r="D1847" s="8" t="str">
        <f>IFERROR(__xludf.DUMMYFUNCTION("GOOGLETRANSLATE(C1847, ""en"", ""pt"")"),"grosseiro, pessoa mal-educada")</f>
        <v>grosseiro, pessoa mal-educada</v>
      </c>
      <c r="E1847" s="8" t="str">
        <f>IFERROR(__xludf.DUMMYFUNCTION("GOOGLETRANSLATE(C1847, ""en"", ""es"")"),"persona grosera y maleducada")</f>
        <v>persona grosera y maleducada</v>
      </c>
      <c r="F1847" s="8" t="str">
        <f>IFERROR(__xludf.DUMMYFUNCTION("GOOGLETRANSLATE(C1847, ""en"", ""fr"")"),"rustre, personne malpolie")</f>
        <v>rustre, personne malpolie</v>
      </c>
      <c r="G1847" s="8" t="str">
        <f>IFERROR(__xludf.DUMMYFUNCTION("GOOGLETRANSLATE(C1847, ""en"", ""de"")"),"Rüpel, unhöflicher Mensch")</f>
        <v>Rüpel, unhöflicher Mensch</v>
      </c>
      <c r="H1847" s="8" t="str">
        <f>IFERROR(__xludf.DUMMYFUNCTION("GOOGLETRANSLATE(C1847, ""en"", ""ru"")"),"грубиян, невежливый человек")</f>
        <v>грубиян, невежливый человек</v>
      </c>
      <c r="I1847" s="8" t="str">
        <f>IFERROR(__xludf.DUMMYFUNCTION("GOOGLETRANSLATE(C1847, ""en"", ""ar"")"),"شخص وقح، فظ")</f>
        <v>شخص وقح، فظ</v>
      </c>
      <c r="J1847" s="8"/>
      <c r="K1847" s="7" t="str">
        <f>IFERROR(__xludf.DUMMYFUNCTION("CONCAT(REGEXREPLACE(C1847,""[ ,]+"",""_""),"".mp3"")"),"boor_rude_person.mp3")</f>
        <v>boor_rude_person.mp3</v>
      </c>
      <c r="M1847" s="4" t="s">
        <v>10</v>
      </c>
    </row>
    <row r="1848" ht="15.75" customHeight="1">
      <c r="A1848" s="1">
        <v>3216.0</v>
      </c>
      <c r="B1848" s="3">
        <v>155.0</v>
      </c>
      <c r="C1848" s="7" t="s">
        <v>1852</v>
      </c>
      <c r="D1848" s="8" t="str">
        <f>IFERROR(__xludf.DUMMYFUNCTION("GOOGLETRANSLATE(C1848, ""en"", ""pt"")"),"bastião, lugar fortificado")</f>
        <v>bastião, lugar fortificado</v>
      </c>
      <c r="E1848" s="8" t="str">
        <f>IFERROR(__xludf.DUMMYFUNCTION("GOOGLETRANSLATE(C1848, ""en"", ""es"")"),"bastión, lugar fortificado")</f>
        <v>bastión, lugar fortificado</v>
      </c>
      <c r="F1848" s="8" t="str">
        <f>IFERROR(__xludf.DUMMYFUNCTION("GOOGLETRANSLATE(C1848, ""en"", ""fr"")"),"bastion, lieu fortifié")</f>
        <v>bastion, lieu fortifié</v>
      </c>
      <c r="G1848" s="8" t="str">
        <f>IFERROR(__xludf.DUMMYFUNCTION("GOOGLETRANSLATE(C1848, ""en"", ""de"")"),"Bastion, befestigter Ort")</f>
        <v>Bastion, befestigter Ort</v>
      </c>
      <c r="H1848" s="8" t="str">
        <f>IFERROR(__xludf.DUMMYFUNCTION("GOOGLETRANSLATE(C1848, ""en"", ""ru"")"),"бастион, укрепленное место")</f>
        <v>бастион, укрепленное место</v>
      </c>
      <c r="I1848" s="8" t="str">
        <f>IFERROR(__xludf.DUMMYFUNCTION("GOOGLETRANSLATE(C1848, ""en"", ""ar"")"),"حصن، مكان محصن")</f>
        <v>حصن، مكان محصن</v>
      </c>
      <c r="J1848" s="8"/>
      <c r="K1848" s="7" t="str">
        <f>IFERROR(__xludf.DUMMYFUNCTION("CONCAT(REGEXREPLACE(C1848,""[ ,]+"",""_""),"".mp3"")"),"bastion_fortified_place.mp3")</f>
        <v>bastion_fortified_place.mp3</v>
      </c>
      <c r="M1848" s="4" t="s">
        <v>10</v>
      </c>
    </row>
    <row r="1849" ht="15.75" customHeight="1">
      <c r="A1849" s="1">
        <v>3217.0</v>
      </c>
      <c r="B1849" s="3">
        <v>155.0</v>
      </c>
      <c r="C1849" s="7" t="s">
        <v>1853</v>
      </c>
      <c r="D1849" s="8" t="str">
        <f>IFERROR(__xludf.DUMMYFUNCTION("GOOGLETRANSLATE(C1849, ""en"", ""pt"")"),"brotar, crescer rapidamente")</f>
        <v>brotar, crescer rapidamente</v>
      </c>
      <c r="E1849" s="8" t="str">
        <f>IFERROR(__xludf.DUMMYFUNCTION("GOOGLETRANSLATE(C1849, ""en"", ""es"")"),"florecer, crecer rápidamente")</f>
        <v>florecer, crecer rápidamente</v>
      </c>
      <c r="F1849" s="8" t="str">
        <f>IFERROR(__xludf.DUMMYFUNCTION("GOOGLETRANSLATE(C1849, ""en"", ""fr"")"),"se développer rapidement")</f>
        <v>se développer rapidement</v>
      </c>
      <c r="G1849" s="8" t="str">
        <f>IFERROR(__xludf.DUMMYFUNCTION("GOOGLETRANSLATE(C1849, ""en"", ""de"")"),"aufblühen, schnell wachsen")</f>
        <v>aufblühen, schnell wachsen</v>
      </c>
      <c r="H1849" s="8" t="str">
        <f>IFERROR(__xludf.DUMMYFUNCTION("GOOGLETRANSLATE(C1849, ""en"", ""ru"")"),"быстро разрастаться, быстро расти")</f>
        <v>быстро разрастаться, быстро расти</v>
      </c>
      <c r="I1849" s="8" t="str">
        <f>IFERROR(__xludf.DUMMYFUNCTION("GOOGLETRANSLATE(C1849, ""en"", ""ar"")"),"يزدهر، ينمو بسرعة")</f>
        <v>يزدهر، ينمو بسرعة</v>
      </c>
      <c r="J1849" s="8"/>
      <c r="K1849" s="7" t="str">
        <f>IFERROR(__xludf.DUMMYFUNCTION("CONCAT(REGEXREPLACE(C1849,""[ ,]+"",""_""),"".mp3"")"),"burgeon_grow_rapidly.mp3")</f>
        <v>burgeon_grow_rapidly.mp3</v>
      </c>
      <c r="M1849" s="4" t="s">
        <v>10</v>
      </c>
    </row>
    <row r="1850" ht="15.75" customHeight="1">
      <c r="A1850" s="1">
        <v>3218.0</v>
      </c>
      <c r="B1850" s="3">
        <v>155.0</v>
      </c>
      <c r="C1850" s="7" t="s">
        <v>1854</v>
      </c>
      <c r="D1850" s="8" t="str">
        <f>IFERROR(__xludf.DUMMYFUNCTION("GOOGLETRANSLATE(C1850, ""en"", ""pt"")"),"robusto, musculoso")</f>
        <v>robusto, musculoso</v>
      </c>
      <c r="E1850" s="8" t="str">
        <f>IFERROR(__xludf.DUMMYFUNCTION("GOOGLETRANSLATE(C1850, ""en"", ""es"")"),"corpulento, musculoso")</f>
        <v>corpulento, musculoso</v>
      </c>
      <c r="F1850" s="8" t="str">
        <f>IFERROR(__xludf.DUMMYFUNCTION("GOOGLETRANSLATE(C1850, ""en"", ""fr"")"),"costaud et musclé")</f>
        <v>costaud et musclé</v>
      </c>
      <c r="G1850" s="8" t="str">
        <f>IFERROR(__xludf.DUMMYFUNCTION("GOOGLETRANSLATE(C1850, ""en"", ""de"")"),"stämmig, muskulös")</f>
        <v>stämmig, muskulös</v>
      </c>
      <c r="H1850" s="8" t="str">
        <f>IFERROR(__xludf.DUMMYFUNCTION("GOOGLETRANSLATE(C1850, ""en"", ""ru"")"),"крепкий, мускулистый")</f>
        <v>крепкий, мускулистый</v>
      </c>
      <c r="I1850" s="8" t="str">
        <f>IFERROR(__xludf.DUMMYFUNCTION("GOOGLETRANSLATE(C1850, ""en"", ""ar"")"),"ضخم البنية، مفتول العضلات")</f>
        <v>ضخم البنية، مفتول العضلات</v>
      </c>
      <c r="J1850" s="8"/>
      <c r="K1850" s="7" t="str">
        <f>IFERROR(__xludf.DUMMYFUNCTION("CONCAT(REGEXREPLACE(C1850,""[ ,]+"",""_""),"".mp3"")"),"burly_muscular.mp3")</f>
        <v>burly_muscular.mp3</v>
      </c>
      <c r="M1850" s="4" t="s">
        <v>10</v>
      </c>
    </row>
    <row r="1851" ht="15.75" customHeight="1">
      <c r="A1851" s="1">
        <v>3219.0</v>
      </c>
      <c r="B1851" s="3">
        <v>155.0</v>
      </c>
      <c r="C1851" s="7" t="s">
        <v>1855</v>
      </c>
      <c r="D1851" s="8" t="str">
        <f>IFERROR(__xludf.DUMMYFUNCTION("GOOGLETRANSLATE(C1851, ""en"", ""pt"")"),"irritar, incomodar")</f>
        <v>irritar, incomodar</v>
      </c>
      <c r="E1851" s="8" t="str">
        <f>IFERROR(__xludf.DUMMYFUNCTION("GOOGLETRANSLATE(C1851, ""en"", ""es"")"),"rozar, molestar")</f>
        <v>rozar, molestar</v>
      </c>
      <c r="F1851" s="8" t="str">
        <f>IFERROR(__xludf.DUMMYFUNCTION("GOOGLETRANSLATE(C1851, ""en"", ""fr"")"),"irritation, agacement")</f>
        <v>irritation, agacement</v>
      </c>
      <c r="G1851" s="8" t="str">
        <f>IFERROR(__xludf.DUMMYFUNCTION("GOOGLETRANSLATE(C1851, ""en"", ""de"")"),"scheuern, ärgern")</f>
        <v>scheuern, ärgern</v>
      </c>
      <c r="H1851" s="8" t="str">
        <f>IFERROR(__xludf.DUMMYFUNCTION("GOOGLETRANSLATE(C1851, ""en"", ""ru"")"),"раздражать, досаждать")</f>
        <v>раздражать, досаждать</v>
      </c>
      <c r="I1851" s="8" t="str">
        <f>IFERROR(__xludf.DUMMYFUNCTION("GOOGLETRANSLATE(C1851, ""en"", ""ar"")"),"احتكاك، إزعاج")</f>
        <v>احتكاك، إزعاج</v>
      </c>
      <c r="J1851" s="8"/>
      <c r="K1851" s="7" t="str">
        <f>IFERROR(__xludf.DUMMYFUNCTION("CONCAT(REGEXREPLACE(C1851,""[ ,]+"",""_""),"".mp3"")"),"chafe_annoy.mp3")</f>
        <v>chafe_annoy.mp3</v>
      </c>
      <c r="M1851" s="4" t="s">
        <v>10</v>
      </c>
    </row>
    <row r="1852" ht="15.75" customHeight="1">
      <c r="A1852" s="1">
        <v>3220.0</v>
      </c>
      <c r="B1852" s="3">
        <v>155.0</v>
      </c>
      <c r="C1852" s="7" t="s">
        <v>1856</v>
      </c>
      <c r="D1852" s="8" t="str">
        <f>IFERROR(__xludf.DUMMYFUNCTION("GOOGLETRANSLATE(C1852, ""en"", ""pt"")"),"ator/atriz")</f>
        <v>ator/atriz</v>
      </c>
      <c r="E1852" s="8" t="str">
        <f>IFERROR(__xludf.DUMMYFUNCTION("GOOGLETRANSLATE(C1852, ""en"", ""es"")"),"actor/actriz")</f>
        <v>actor/actriz</v>
      </c>
      <c r="F1852" s="8" t="str">
        <f>IFERROR(__xludf.DUMMYFUNCTION("GOOGLETRANSLATE(C1852, ""en"", ""fr"")"),"comédien, acteur/actrice")</f>
        <v>comédien, acteur/actrice</v>
      </c>
      <c r="G1852" s="8" t="str">
        <f>IFERROR(__xludf.DUMMYFUNCTION("GOOGLETRANSLATE(C1852, ""en"", ""de"")"),"Schauspieler/Schauspielerin")</f>
        <v>Schauspieler/Schauspielerin</v>
      </c>
      <c r="H1852" s="8" t="str">
        <f>IFERROR(__xludf.DUMMYFUNCTION("GOOGLETRANSLATE(C1852, ""en"", ""ru"")"),"актер, актер/актриса")</f>
        <v>актер, актер/актриса</v>
      </c>
      <c r="I1852" s="8" t="str">
        <f>IFERROR(__xludf.DUMMYFUNCTION("GOOGLETRANSLATE(C1852, ""en"", ""ar"")"),"ممثل/ممثلة")</f>
        <v>ممثل/ممثلة</v>
      </c>
      <c r="J1852" s="8"/>
      <c r="K1852" s="7" t="str">
        <f>IFERROR(__xludf.DUMMYFUNCTION("CONCAT(REGEXREPLACE(C1852,""[ ,]+"",""_""),"".mp3"")"),"thespian_actor/actress.mp3")</f>
        <v>thespian_actor/actress.mp3</v>
      </c>
      <c r="M1852" s="4" t="s">
        <v>10</v>
      </c>
    </row>
    <row r="1853" ht="15.75" customHeight="1">
      <c r="A1853" s="1">
        <v>3221.0</v>
      </c>
      <c r="B1853" s="3">
        <v>155.0</v>
      </c>
      <c r="C1853" s="7" t="s">
        <v>1539</v>
      </c>
      <c r="D1853" s="8" t="str">
        <f>IFERROR(__xludf.DUMMYFUNCTION("GOOGLETRANSLATE(C1853, ""en"", ""pt"")"),"sereno, calmo")</f>
        <v>sereno, calmo</v>
      </c>
      <c r="E1853" s="8" t="str">
        <f>IFERROR(__xludf.DUMMYFUNCTION("GOOGLETRANSLATE(C1853, ""en"", ""es"")"),"sereno, tranquilo")</f>
        <v>sereno, tranquilo</v>
      </c>
      <c r="F1853" s="8" t="str">
        <f>IFERROR(__xludf.DUMMYFUNCTION("GOOGLETRANSLATE(C1853, ""en"", ""fr"")"),"calme, serein")</f>
        <v>calme, serein</v>
      </c>
      <c r="G1853" s="8" t="str">
        <f>IFERROR(__xludf.DUMMYFUNCTION("GOOGLETRANSLATE(C1853, ""en"", ""de"")"),"ruhig, gelassen")</f>
        <v>ruhig, gelassen</v>
      </c>
      <c r="H1853" s="8" t="str">
        <f>IFERROR(__xludf.DUMMYFUNCTION("GOOGLETRANSLATE(C1853, ""en"", ""ru"")"),"спокойный, уравновешенный")</f>
        <v>спокойный, уравновешенный</v>
      </c>
      <c r="I1853" s="8" t="str">
        <f>IFERROR(__xludf.DUMMYFUNCTION("GOOGLETRANSLATE(C1853, ""en"", ""ar"")"),"هادئ، ساكن")</f>
        <v>هادئ، ساكن</v>
      </c>
      <c r="J1853" s="8"/>
      <c r="K1853" s="7" t="str">
        <f>IFERROR(__xludf.DUMMYFUNCTION("CONCAT(REGEXREPLACE(C1853,""[ ,]+"",""_""),"".mp3"")"),"sedate_calm.mp3")</f>
        <v>sedate_calm.mp3</v>
      </c>
      <c r="M1853" s="4" t="s">
        <v>10</v>
      </c>
    </row>
    <row r="1854" ht="15.75" customHeight="1">
      <c r="A1854" s="1">
        <v>3222.0</v>
      </c>
      <c r="B1854" s="3">
        <v>155.0</v>
      </c>
      <c r="C1854" s="7" t="s">
        <v>1857</v>
      </c>
      <c r="D1854" s="8" t="str">
        <f>IFERROR(__xludf.DUMMYFUNCTION("GOOGLETRANSLATE(C1854, ""en"", ""pt"")"),"peremptório, obrigatório")</f>
        <v>peremptório, obrigatório</v>
      </c>
      <c r="E1854" s="8" t="str">
        <f>IFERROR(__xludf.DUMMYFUNCTION("GOOGLETRANSLATE(C1854, ""en"", ""es"")"),"perentorio, obligatorio")</f>
        <v>perentorio, obligatorio</v>
      </c>
      <c r="F1854" s="8" t="str">
        <f>IFERROR(__xludf.DUMMYFUNCTION("GOOGLETRANSLATE(C1854, ""en"", ""fr"")"),"péremptoire, obligatoire")</f>
        <v>péremptoire, obligatoire</v>
      </c>
      <c r="G1854" s="8" t="str">
        <f>IFERROR(__xludf.DUMMYFUNCTION("GOOGLETRANSLATE(C1854, ""en"", ""de"")"),"zwingend, obligatorisch")</f>
        <v>zwingend, obligatorisch</v>
      </c>
      <c r="H1854" s="8" t="str">
        <f>IFERROR(__xludf.DUMMYFUNCTION("GOOGLETRANSLATE(C1854, ""en"", ""ru"")"),"императивный, обязательный")</f>
        <v>императивный, обязательный</v>
      </c>
      <c r="I1854" s="8" t="str">
        <f>IFERROR(__xludf.DUMMYFUNCTION("GOOGLETRANSLATE(C1854, ""en"", ""ar"")"),"إلزامي، قاطع")</f>
        <v>إلزامي، قاطع</v>
      </c>
      <c r="J1854" s="8"/>
      <c r="K1854" s="7" t="str">
        <f>IFERROR(__xludf.DUMMYFUNCTION("CONCAT(REGEXREPLACE(C1854,""[ ,]+"",""_""),"".mp3"")"),"peremptory_mandatory.mp3")</f>
        <v>peremptory_mandatory.mp3</v>
      </c>
      <c r="M1854" s="4" t="s">
        <v>10</v>
      </c>
    </row>
    <row r="1855" ht="15.75" customHeight="1">
      <c r="A1855" s="1">
        <v>3223.0</v>
      </c>
      <c r="B1855" s="3">
        <v>155.0</v>
      </c>
      <c r="C1855" s="7" t="s">
        <v>1536</v>
      </c>
      <c r="D1855" s="8" t="str">
        <f>IFERROR(__xludf.DUMMYFUNCTION("GOOGLETRANSLATE(C1855, ""en"", ""pt"")"),"poderoso, forte")</f>
        <v>poderoso, forte</v>
      </c>
      <c r="E1855" s="8" t="str">
        <f>IFERROR(__xludf.DUMMYFUNCTION("GOOGLETRANSLATE(C1855, ""en"", ""es"")"),"potente, poderoso")</f>
        <v>potente, poderoso</v>
      </c>
      <c r="F1855" s="8" t="str">
        <f>IFERROR(__xludf.DUMMYFUNCTION("GOOGLETRANSLATE(C1855, ""en"", ""fr"")"),"puissant, puissant")</f>
        <v>puissant, puissant</v>
      </c>
      <c r="G1855" s="8" t="str">
        <f>IFERROR(__xludf.DUMMYFUNCTION("GOOGLETRANSLATE(C1855, ""en"", ""de"")"),"mächtig, kraftvoll")</f>
        <v>mächtig, kraftvoll</v>
      </c>
      <c r="H1855" s="8" t="str">
        <f>IFERROR(__xludf.DUMMYFUNCTION("GOOGLETRANSLATE(C1855, ""en"", ""ru"")"),"мощный, сильный")</f>
        <v>мощный, сильный</v>
      </c>
      <c r="I1855" s="8" t="str">
        <f>IFERROR(__xludf.DUMMYFUNCTION("GOOGLETRANSLATE(C1855, ""en"", ""ar"")"),"قوي، جبار")</f>
        <v>قوي، جبار</v>
      </c>
      <c r="J1855" s="8"/>
      <c r="K1855" s="7" t="str">
        <f>IFERROR(__xludf.DUMMYFUNCTION("CONCAT(REGEXREPLACE(C1855,""[ ,]+"",""_""),"".mp3"")"),"puissant_powerful.mp3")</f>
        <v>puissant_powerful.mp3</v>
      </c>
      <c r="M1855" s="4" t="s">
        <v>10</v>
      </c>
    </row>
    <row r="1856" ht="15.75" customHeight="1">
      <c r="A1856" s="1">
        <v>3224.0</v>
      </c>
      <c r="B1856" s="3">
        <v>155.0</v>
      </c>
      <c r="C1856" s="7" t="s">
        <v>1555</v>
      </c>
      <c r="D1856" s="8" t="str">
        <f>IFERROR(__xludf.DUMMYFUNCTION("GOOGLETRANSLATE(C1856, ""en"", ""pt"")"),"nervosismo, agitação")</f>
        <v>nervosismo, agitação</v>
      </c>
      <c r="E1856" s="8" t="str">
        <f>IFERROR(__xludf.DUMMYFUNCTION("GOOGLETRANSLATE(C1856, ""en"", ""es"")"),"nerviosismo, inquietud")</f>
        <v>nerviosismo, inquietud</v>
      </c>
      <c r="F1856" s="8" t="str">
        <f>IFERROR(__xludf.DUMMYFUNCTION("GOOGLETRANSLATE(C1856, ""en"", ""fr"")"),"tremblements, nervosité")</f>
        <v>tremblements, nervosité</v>
      </c>
      <c r="G1856" s="8" t="str">
        <f>IFERROR(__xludf.DUMMYFUNCTION("GOOGLETRANSLATE(C1856, ""en"", ""de"")"),"Nervosität, Aufregung")</f>
        <v>Nervosität, Aufregung</v>
      </c>
      <c r="H1856" s="8" t="str">
        <f>IFERROR(__xludf.DUMMYFUNCTION("GOOGLETRANSLATE(C1856, ""en"", ""ru"")"),"нервозность, волнение")</f>
        <v>нервозность, волнение</v>
      </c>
      <c r="I1856" s="8" t="str">
        <f>IFERROR(__xludf.DUMMYFUNCTION("GOOGLETRANSLATE(C1856, ""en"", ""ar"")"),"توتر وعصبية")</f>
        <v>توتر وعصبية</v>
      </c>
      <c r="J1856" s="8"/>
      <c r="K1856" s="7" t="str">
        <f>IFERROR(__xludf.DUMMYFUNCTION("CONCAT(REGEXREPLACE(C1856,""[ ,]+"",""_""),"".mp3"")"),"jitters_nervousness.mp3")</f>
        <v>jitters_nervousness.mp3</v>
      </c>
      <c r="M1856" s="4" t="s">
        <v>10</v>
      </c>
    </row>
    <row r="1857" ht="15.75" customHeight="1">
      <c r="A1857" s="1">
        <v>3225.0</v>
      </c>
      <c r="B1857" s="3">
        <v>155.0</v>
      </c>
      <c r="C1857" s="7" t="s">
        <v>1858</v>
      </c>
      <c r="D1857" s="8" t="str">
        <f>IFERROR(__xludf.DUMMYFUNCTION("GOOGLETRANSLATE(C1857, ""en"", ""pt"")"),"hesitar, hesitar")</f>
        <v>hesitar, hesitar</v>
      </c>
      <c r="E1857" s="8" t="str">
        <f>IFERROR(__xludf.DUMMYFUNCTION("GOOGLETRANSLATE(C1857, ""en"", ""es"")"),"titubear, dudar")</f>
        <v>titubear, dudar</v>
      </c>
      <c r="F1857" s="8" t="str">
        <f>IFERROR(__xludf.DUMMYFUNCTION("GOOGLETRANSLATE(C1857, ""en"", ""fr"")"),"hésiter, tergiverser")</f>
        <v>hésiter, tergiverser</v>
      </c>
      <c r="G1857" s="8" t="str">
        <f>IFERROR(__xludf.DUMMYFUNCTION("GOOGLETRANSLATE(C1857, ""en"", ""de"")"),"zögern, zögern")</f>
        <v>zögern, zögern</v>
      </c>
      <c r="H1857" s="8" t="str">
        <f>IFERROR(__xludf.DUMMYFUNCTION("GOOGLETRANSLATE(C1857, ""en"", ""ru"")"),"колебаться, сомневаться")</f>
        <v>колебаться, сомневаться</v>
      </c>
      <c r="I1857" s="8" t="str">
        <f>IFERROR(__xludf.DUMMYFUNCTION("GOOGLETRANSLATE(C1857, ""en"", ""ar"")"),"التردد، التلعثم")</f>
        <v>التردد، التلعثم</v>
      </c>
      <c r="J1857" s="8"/>
      <c r="K1857" s="7" t="str">
        <f>IFERROR(__xludf.DUMMYFUNCTION("CONCAT(REGEXREPLACE(C1857,""[ ,]+"",""_""),"".mp3"")"),"dither_hesitate.mp3")</f>
        <v>dither_hesitate.mp3</v>
      </c>
      <c r="M1857" s="4" t="s">
        <v>10</v>
      </c>
    </row>
    <row r="1858" ht="15.75" customHeight="1">
      <c r="A1858" s="1">
        <v>3226.0</v>
      </c>
      <c r="B1858" s="3">
        <v>155.0</v>
      </c>
      <c r="C1858" s="7" t="s">
        <v>1859</v>
      </c>
      <c r="D1858" s="8" t="str">
        <f>IFERROR(__xludf.DUMMYFUNCTION("GOOGLETRANSLATE(C1858, ""en"", ""pt"")"),"tolo, insensato")</f>
        <v>tolo, insensato</v>
      </c>
      <c r="E1858" s="8" t="str">
        <f>IFERROR(__xludf.DUMMYFUNCTION("GOOGLETRANSLATE(C1858, ""en"", ""es"")"),"tonto, necio")</f>
        <v>tonto, necio</v>
      </c>
      <c r="F1858" s="8" t="str">
        <f>IFERROR(__xludf.DUMMYFUNCTION("GOOGLETRANSLATE(C1858, ""en"", ""fr"")"),"stupide, idiot")</f>
        <v>stupide, idiot</v>
      </c>
      <c r="G1858" s="8" t="str">
        <f>IFERROR(__xludf.DUMMYFUNCTION("GOOGLETRANSLATE(C1858, ""en"", ""de"")"),"dumm, töricht")</f>
        <v>dumm, töricht</v>
      </c>
      <c r="H1858" s="8" t="str">
        <f>IFERROR(__xludf.DUMMYFUNCTION("GOOGLETRANSLATE(C1858, ""en"", ""ru"")"),"глупый, безрассудный")</f>
        <v>глупый, безрассудный</v>
      </c>
      <c r="I1858" s="8" t="str">
        <f>IFERROR(__xludf.DUMMYFUNCTION("GOOGLETRANSLATE(C1858, ""en"", ""ar"")"),"أحمق، غبي")</f>
        <v>أحمق، غبي</v>
      </c>
      <c r="J1858" s="8"/>
      <c r="K1858" s="7" t="str">
        <f>IFERROR(__xludf.DUMMYFUNCTION("CONCAT(REGEXREPLACE(C1858,""[ ,]+"",""_""),"".mp3"")"),"daft_foolish.mp3")</f>
        <v>daft_foolish.mp3</v>
      </c>
      <c r="M1858" s="4" t="s">
        <v>10</v>
      </c>
    </row>
    <row r="1859" ht="15.75" customHeight="1">
      <c r="A1859" s="1">
        <v>3227.0</v>
      </c>
      <c r="B1859" s="3">
        <v>155.0</v>
      </c>
      <c r="C1859" s="7" t="s">
        <v>1860</v>
      </c>
      <c r="D1859" s="8" t="str">
        <f>IFERROR(__xludf.DUMMYFUNCTION("GOOGLETRANSLATE(C1859, ""en"", ""pt"")"),"queixa, reclamação")</f>
        <v>queixa, reclamação</v>
      </c>
      <c r="E1859" s="8" t="str">
        <f>IFERROR(__xludf.DUMMYFUNCTION("GOOGLETRANSLATE(C1859, ""en"", ""es"")"),"quejarse, protestar")</f>
        <v>quejarse, protestar</v>
      </c>
      <c r="F1859" s="8" t="str">
        <f>IFERROR(__xludf.DUMMYFUNCTION("GOOGLETRANSLATE(C1859, ""en"", ""fr"")"),"se plaindre, gémir")</f>
        <v>se plaindre, gémir</v>
      </c>
      <c r="G1859" s="8" t="str">
        <f>IFERROR(__xludf.DUMMYFUNCTION("GOOGLETRANSLATE(C1859, ""en"", ""de"")"),"meckern, sich beschweren")</f>
        <v>meckern, sich beschweren</v>
      </c>
      <c r="H1859" s="8" t="str">
        <f>IFERROR(__xludf.DUMMYFUNCTION("GOOGLETRANSLATE(C1859, ""en"", ""ru"")"),"ворчать, жаловаться")</f>
        <v>ворчать, жаловаться</v>
      </c>
      <c r="I1859" s="8" t="str">
        <f>IFERROR(__xludf.DUMMYFUNCTION("GOOGLETRANSLATE(C1859, ""en"", ""ar"")"),"التذمر، الشكوى")</f>
        <v>التذمر، الشكوى</v>
      </c>
      <c r="J1859" s="8"/>
      <c r="K1859" s="7" t="str">
        <f>IFERROR(__xludf.DUMMYFUNCTION("CONCAT(REGEXREPLACE(C1859,""[ ,]+"",""_""),"".mp3"")"),"gripe_complain.mp3")</f>
        <v>gripe_complain.mp3</v>
      </c>
      <c r="M1859" s="4" t="s">
        <v>10</v>
      </c>
    </row>
    <row r="1860" ht="15.75" customHeight="1">
      <c r="A1860" s="1">
        <v>3228.0</v>
      </c>
      <c r="B1860" s="3">
        <v>155.0</v>
      </c>
      <c r="C1860" s="7" t="s">
        <v>1861</v>
      </c>
      <c r="D1860" s="8" t="str">
        <f>IFERROR(__xludf.DUMMYFUNCTION("GOOGLETRANSLATE(C1860, ""en"", ""pt"")"),"profanar, desrespeitar")</f>
        <v>profanar, desrespeitar</v>
      </c>
      <c r="E1860" s="8" t="str">
        <f>IFERROR(__xludf.DUMMYFUNCTION("GOOGLETRANSLATE(C1860, ""en"", ""es"")"),"profanar, faltar al respeto")</f>
        <v>profanar, faltar al respeto</v>
      </c>
      <c r="F1860" s="8" t="str">
        <f>IFERROR(__xludf.DUMMYFUNCTION("GOOGLETRANSLATE(C1860, ""en"", ""fr"")"),"souiller, manquer de respect")</f>
        <v>souiller, manquer de respect</v>
      </c>
      <c r="G1860" s="8" t="str">
        <f>IFERROR(__xludf.DUMMYFUNCTION("GOOGLETRANSLATE(C1860, ""en"", ""de"")"),"entweihen, respektlos behandeln")</f>
        <v>entweihen, respektlos behandeln</v>
      </c>
      <c r="H1860" s="8" t="str">
        <f>IFERROR(__xludf.DUMMYFUNCTION("GOOGLETRANSLATE(C1860, ""en"", ""ru"")"),"осквернить, проявить неуважение")</f>
        <v>осквернить, проявить неуважение</v>
      </c>
      <c r="I1860" s="8" t="str">
        <f>IFERROR(__xludf.DUMMYFUNCTION("GOOGLETRANSLATE(C1860, ""en"", ""ar"")"),"تدنيس، عدم احترام")</f>
        <v>تدنيس، عدم احترام</v>
      </c>
      <c r="J1860" s="8"/>
      <c r="K1860" s="7" t="str">
        <f>IFERROR(__xludf.DUMMYFUNCTION("CONCAT(REGEXREPLACE(C1860,""[ ,]+"",""_""),"".mp3"")"),"defile_disrespect.mp3")</f>
        <v>defile_disrespect.mp3</v>
      </c>
      <c r="M1860" s="4" t="s">
        <v>10</v>
      </c>
    </row>
    <row r="1861" ht="15.75" customHeight="1">
      <c r="A1861" s="1">
        <v>3229.0</v>
      </c>
      <c r="B1861" s="3">
        <v>155.0</v>
      </c>
      <c r="C1861" s="7" t="s">
        <v>1862</v>
      </c>
      <c r="D1861" s="8" t="str">
        <f>IFERROR(__xludf.DUMMYFUNCTION("GOOGLETRANSLATE(C1861, ""en"", ""pt"")"),"fedorento, fétido")</f>
        <v>fedorento, fétido</v>
      </c>
      <c r="E1861" s="8" t="str">
        <f>IFERROR(__xludf.DUMMYFUNCTION("GOOGLETRANSLATE(C1861, ""en"", ""es"")"),"nocivo, fétido")</f>
        <v>nocivo, fétido</v>
      </c>
      <c r="F1861" s="8" t="str">
        <f>IFERROR(__xludf.DUMMYFUNCTION("GOOGLETRANSLATE(C1861, ""en"", ""fr"")"),"nauséabond, fétide")</f>
        <v>nauséabond, fétide</v>
      </c>
      <c r="G1861" s="8" t="str">
        <f>IFERROR(__xludf.DUMMYFUNCTION("GOOGLETRANSLATE(C1861, ""en"", ""de"")"),"widerlich, stinkend")</f>
        <v>widerlich, stinkend</v>
      </c>
      <c r="H1861" s="8" t="str">
        <f>IFERROR(__xludf.DUMMYFUNCTION("GOOGLETRANSLATE(C1861, ""en"", ""ru"")"),"зловонный, отвратительный")</f>
        <v>зловонный, отвратительный</v>
      </c>
      <c r="I1861" s="8" t="str">
        <f>IFERROR(__xludf.DUMMYFUNCTION("GOOGLETRANSLATE(C1861, ""en"", ""ar"")"),"كريه الرائحة، نتنة")</f>
        <v>كريه الرائحة، نتنة</v>
      </c>
      <c r="J1861" s="8"/>
      <c r="K1861" s="7" t="str">
        <f>IFERROR(__xludf.DUMMYFUNCTION("CONCAT(REGEXREPLACE(C1861,""[ ,]+"",""_""),"".mp3"")"),"noisome_fetid.mp3")</f>
        <v>noisome_fetid.mp3</v>
      </c>
      <c r="M1861" s="4" t="s">
        <v>10</v>
      </c>
    </row>
    <row r="1862" ht="15.75" customHeight="1">
      <c r="A1862" s="1">
        <v>3230.0</v>
      </c>
      <c r="B1862" s="3">
        <v>155.0</v>
      </c>
      <c r="C1862" s="7" t="s">
        <v>1863</v>
      </c>
      <c r="D1862" s="8" t="str">
        <f>IFERROR(__xludf.DUMMYFUNCTION("GOOGLETRANSLATE(C1862, ""en"", ""pt"")"),"penúltimo, penúltimo")</f>
        <v>penúltimo, penúltimo</v>
      </c>
      <c r="E1862" s="8" t="str">
        <f>IFERROR(__xludf.DUMMYFUNCTION("GOOGLETRANSLATE(C1862, ""en"", ""es"")"),"penúltimo, segundo último")</f>
        <v>penúltimo, segundo último</v>
      </c>
      <c r="F1862" s="8" t="str">
        <f>IFERROR(__xludf.DUMMYFUNCTION("GOOGLETRANSLATE(C1862, ""en"", ""fr"")"),"avant-dernier, avant-dernier")</f>
        <v>avant-dernier, avant-dernier</v>
      </c>
      <c r="G1862" s="8" t="str">
        <f>IFERROR(__xludf.DUMMYFUNCTION("GOOGLETRANSLATE(C1862, ""en"", ""de"")"),"vorletzter, zweiter letzter")</f>
        <v>vorletzter, zweiter letzter</v>
      </c>
      <c r="H1862" s="8" t="str">
        <f>IFERROR(__xludf.DUMMYFUNCTION("GOOGLETRANSLATE(C1862, ""en"", ""ru"")"),"предпоследний, второй с конца")</f>
        <v>предпоследний, второй с конца</v>
      </c>
      <c r="I1862" s="8" t="str">
        <f>IFERROR(__xludf.DUMMYFUNCTION("GOOGLETRANSLATE(C1862, ""en"", ""ar"")"),"قبل الأخير، قبل الأخير")</f>
        <v>قبل الأخير، قبل الأخير</v>
      </c>
      <c r="J1862" s="8"/>
      <c r="K1862" s="7" t="str">
        <f>IFERROR(__xludf.DUMMYFUNCTION("CONCAT(REGEXREPLACE(C1862,""[ ,]+"",""_""),"".mp3"")"),"penultimate_second_last.mp3")</f>
        <v>penultimate_second_last.mp3</v>
      </c>
      <c r="M1862" s="4" t="s">
        <v>10</v>
      </c>
    </row>
    <row r="1863" ht="15.75" customHeight="1">
      <c r="A1863" s="1">
        <v>3231.0</v>
      </c>
      <c r="B1863" s="3">
        <v>155.0</v>
      </c>
      <c r="C1863" s="7" t="s">
        <v>1864</v>
      </c>
      <c r="D1863" s="8" t="str">
        <f>IFERROR(__xludf.DUMMYFUNCTION("GOOGLETRANSLATE(C1863, ""en"", ""pt"")"),"importante, crucial")</f>
        <v>importante, crucial</v>
      </c>
      <c r="E1863" s="8" t="str">
        <f>IFERROR(__xludf.DUMMYFUNCTION("GOOGLETRANSLATE(C1863, ""en"", ""es"")"),"trascendental, importante")</f>
        <v>trascendental, importante</v>
      </c>
      <c r="F1863" s="8" t="str">
        <f>IFERROR(__xludf.DUMMYFUNCTION("GOOGLETRANSLATE(C1863, ""en"", ""fr"")"),"capital, important")</f>
        <v>capital, important</v>
      </c>
      <c r="G1863" s="8" t="str">
        <f>IFERROR(__xludf.DUMMYFUNCTION("GOOGLETRANSLATE(C1863, ""en"", ""de"")"),"bedeutsam, wichtig")</f>
        <v>bedeutsam, wichtig</v>
      </c>
      <c r="H1863" s="8" t="str">
        <f>IFERROR(__xludf.DUMMYFUNCTION("GOOGLETRANSLATE(C1863, ""en"", ""ru"")"),"знаменательный, важный")</f>
        <v>знаменательный, важный</v>
      </c>
      <c r="I1863" s="8" t="str">
        <f>IFERROR(__xludf.DUMMYFUNCTION("GOOGLETRANSLATE(C1863, ""en"", ""ar"")"),"هام، بالغ الأهمية")</f>
        <v>هام، بالغ الأهمية</v>
      </c>
      <c r="J1863" s="8"/>
      <c r="K1863" s="7" t="str">
        <f>IFERROR(__xludf.DUMMYFUNCTION("CONCAT(REGEXREPLACE(C1863,""[ ,]+"",""_""),"".mp3"")"),"momentous_important.mp3")</f>
        <v>momentous_important.mp3</v>
      </c>
      <c r="M1863" s="4" t="s">
        <v>10</v>
      </c>
    </row>
    <row r="1864" ht="15.75" customHeight="1">
      <c r="A1864" s="1">
        <v>3232.0</v>
      </c>
      <c r="B1864" s="3">
        <v>155.0</v>
      </c>
      <c r="C1864" s="7" t="s">
        <v>1865</v>
      </c>
      <c r="D1864" s="8" t="str">
        <f>IFERROR(__xludf.DUMMYFUNCTION("GOOGLETRANSLATE(C1864, ""en"", ""pt"")"),"eufemismo, termo educado")</f>
        <v>eufemismo, termo educado</v>
      </c>
      <c r="E1864" s="8" t="str">
        <f>IFERROR(__xludf.DUMMYFUNCTION("GOOGLETRANSLATE(C1864, ""en"", ""es"")"),"eufemismo, término cortés")</f>
        <v>eufemismo, término cortés</v>
      </c>
      <c r="F1864" s="8" t="str">
        <f>IFERROR(__xludf.DUMMYFUNCTION("GOOGLETRANSLATE(C1864, ""en"", ""fr"")"),"euphémisme, terme poli")</f>
        <v>euphémisme, terme poli</v>
      </c>
      <c r="G1864" s="8" t="str">
        <f>IFERROR(__xludf.DUMMYFUNCTION("GOOGLETRANSLATE(C1864, ""en"", ""de"")"),"Euphemismus, höfliche Bezeichnung")</f>
        <v>Euphemismus, höfliche Bezeichnung</v>
      </c>
      <c r="H1864" s="8" t="str">
        <f>IFERROR(__xludf.DUMMYFUNCTION("GOOGLETRANSLATE(C1864, ""en"", ""ru"")"),"эвфемизм, вежливый термин")</f>
        <v>эвфемизм, вежливый термин</v>
      </c>
      <c r="I1864" s="8" t="str">
        <f>IFERROR(__xludf.DUMMYFUNCTION("GOOGLETRANSLATE(C1864, ""en"", ""ar"")"),"التعبير الملطف، مصطلح مهذب")</f>
        <v>التعبير الملطف، مصطلح مهذب</v>
      </c>
      <c r="J1864" s="8"/>
      <c r="K1864" s="7" t="str">
        <f>IFERROR(__xludf.DUMMYFUNCTION("CONCAT(REGEXREPLACE(C1864,""[ ,]+"",""_""),"".mp3"")"),"euphemism_polite_term.mp3")</f>
        <v>euphemism_polite_term.mp3</v>
      </c>
      <c r="M1864" s="4" t="s">
        <v>10</v>
      </c>
    </row>
    <row r="1865" ht="15.75" customHeight="1">
      <c r="A1865" s="1">
        <v>3233.0</v>
      </c>
      <c r="B1865" s="3">
        <v>155.0</v>
      </c>
      <c r="C1865" s="7" t="s">
        <v>1866</v>
      </c>
      <c r="D1865" s="8" t="str">
        <f>IFERROR(__xludf.DUMMYFUNCTION("GOOGLETRANSLATE(C1865, ""en"", ""pt"")"),"invasão, intrusão")</f>
        <v>invasão, intrusão</v>
      </c>
      <c r="E1865" s="8" t="str">
        <f>IFERROR(__xludf.DUMMYFUNCTION("GOOGLETRANSLATE(C1865, ""en"", ""es"")"),"invasión, intrusión")</f>
        <v>invasión, intrusión</v>
      </c>
      <c r="F1865" s="8" t="str">
        <f>IFERROR(__xludf.DUMMYFUNCTION("GOOGLETRANSLATE(C1865, ""en"", ""fr"")"),"empiètement, intrusion")</f>
        <v>empiètement, intrusion</v>
      </c>
      <c r="G1865" s="8" t="str">
        <f>IFERROR(__xludf.DUMMYFUNCTION("GOOGLETRANSLATE(C1865, ""en"", ""de"")"),"Übergriff, Eindringen")</f>
        <v>Übergriff, Eindringen</v>
      </c>
      <c r="H1865" s="8" t="str">
        <f>IFERROR(__xludf.DUMMYFUNCTION("GOOGLETRANSLATE(C1865, ""en"", ""ru"")"),"посягательство, вторжение")</f>
        <v>посягательство, вторжение</v>
      </c>
      <c r="I1865" s="8" t="str">
        <f>IFERROR(__xludf.DUMMYFUNCTION("GOOGLETRANSLATE(C1865, ""en"", ""ar"")"),"التعدي، الاقتحام")</f>
        <v>التعدي، الاقتحام</v>
      </c>
      <c r="J1865" s="8"/>
      <c r="K1865" s="7" t="str">
        <f>IFERROR(__xludf.DUMMYFUNCTION("CONCAT(REGEXREPLACE(C1865,""[ ,]+"",""_""),"".mp3"")"),"encroachment_intrusion.mp3")</f>
        <v>encroachment_intrusion.mp3</v>
      </c>
      <c r="M1865" s="4" t="s">
        <v>10</v>
      </c>
    </row>
    <row r="1866" ht="15.75" customHeight="1">
      <c r="A1866" s="1">
        <v>3234.0</v>
      </c>
      <c r="B1866" s="3">
        <v>155.0</v>
      </c>
      <c r="C1866" s="7" t="s">
        <v>1867</v>
      </c>
      <c r="D1866" s="8" t="str">
        <f>IFERROR(__xludf.DUMMYFUNCTION("GOOGLETRANSLATE(C1866, ""en"", ""pt"")"),"diminuir, enfraquecer")</f>
        <v>diminuir, enfraquecer</v>
      </c>
      <c r="E1866" s="8" t="str">
        <f>IFERROR(__xludf.DUMMYFUNCTION("GOOGLETRANSLATE(C1866, ""en"", ""es"")"),"menguar, debilitarse")</f>
        <v>menguar, debilitarse</v>
      </c>
      <c r="F1866" s="8" t="str">
        <f>IFERROR(__xludf.DUMMYFUNCTION("GOOGLETRANSLATE(C1866, ""en"", ""fr"")"),"s'affaiblir, s'affaiblir")</f>
        <v>s'affaiblir, s'affaiblir</v>
      </c>
      <c r="G1866" s="8" t="str">
        <f>IFERROR(__xludf.DUMMYFUNCTION("GOOGLETRANSLATE(C1866, ""en"", ""de"")"),"abebben, schwach werden")</f>
        <v>abebben, schwach werden</v>
      </c>
      <c r="H1866" s="8" t="str">
        <f>IFERROR(__xludf.DUMMYFUNCTION("GOOGLETRANSLATE(C1866, ""en"", ""ru"")"),"отлив, слабеть")</f>
        <v>отлив, слабеть</v>
      </c>
      <c r="I1866" s="8" t="str">
        <f>IFERROR(__xludf.DUMMYFUNCTION("GOOGLETRANSLATE(C1866, ""en"", ""ar"")"),"يتراجع، يضعف")</f>
        <v>يتراجع، يضعف</v>
      </c>
      <c r="J1866" s="8"/>
      <c r="K1866" s="7" t="str">
        <f>IFERROR(__xludf.DUMMYFUNCTION("CONCAT(REGEXREPLACE(C1866,""[ ,]+"",""_""),"".mp3"")"),"ebb_grow_weak.mp3")</f>
        <v>ebb_grow_weak.mp3</v>
      </c>
      <c r="M1866" s="4" t="s">
        <v>10</v>
      </c>
    </row>
    <row r="1867" ht="15.75" customHeight="1">
      <c r="A1867" s="1">
        <v>3235.0</v>
      </c>
      <c r="B1867" s="3">
        <v>155.0</v>
      </c>
      <c r="C1867" s="7" t="s">
        <v>1868</v>
      </c>
      <c r="D1867" s="8" t="str">
        <f>IFERROR(__xludf.DUMMYFUNCTION("GOOGLETRANSLATE(C1867, ""en"", ""pt"")"),"escutar às escondidas, ouvir secretamente")</f>
        <v>escutar às escondidas, ouvir secretamente</v>
      </c>
      <c r="E1867" s="8" t="str">
        <f>IFERROR(__xludf.DUMMYFUNCTION("GOOGLETRANSLATE(C1867, ""en"", ""es"")"),"escuchar a escondidas, oír en secreto")</f>
        <v>escuchar a escondidas, oír en secreto</v>
      </c>
      <c r="F1867" s="8" t="str">
        <f>IFERROR(__xludf.DUMMYFUNCTION("GOOGLETRANSLATE(C1867, ""en"", ""fr"")"),"écouter aux portes, écouter secrètement")</f>
        <v>écouter aux portes, écouter secrètement</v>
      </c>
      <c r="G1867" s="8" t="str">
        <f>IFERROR(__xludf.DUMMYFUNCTION("GOOGLETRANSLATE(C1867, ""en"", ""de"")"),"lauschen, heimlich abhören")</f>
        <v>lauschen, heimlich abhören</v>
      </c>
      <c r="H1867" s="8" t="str">
        <f>IFERROR(__xludf.DUMMYFUNCTION("GOOGLETRANSLATE(C1867, ""en"", ""ru"")"),"подслушивать, слушать тайком")</f>
        <v>подслушивать, слушать тайком</v>
      </c>
      <c r="I1867" s="8" t="str">
        <f>IFERROR(__xludf.DUMMYFUNCTION("GOOGLETRANSLATE(C1867, ""en"", ""ar"")"),"تنصت، استمع سراً")</f>
        <v>تنصت، استمع سراً</v>
      </c>
      <c r="J1867" s="8"/>
      <c r="K1867" s="7" t="str">
        <f>IFERROR(__xludf.DUMMYFUNCTION("CONCAT(REGEXREPLACE(C1867,""[ ,]+"",""_""),"".mp3"")"),"eavesdrop_listen_secretly.mp3")</f>
        <v>eavesdrop_listen_secretly.mp3</v>
      </c>
      <c r="M1867" s="4" t="s">
        <v>10</v>
      </c>
    </row>
    <row r="1868" ht="15.75" customHeight="1">
      <c r="A1868" s="1">
        <v>3236.0</v>
      </c>
      <c r="B1868" s="3">
        <v>155.0</v>
      </c>
      <c r="C1868" s="7" t="s">
        <v>1869</v>
      </c>
      <c r="D1868" s="8" t="str">
        <f>IFERROR(__xludf.DUMMYFUNCTION("GOOGLETRANSLATE(C1868, ""en"", ""pt"")"),"pântano, terreno alagado")</f>
        <v>pântano, terreno alagado</v>
      </c>
      <c r="E1868" s="8" t="str">
        <f>IFERROR(__xludf.DUMMYFUNCTION("GOOGLETRANSLATE(C1868, ""en"", ""es"")"),"pantano, terreno pantanoso")</f>
        <v>pantano, terreno pantanoso</v>
      </c>
      <c r="F1868" s="8" t="str">
        <f>IFERROR(__xludf.DUMMYFUNCTION("GOOGLETRANSLATE(C1868, ""en"", ""fr"")"),"marais, terrain marécageux")</f>
        <v>marais, terrain marécageux</v>
      </c>
      <c r="G1868" s="8" t="str">
        <f>IFERROR(__xludf.DUMMYFUNCTION("GOOGLETRANSLATE(C1868, ""en"", ""de"")"),"Moor, sumpfiges Land")</f>
        <v>Moor, sumpfiges Land</v>
      </c>
      <c r="H1868" s="8" t="str">
        <f>IFERROR(__xludf.DUMMYFUNCTION("GOOGLETRANSLATE(C1868, ""en"", ""ru"")"),"болото, заболоченная местность")</f>
        <v>болото, заболоченная местность</v>
      </c>
      <c r="I1868" s="8" t="str">
        <f>IFERROR(__xludf.DUMMYFUNCTION("GOOGLETRANSLATE(C1868, ""en"", ""ar"")"),"أرض مستنقعية، أرض موحلة")</f>
        <v>أرض مستنقعية، أرض موحلة</v>
      </c>
      <c r="J1868" s="8"/>
      <c r="K1868" s="7" t="str">
        <f>IFERROR(__xludf.DUMMYFUNCTION("CONCAT(REGEXREPLACE(C1868,""[ ,]+"",""_""),"".mp3"")"),"morass_marshy_land.mp3")</f>
        <v>morass_marshy_land.mp3</v>
      </c>
      <c r="M1868" s="4" t="s">
        <v>10</v>
      </c>
    </row>
    <row r="1869" ht="15.75" customHeight="1">
      <c r="A1869" s="1">
        <v>3237.0</v>
      </c>
      <c r="B1869" s="3">
        <v>155.0</v>
      </c>
      <c r="C1869" s="7" t="s">
        <v>1870</v>
      </c>
      <c r="D1869" s="8" t="str">
        <f>IFERROR(__xludf.DUMMYFUNCTION("GOOGLETRANSLATE(C1869, ""en"", ""pt"")"),"pântano, terreno alagado")</f>
        <v>pântano, terreno alagado</v>
      </c>
      <c r="E1869" s="8" t="str">
        <f>IFERROR(__xludf.DUMMYFUNCTION("GOOGLETRANSLATE(C1869, ""en"", ""es"")"),"pantano, terreno pantanoso")</f>
        <v>pantano, terreno pantanoso</v>
      </c>
      <c r="F1869" s="8" t="str">
        <f>IFERROR(__xludf.DUMMYFUNCTION("GOOGLETRANSLATE(C1869, ""en"", ""fr"")"),"marais, terrain marécageux")</f>
        <v>marais, terrain marécageux</v>
      </c>
      <c r="G1869" s="8" t="str">
        <f>IFERROR(__xludf.DUMMYFUNCTION("GOOGLETRANSLATE(C1869, ""en"", ""de"")"),"Sumpf, sumpfiges Land")</f>
        <v>Sumpf, sumpfiges Land</v>
      </c>
      <c r="H1869" s="8" t="str">
        <f>IFERROR(__xludf.DUMMYFUNCTION("GOOGLETRANSLATE(C1869, ""en"", ""ru"")"),"болото, заболоченная местность")</f>
        <v>болото, заболоченная местность</v>
      </c>
      <c r="I1869" s="8" t="str">
        <f>IFERROR(__xludf.DUMMYFUNCTION("GOOGLETRANSLATE(C1869, ""en"", ""ar"")"),"مستنقع، أرض موحلة")</f>
        <v>مستنقع، أرض موحلة</v>
      </c>
      <c r="J1869" s="8"/>
      <c r="K1869" s="7" t="str">
        <f>IFERROR(__xludf.DUMMYFUNCTION("CONCAT(REGEXREPLACE(C1869,""[ ,]+"",""_""),"".mp3"")"),"swamp_marshy_land.mp3")</f>
        <v>swamp_marshy_land.mp3</v>
      </c>
      <c r="M1869" s="4" t="s">
        <v>10</v>
      </c>
    </row>
    <row r="1870" ht="15.75" customHeight="1">
      <c r="A1870" s="1">
        <v>3238.0</v>
      </c>
      <c r="B1870" s="3">
        <v>155.0</v>
      </c>
      <c r="C1870" s="7" t="s">
        <v>1871</v>
      </c>
      <c r="D1870" s="8" t="str">
        <f>IFERROR(__xludf.DUMMYFUNCTION("GOOGLETRANSLATE(C1870, ""en"", ""pt"")"),"engrandecer, elogiar")</f>
        <v>engrandecer, elogiar</v>
      </c>
      <c r="E1870" s="8" t="str">
        <f>IFERROR(__xludf.DUMMYFUNCTION("GOOGLETRANSLATE(C1870, ""en"", ""es"")"),"engrandecer, alabar")</f>
        <v>engrandecer, alabar</v>
      </c>
      <c r="F1870" s="8" t="str">
        <f>IFERROR(__xludf.DUMMYFUNCTION("GOOGLETRANSLATE(C1870, ""en"", ""fr"")"),"glorifier, louer")</f>
        <v>glorifier, louer</v>
      </c>
      <c r="G1870" s="8" t="str">
        <f>IFERROR(__xludf.DUMMYFUNCTION("GOOGLETRANSLATE(C1870, ""en"", ""de"")"),"verherrlichen, loben")</f>
        <v>verherrlichen, loben</v>
      </c>
      <c r="H1870" s="8" t="str">
        <f>IFERROR(__xludf.DUMMYFUNCTION("GOOGLETRANSLATE(C1870, ""en"", ""ru"")"),"преувеличивать, хвалить")</f>
        <v>преувеличивать, хвалить</v>
      </c>
      <c r="I1870" s="8" t="str">
        <f>IFERROR(__xludf.DUMMYFUNCTION("GOOGLETRANSLATE(C1870, ""en"", ""ar"")"),"تضخيم، مدح")</f>
        <v>تضخيم، مدح</v>
      </c>
      <c r="J1870" s="8"/>
      <c r="K1870" s="7" t="str">
        <f>IFERROR(__xludf.DUMMYFUNCTION("CONCAT(REGEXREPLACE(C1870,""[ ,]+"",""_""),"".mp3"")"),"aggrandize_praise.mp3")</f>
        <v>aggrandize_praise.mp3</v>
      </c>
      <c r="M1870" s="4" t="s">
        <v>10</v>
      </c>
    </row>
    <row r="1871" ht="15.75" customHeight="1">
      <c r="A1871" s="1">
        <v>3239.0</v>
      </c>
      <c r="B1871" s="3">
        <v>155.0</v>
      </c>
      <c r="C1871" s="7" t="s">
        <v>1872</v>
      </c>
      <c r="D1871" s="8" t="str">
        <f>IFERROR(__xludf.DUMMYFUNCTION("GOOGLETRANSLATE(C1871, ""en"", ""pt"")"),"ácido, amargo")</f>
        <v>ácido, amargo</v>
      </c>
      <c r="E1871" s="8" t="str">
        <f>IFERROR(__xludf.DUMMYFUNCTION("GOOGLETRANSLATE(C1871, ""en"", ""es"")"),"ácido, amargo")</f>
        <v>ácido, amargo</v>
      </c>
      <c r="F1871" s="8" t="str">
        <f>IFERROR(__xludf.DUMMYFUNCTION("GOOGLETRANSLATE(C1871, ""en"", ""fr"")"),"acerbe, amer")</f>
        <v>acerbe, amer</v>
      </c>
      <c r="G1871" s="8" t="str">
        <f>IFERROR(__xludf.DUMMYFUNCTION("GOOGLETRANSLATE(C1871, ""en"", ""de"")"),"scharf, bitter")</f>
        <v>scharf, bitter</v>
      </c>
      <c r="H1871" s="8" t="str">
        <f>IFERROR(__xludf.DUMMYFUNCTION("GOOGLETRANSLATE(C1871, ""en"", ""ru"")"),"едкий, горький")</f>
        <v>едкий, горький</v>
      </c>
      <c r="I1871" s="8" t="str">
        <f>IFERROR(__xludf.DUMMYFUNCTION("GOOGLETRANSLATE(C1871, ""en"", ""ar"")"),"لاذع، مر")</f>
        <v>لاذع، مر</v>
      </c>
      <c r="J1871" s="8"/>
      <c r="K1871" s="7" t="str">
        <f>IFERROR(__xludf.DUMMYFUNCTION("CONCAT(REGEXREPLACE(C1871,""[ ,]+"",""_""),"".mp3"")"),"acerbic_bitter.mp3")</f>
        <v>acerbic_bitter.mp3</v>
      </c>
      <c r="M1871" s="4" t="s">
        <v>10</v>
      </c>
    </row>
    <row r="1872" ht="15.75" customHeight="1">
      <c r="A1872" s="1">
        <v>3240.0</v>
      </c>
      <c r="B1872" s="3">
        <v>155.0</v>
      </c>
      <c r="C1872" s="7" t="s">
        <v>1873</v>
      </c>
      <c r="D1872" s="8" t="str">
        <f>IFERROR(__xludf.DUMMYFUNCTION("GOOGLETRANSLATE(C1872, ""en"", ""pt"")"),"impermeável, à prova d'água")</f>
        <v>impermeável, à prova d'água</v>
      </c>
      <c r="E1872" s="8" t="str">
        <f>IFERROR(__xludf.DUMMYFUNCTION("GOOGLETRANSLATE(C1872, ""en"", ""es"")"),"impermeable, resistente al agua")</f>
        <v>impermeable, resistente al agua</v>
      </c>
      <c r="F1872" s="8" t="str">
        <f>IFERROR(__xludf.DUMMYFUNCTION("GOOGLETRANSLATE(C1872, ""en"", ""fr"")"),"imperméable, étanche")</f>
        <v>imperméable, étanche</v>
      </c>
      <c r="G1872" s="8" t="str">
        <f>IFERROR(__xludf.DUMMYFUNCTION("GOOGLETRANSLATE(C1872, ""en"", ""de"")"),"undurchlässig, wasserdicht")</f>
        <v>undurchlässig, wasserdicht</v>
      </c>
      <c r="H1872" s="8" t="str">
        <f>IFERROR(__xludf.DUMMYFUNCTION("GOOGLETRANSLATE(C1872, ""en"", ""ru"")"),"непроницаемый, водонепроницаемый")</f>
        <v>непроницаемый, водонепроницаемый</v>
      </c>
      <c r="I1872" s="8" t="str">
        <f>IFERROR(__xludf.DUMMYFUNCTION("GOOGLETRANSLATE(C1872, ""en"", ""ar"")"),"غير منفذ للماء، مقاوم للماء")</f>
        <v>غير منفذ للماء، مقاوم للماء</v>
      </c>
      <c r="J1872" s="8"/>
      <c r="K1872" s="7" t="str">
        <f>IFERROR(__xludf.DUMMYFUNCTION("CONCAT(REGEXREPLACE(C1872,""[ ,]+"",""_""),"".mp3"")"),"impervious_waterproof.mp3")</f>
        <v>impervious_waterproof.mp3</v>
      </c>
      <c r="M1872" s="4" t="s">
        <v>10</v>
      </c>
    </row>
    <row r="1873" ht="15.75" customHeight="1">
      <c r="A1873" s="1">
        <v>3241.0</v>
      </c>
      <c r="B1873" s="3">
        <v>155.0</v>
      </c>
      <c r="C1873" s="7" t="s">
        <v>1874</v>
      </c>
      <c r="D1873" s="8" t="str">
        <f>IFERROR(__xludf.DUMMYFUNCTION("GOOGLETRANSLATE(C1873, ""en"", ""pt"")"),"desgosto, raiva")</f>
        <v>desgosto, raiva</v>
      </c>
      <c r="E1873" s="8" t="str">
        <f>IFERROR(__xludf.DUMMYFUNCTION("GOOGLETRANSLATE(C1873, ""en"", ""es"")"),"disgusto, ira")</f>
        <v>disgusto, ira</v>
      </c>
      <c r="F1873" s="8" t="str">
        <f>IFERROR(__xludf.DUMMYFUNCTION("GOOGLETRANSLATE(C1873, ""en"", ""fr"")"),"chagrin, colère")</f>
        <v>chagrin, colère</v>
      </c>
      <c r="G1873" s="8" t="str">
        <f>IFERROR(__xludf.DUMMYFUNCTION("GOOGLETRANSLATE(C1873, ""en"", ""de"")"),"Verdruss, Wut")</f>
        <v>Verdruss, Wut</v>
      </c>
      <c r="H1873" s="8" t="str">
        <f>IFERROR(__xludf.DUMMYFUNCTION("GOOGLETRANSLATE(C1873, ""en"", ""ru"")"),"досада, гнев")</f>
        <v>досада, гнев</v>
      </c>
      <c r="I1873" s="8" t="str">
        <f>IFERROR(__xludf.DUMMYFUNCTION("GOOGLETRANSLATE(C1873, ""en"", ""ar"")"),"خيبة أمل، غضب")</f>
        <v>خيبة أمل، غضب</v>
      </c>
      <c r="J1873" s="8"/>
      <c r="K1873" s="7" t="str">
        <f>IFERROR(__xludf.DUMMYFUNCTION("CONCAT(REGEXREPLACE(C1873,""[ ,]+"",""_""),"".mp3"")"),"chagrin_anger.mp3")</f>
        <v>chagrin_anger.mp3</v>
      </c>
      <c r="M1873" s="4" t="s">
        <v>10</v>
      </c>
    </row>
    <row r="1874" ht="15.75" customHeight="1">
      <c r="A1874" s="1">
        <v>3242.0</v>
      </c>
      <c r="B1874" s="3">
        <v>155.0</v>
      </c>
      <c r="C1874" s="7" t="s">
        <v>1875</v>
      </c>
      <c r="D1874" s="8" t="str">
        <f>IFERROR(__xludf.DUMMYFUNCTION("GOOGLETRANSLATE(C1874, ""en"", ""pt"")"),"enfadonho, tedioso")</f>
        <v>enfadonho, tedioso</v>
      </c>
      <c r="E1874" s="8" t="str">
        <f>IFERROR(__xludf.DUMMYFUNCTION("GOOGLETRANSLATE(C1874, ""en"", ""es"")"),"pesado, aburrido")</f>
        <v>pesado, aburrido</v>
      </c>
      <c r="F1874" s="8" t="str">
        <f>IFERROR(__xludf.DUMMYFUNCTION("GOOGLETRANSLATE(C1874, ""en"", ""fr"")"),"lourd, ennuyeux")</f>
        <v>lourd, ennuyeux</v>
      </c>
      <c r="G1874" s="8" t="str">
        <f>IFERROR(__xludf.DUMMYFUNCTION("GOOGLETRANSLATE(C1874, ""en"", ""de"")"),"schwerfällig, langweilig")</f>
        <v>schwerfällig, langweilig</v>
      </c>
      <c r="H1874" s="8" t="str">
        <f>IFERROR(__xludf.DUMMYFUNCTION("GOOGLETRANSLATE(C1874, ""en"", ""ru"")"),"неповоротливый, скучный")</f>
        <v>неповоротливый, скучный</v>
      </c>
      <c r="I1874" s="8" t="str">
        <f>IFERROR(__xludf.DUMMYFUNCTION("GOOGLETRANSLATE(C1874, ""en"", ""ar"")"),"رتيب، ممل")</f>
        <v>رتيب، ممل</v>
      </c>
      <c r="J1874" s="8"/>
      <c r="K1874" s="7" t="str">
        <f>IFERROR(__xludf.DUMMYFUNCTION("CONCAT(REGEXREPLACE(C1874,""[ ,]+"",""_""),"".mp3"")"),"stodgy_dull.mp3")</f>
        <v>stodgy_dull.mp3</v>
      </c>
      <c r="M1874" s="4" t="s">
        <v>10</v>
      </c>
    </row>
    <row r="1875" ht="15.75" customHeight="1">
      <c r="A1875" s="1">
        <v>3243.0</v>
      </c>
      <c r="B1875" s="3">
        <v>155.0</v>
      </c>
      <c r="C1875" s="7" t="s">
        <v>1876</v>
      </c>
      <c r="D1875" s="8" t="str">
        <f>IFERROR(__xludf.DUMMYFUNCTION("GOOGLETRANSLATE(C1875, ""en"", ""pt"")"),"abreviar, reduzir")</f>
        <v>abreviar, reduzir</v>
      </c>
      <c r="E1875" s="8" t="str">
        <f>IFERROR(__xludf.DUMMYFUNCTION("GOOGLETRANSLATE(C1875, ""en"", ""es"")"),"abreviar, reducir")</f>
        <v>abreviar, reducir</v>
      </c>
      <c r="F1875" s="8" t="str">
        <f>IFERROR(__xludf.DUMMYFUNCTION("GOOGLETRANSLATE(C1875, ""en"", ""fr"")"),"abréger, réduire")</f>
        <v>abréger, réduire</v>
      </c>
      <c r="G1875" s="8" t="str">
        <f>IFERROR(__xludf.DUMMYFUNCTION("GOOGLETRANSLATE(C1875, ""en"", ""de"")"),"kürzen, reduzieren")</f>
        <v>kürzen, reduzieren</v>
      </c>
      <c r="H1875" s="8" t="str">
        <f>IFERROR(__xludf.DUMMYFUNCTION("GOOGLETRANSLATE(C1875, ""en"", ""ru"")"),"сокращать, уменьшать")</f>
        <v>сокращать, уменьшать</v>
      </c>
      <c r="I1875" s="8" t="str">
        <f>IFERROR(__xludf.DUMMYFUNCTION("GOOGLETRANSLATE(C1875, ""en"", ""ar"")"),"اختصار، تقليل")</f>
        <v>اختصار، تقليل</v>
      </c>
      <c r="J1875" s="8"/>
      <c r="K1875" s="7" t="str">
        <f>IFERROR(__xludf.DUMMYFUNCTION("CONCAT(REGEXREPLACE(C1875,""[ ,]+"",""_""),"".mp3"")"),"abridge_reduce.mp3")</f>
        <v>abridge_reduce.mp3</v>
      </c>
      <c r="M1875" s="4" t="s">
        <v>10</v>
      </c>
    </row>
    <row r="1876" ht="15.75" customHeight="1">
      <c r="A1876" s="1">
        <v>3244.0</v>
      </c>
      <c r="B1876" s="3">
        <v>155.0</v>
      </c>
      <c r="C1876" s="7" t="s">
        <v>1877</v>
      </c>
      <c r="D1876" s="8" t="str">
        <f>IFERROR(__xludf.DUMMYFUNCTION("GOOGLETRANSLATE(C1876, ""en"", ""pt"")"),"bisbilhoteiro, espião")</f>
        <v>bisbilhoteiro, espião</v>
      </c>
      <c r="E1876" s="8" t="str">
        <f>IFERROR(__xludf.DUMMYFUNCTION("GOOGLETRANSLATE(C1876, ""en"", ""es"")"),"fisgonear, espiar")</f>
        <v>fisgonear, espiar</v>
      </c>
      <c r="F1876" s="8" t="str">
        <f>IFERROR(__xludf.DUMMYFUNCTION("GOOGLETRANSLATE(C1876, ""en"", ""fr"")"),"fouiner, espionner")</f>
        <v>fouiner, espionner</v>
      </c>
      <c r="G1876" s="8" t="str">
        <f>IFERROR(__xludf.DUMMYFUNCTION("GOOGLETRANSLATE(C1876, ""en"", ""de"")"),"Schnüffler, Spion")</f>
        <v>Schnüffler, Spion</v>
      </c>
      <c r="H1876" s="8" t="str">
        <f>IFERROR(__xludf.DUMMYFUNCTION("GOOGLETRANSLATE(C1876, ""en"", ""ru"")"),"шпион, шпион")</f>
        <v>шпион, шпион</v>
      </c>
      <c r="I1876" s="8" t="str">
        <f>IFERROR(__xludf.DUMMYFUNCTION("GOOGLETRANSLATE(C1876, ""en"", ""ar"")"),"متجسس، جاسوس")</f>
        <v>متجسس، جاسوس</v>
      </c>
      <c r="J1876" s="8"/>
      <c r="K1876" s="7" t="str">
        <f>IFERROR(__xludf.DUMMYFUNCTION("CONCAT(REGEXREPLACE(C1876,""[ ,]+"",""_""),"".mp3"")"),"snoop_spy.mp3")</f>
        <v>snoop_spy.mp3</v>
      </c>
      <c r="M1876" s="4" t="s">
        <v>10</v>
      </c>
    </row>
    <row r="1877" ht="15.75" customHeight="1">
      <c r="A1877" s="1">
        <v>3245.0</v>
      </c>
      <c r="B1877" s="3">
        <v>155.0</v>
      </c>
      <c r="C1877" s="7" t="s">
        <v>1878</v>
      </c>
      <c r="D1877" s="8" t="str">
        <f>IFERROR(__xludf.DUMMYFUNCTION("GOOGLETRANSLATE(C1877, ""en"", ""pt"")"),"prever, antecipar")</f>
        <v>prever, antecipar</v>
      </c>
      <c r="E1877" s="8" t="str">
        <f>IFERROR(__xludf.DUMMYFUNCTION("GOOGLETRANSLATE(C1877, ""en"", ""es"")"),"prever, predecir")</f>
        <v>prever, predecir</v>
      </c>
      <c r="F1877" s="8" t="str">
        <f>IFERROR(__xludf.DUMMYFUNCTION("GOOGLETRANSLATE(C1877, ""en"", ""fr"")"),"envisager, prédire")</f>
        <v>envisager, prédire</v>
      </c>
      <c r="G1877" s="8" t="str">
        <f>IFERROR(__xludf.DUMMYFUNCTION("GOOGLETRANSLATE(C1877, ""en"", ""de"")"),"vorstellen, vorhersagen")</f>
        <v>vorstellen, vorhersagen</v>
      </c>
      <c r="H1877" s="8" t="str">
        <f>IFERROR(__xludf.DUMMYFUNCTION("GOOGLETRANSLATE(C1877, ""en"", ""ru"")"),"предвидеть, прогнозировать")</f>
        <v>предвидеть, прогнозировать</v>
      </c>
      <c r="I1877" s="8" t="str">
        <f>IFERROR(__xludf.DUMMYFUNCTION("GOOGLETRANSLATE(C1877, ""en"", ""ar"")"),"تخيّل، تنبأ")</f>
        <v>تخيّل، تنبأ</v>
      </c>
      <c r="J1877" s="8"/>
      <c r="K1877" s="7" t="str">
        <f>IFERROR(__xludf.DUMMYFUNCTION("CONCAT(REGEXREPLACE(C1877,""[ ,]+"",""_""),"".mp3"")"),"envisage_predict.mp3")</f>
        <v>envisage_predict.mp3</v>
      </c>
      <c r="M1877" s="4" t="s">
        <v>10</v>
      </c>
    </row>
    <row r="1878" ht="15.75" customHeight="1">
      <c r="A1878" s="1">
        <v>3246.0</v>
      </c>
      <c r="B1878" s="3">
        <v>155.0</v>
      </c>
      <c r="C1878" s="7" t="s">
        <v>1879</v>
      </c>
      <c r="D1878" s="8" t="str">
        <f>IFERROR(__xludf.DUMMYFUNCTION("GOOGLETRANSLATE(C1878, ""en"", ""pt"")"),"pico, aumento repentino")</f>
        <v>pico, aumento repentino</v>
      </c>
      <c r="E1878" s="8" t="str">
        <f>IFERROR(__xludf.DUMMYFUNCTION("GOOGLETRANSLATE(C1878, ""en"", ""es"")"),"pico, aumento repentino")</f>
        <v>pico, aumento repentino</v>
      </c>
      <c r="F1878" s="8" t="str">
        <f>IFERROR(__xludf.DUMMYFUNCTION("GOOGLETRANSLATE(C1878, ""en"", ""fr"")"),"pic, augmentation soudaine")</f>
        <v>pic, augmentation soudaine</v>
      </c>
      <c r="G1878" s="8" t="str">
        <f>IFERROR(__xludf.DUMMYFUNCTION("GOOGLETRANSLATE(C1878, ""en"", ""de"")"),"plötzlicher Anstieg")</f>
        <v>plötzlicher Anstieg</v>
      </c>
      <c r="H1878" s="8" t="str">
        <f>IFERROR(__xludf.DUMMYFUNCTION("GOOGLETRANSLATE(C1878, ""en"", ""ru"")"),"резкий скачок, внезапное увеличение")</f>
        <v>резкий скачок, внезапное увеличение</v>
      </c>
      <c r="I1878" s="8" t="str">
        <f>IFERROR(__xludf.DUMMYFUNCTION("GOOGLETRANSLATE(C1878, ""en"", ""ar"")"),"ارتفاع مفاجئ، زيادة مفاجئة")</f>
        <v>ارتفاع مفاجئ، زيادة مفاجئة</v>
      </c>
      <c r="J1878" s="8"/>
      <c r="K1878" s="7" t="str">
        <f>IFERROR(__xludf.DUMMYFUNCTION("CONCAT(REGEXREPLACE(C1878,""[ ,]+"",""_""),"".mp3"")"),"spike_increase_suddenly.mp3")</f>
        <v>spike_increase_suddenly.mp3</v>
      </c>
      <c r="M1878" s="4" t="s">
        <v>10</v>
      </c>
    </row>
    <row r="1879" ht="15.75" customHeight="1">
      <c r="A1879" s="1">
        <v>3247.0</v>
      </c>
      <c r="B1879" s="3">
        <v>155.0</v>
      </c>
      <c r="C1879" s="7" t="s">
        <v>1880</v>
      </c>
      <c r="D1879" s="8" t="str">
        <f>IFERROR(__xludf.DUMMYFUNCTION("GOOGLETRANSLATE(C1879, ""en"", ""pt"")"),"críticas, represálias")</f>
        <v>críticas, represálias</v>
      </c>
      <c r="E1879" s="8" t="str">
        <f>IFERROR(__xludf.DUMMYFUNCTION("GOOGLETRANSLATE(C1879, ""en"", ""es"")"),"críticas")</f>
        <v>críticas</v>
      </c>
      <c r="F1879" s="8" t="str">
        <f>IFERROR(__xludf.DUMMYFUNCTION("GOOGLETRANSLATE(C1879, ""en"", ""fr"")"),"critiques")</f>
        <v>critiques</v>
      </c>
      <c r="G1879" s="8" t="str">
        <f>IFERROR(__xludf.DUMMYFUNCTION("GOOGLETRANSLATE(C1879, ""en"", ""de"")"),"Kritik")</f>
        <v>Kritik</v>
      </c>
      <c r="H1879" s="8" t="str">
        <f>IFERROR(__xludf.DUMMYFUNCTION("GOOGLETRANSLATE(C1879, ""en"", ""ru"")"),"критика, критика")</f>
        <v>критика, критика</v>
      </c>
      <c r="I1879" s="8" t="str">
        <f>IFERROR(__xludf.DUMMYFUNCTION("GOOGLETRANSLATE(C1879, ""en"", ""ar"")"),"الانتقادات والاتهامات")</f>
        <v>الانتقادات والاتهامات</v>
      </c>
      <c r="J1879" s="8"/>
      <c r="K1879" s="7" t="str">
        <f>IFERROR(__xludf.DUMMYFUNCTION("CONCAT(REGEXREPLACE(C1879,""[ ,]+"",""_""),"".mp3"")"),"flak_criticism.mp3")</f>
        <v>flak_criticism.mp3</v>
      </c>
      <c r="M1879" s="4" t="s">
        <v>10</v>
      </c>
    </row>
    <row r="1880" ht="15.75" customHeight="1">
      <c r="A1880" s="1">
        <v>3248.0</v>
      </c>
      <c r="B1880" s="3">
        <v>155.0</v>
      </c>
      <c r="C1880" s="7" t="s">
        <v>1881</v>
      </c>
      <c r="D1880" s="8" t="str">
        <f>IFERROR(__xludf.DUMMYFUNCTION("GOOGLETRANSLATE(C1880, ""en"", ""pt"")"),"luxuoso, extravagante")</f>
        <v>luxuoso, extravagante</v>
      </c>
      <c r="E1880" s="8" t="str">
        <f>IFERROR(__xludf.DUMMYFUNCTION("GOOGLETRANSLATE(C1880, ""en"", ""es"")"),"lujoso, suntuoso")</f>
        <v>lujoso, suntuoso</v>
      </c>
      <c r="F1880" s="8" t="str">
        <f>IFERROR(__xludf.DUMMYFUNCTION("GOOGLETRANSLATE(C1880, ""en"", ""fr"")"),"moelleux, somptueux")</f>
        <v>moelleux, somptueux</v>
      </c>
      <c r="G1880" s="8" t="str">
        <f>IFERROR(__xludf.DUMMYFUNCTION("GOOGLETRANSLATE(C1880, ""en"", ""de"")"),"plüschig, verschwenderisch")</f>
        <v>plüschig, verschwenderisch</v>
      </c>
      <c r="H1880" s="8" t="str">
        <f>IFERROR(__xludf.DUMMYFUNCTION("GOOGLETRANSLATE(C1880, ""en"", ""ru"")"),"роскошный, шикарный")</f>
        <v>роскошный, шикарный</v>
      </c>
      <c r="I1880" s="8" t="str">
        <f>IFERROR(__xludf.DUMMYFUNCTION("GOOGLETRANSLATE(C1880, ""en"", ""ar"")"),"فخم، مترف")</f>
        <v>فخم، مترف</v>
      </c>
      <c r="J1880" s="8"/>
      <c r="K1880" s="7" t="str">
        <f>IFERROR(__xludf.DUMMYFUNCTION("CONCAT(REGEXREPLACE(C1880,""[ ,]+"",""_""),"".mp3"")"),"plush_lavish.mp3")</f>
        <v>plush_lavish.mp3</v>
      </c>
      <c r="M1880" s="4" t="s">
        <v>10</v>
      </c>
    </row>
    <row r="1881" ht="15.75" customHeight="1">
      <c r="A1881" s="1">
        <v>3249.0</v>
      </c>
      <c r="B1881" s="3">
        <v>155.0</v>
      </c>
      <c r="C1881" s="7" t="s">
        <v>1882</v>
      </c>
      <c r="D1881" s="8" t="str">
        <f>IFERROR(__xludf.DUMMYFUNCTION("GOOGLETRANSLATE(C1881, ""en"", ""pt"")"),"cambalear, vacilar")</f>
        <v>cambalear, vacilar</v>
      </c>
      <c r="E1881" s="8" t="str">
        <f>IFERROR(__xludf.DUMMYFUNCTION("GOOGLETRANSLATE(C1881, ""en"", ""es"")"),"tambalearse, vacilar")</f>
        <v>tambalearse, vacilar</v>
      </c>
      <c r="F1881" s="8" t="str">
        <f>IFERROR(__xludf.DUMMYFUNCTION("GOOGLETRANSLATE(C1881, ""en"", ""fr"")"),"vaciller, vaciller")</f>
        <v>vaciller, vaciller</v>
      </c>
      <c r="G1881" s="8" t="str">
        <f>IFERROR(__xludf.DUMMYFUNCTION("GOOGLETRANSLATE(C1881, ""en"", ""de"")"),"schwanken, straucheln")</f>
        <v>schwanken, straucheln</v>
      </c>
      <c r="H1881" s="8" t="str">
        <f>IFERROR(__xludf.DUMMYFUNCTION("GOOGLETRANSLATE(C1881, ""en"", ""ru"")"),"шататься, спотыкаться")</f>
        <v>шататься, спотыкаться</v>
      </c>
      <c r="I1881" s="8" t="str">
        <f>IFERROR(__xludf.DUMMYFUNCTION("GOOGLETRANSLATE(C1881, ""en"", ""ar"")"),"يترنح، يتعثر")</f>
        <v>يترنح، يتعثر</v>
      </c>
      <c r="J1881" s="8"/>
      <c r="K1881" s="7" t="str">
        <f>IFERROR(__xludf.DUMMYFUNCTION("CONCAT(REGEXREPLACE(C1881,""[ ,]+"",""_""),"".mp3"")"),"teeter_falter.mp3")</f>
        <v>teeter_falter.mp3</v>
      </c>
      <c r="M1881" s="4" t="s">
        <v>10</v>
      </c>
    </row>
    <row r="1882" ht="15.75" customHeight="1">
      <c r="A1882" s="1">
        <v>3250.0</v>
      </c>
      <c r="B1882" s="3">
        <v>155.0</v>
      </c>
      <c r="C1882" s="7" t="s">
        <v>1883</v>
      </c>
      <c r="D1882" s="8" t="str">
        <f>IFERROR(__xludf.DUMMYFUNCTION("GOOGLETRANSLATE(C1882, ""en"", ""pt"")"),"titular, necessário")</f>
        <v>titular, necessário</v>
      </c>
      <c r="E1882" s="8" t="str">
        <f>IFERROR(__xludf.DUMMYFUNCTION("GOOGLETRANSLATE(C1882, ""en"", ""es"")"),"titular, necesario")</f>
        <v>titular, necesario</v>
      </c>
      <c r="F1882" s="8" t="str">
        <f>IFERROR(__xludf.DUMMYFUNCTION("GOOGLETRANSLATE(C1882, ""en"", ""fr"")"),"titulaire, nécessaire")</f>
        <v>titulaire, nécessaire</v>
      </c>
      <c r="G1882" s="8" t="str">
        <f>IFERROR(__xludf.DUMMYFUNCTION("GOOGLETRANSLATE(C1882, ""en"", ""de"")"),"Amtsinhaber, notwendig")</f>
        <v>Amtsinhaber, notwendig</v>
      </c>
      <c r="H1882" s="8" t="str">
        <f>IFERROR(__xludf.DUMMYFUNCTION("GOOGLETRANSLATE(C1882, ""en"", ""ru"")"),"действующий, необходимый")</f>
        <v>действующий, необходимый</v>
      </c>
      <c r="I1882" s="8" t="str">
        <f>IFERROR(__xludf.DUMMYFUNCTION("GOOGLETRANSLATE(C1882, ""en"", ""ar"")"),"شاغل المنصب، ضروري")</f>
        <v>شاغل المنصب، ضروري</v>
      </c>
      <c r="J1882" s="8"/>
      <c r="K1882" s="7" t="str">
        <f>IFERROR(__xludf.DUMMYFUNCTION("CONCAT(REGEXREPLACE(C1882,""[ ,]+"",""_""),"".mp3"")"),"incumbent_necessary.mp3")</f>
        <v>incumbent_necessary.mp3</v>
      </c>
      <c r="M1882" s="4" t="s">
        <v>10</v>
      </c>
    </row>
    <row r="1883" ht="15.75" customHeight="1">
      <c r="A1883" s="1">
        <v>3251.0</v>
      </c>
      <c r="B1883" s="3">
        <v>155.0</v>
      </c>
      <c r="C1883" s="7" t="s">
        <v>1884</v>
      </c>
      <c r="D1883" s="8" t="str">
        <f>IFERROR(__xludf.DUMMYFUNCTION("GOOGLETRANSLATE(C1883, ""en"", ""pt"")"),"notícias, informações")</f>
        <v>notícias, informações</v>
      </c>
      <c r="E1883" s="8" t="str">
        <f>IFERROR(__xludf.DUMMYFUNCTION("GOOGLETRANSLATE(C1883, ""en"", ""es"")"),"noticias, información")</f>
        <v>noticias, información</v>
      </c>
      <c r="F1883" s="8" t="str">
        <f>IFERROR(__xludf.DUMMYFUNCTION("GOOGLETRANSLATE(C1883, ""en"", ""fr"")"),"nouvelles, informations")</f>
        <v>nouvelles, informations</v>
      </c>
      <c r="G1883" s="8" t="str">
        <f>IFERROR(__xludf.DUMMYFUNCTION("GOOGLETRANSLATE(C1883, ""en"", ""de"")"),"Neuigkeiten, Informationen")</f>
        <v>Neuigkeiten, Informationen</v>
      </c>
      <c r="H1883" s="8" t="str">
        <f>IFERROR(__xludf.DUMMYFUNCTION("GOOGLETRANSLATE(C1883, ""en"", ""ru"")"),"известия, информация")</f>
        <v>известия, информация</v>
      </c>
      <c r="I1883" s="8" t="str">
        <f>IFERROR(__xludf.DUMMYFUNCTION("GOOGLETRANSLATE(C1883, ""en"", ""ar"")"),"أخبار ومعلومات")</f>
        <v>أخبار ومعلومات</v>
      </c>
      <c r="J1883" s="8"/>
      <c r="K1883" s="7" t="str">
        <f>IFERROR(__xludf.DUMMYFUNCTION("CONCAT(REGEXREPLACE(C1883,""[ ,]+"",""_""),"".mp3"")"),"tidings_information.mp3")</f>
        <v>tidings_information.mp3</v>
      </c>
      <c r="M1883" s="4" t="s">
        <v>10</v>
      </c>
    </row>
    <row r="1884" ht="15.75" customHeight="1">
      <c r="A1884" s="1">
        <v>3252.0</v>
      </c>
      <c r="B1884" s="3">
        <v>155.0</v>
      </c>
      <c r="C1884" s="7" t="s">
        <v>1885</v>
      </c>
      <c r="D1884" s="8" t="str">
        <f>IFERROR(__xludf.DUMMYFUNCTION("GOOGLETRANSLATE(C1884, ""en"", ""pt"")"),"diagnóstico, identificação")</f>
        <v>diagnóstico, identificação</v>
      </c>
      <c r="E1884" s="8" t="str">
        <f>IFERROR(__xludf.DUMMYFUNCTION("GOOGLETRANSLATE(C1884, ""en"", ""es"")"),"diagnóstico, identificación")</f>
        <v>diagnóstico, identificación</v>
      </c>
      <c r="F1884" s="8" t="str">
        <f>IFERROR(__xludf.DUMMYFUNCTION("GOOGLETRANSLATE(C1884, ""en"", ""fr"")"),"diagnostic, identification")</f>
        <v>diagnostic, identification</v>
      </c>
      <c r="G1884" s="8" t="str">
        <f>IFERROR(__xludf.DUMMYFUNCTION("GOOGLETRANSLATE(C1884, ""en"", ""de"")"),"Diagnose, Identifizierung")</f>
        <v>Diagnose, Identifizierung</v>
      </c>
      <c r="H1884" s="8" t="str">
        <f>IFERROR(__xludf.DUMMYFUNCTION("GOOGLETRANSLATE(C1884, ""en"", ""ru"")"),"диагностика, идентификация")</f>
        <v>диагностика, идентификация</v>
      </c>
      <c r="I1884" s="8" t="str">
        <f>IFERROR(__xludf.DUMMYFUNCTION("GOOGLETRANSLATE(C1884, ""en"", ""ar"")"),"التشخيص والتعرف")</f>
        <v>التشخيص والتعرف</v>
      </c>
      <c r="J1884" s="8"/>
      <c r="K1884" s="7" t="str">
        <f>IFERROR(__xludf.DUMMYFUNCTION("CONCAT(REGEXREPLACE(C1884,""[ ,]+"",""_""),"".mp3"")"),"diagnosis_identification.mp3")</f>
        <v>diagnosis_identification.mp3</v>
      </c>
      <c r="M1884" s="4" t="s">
        <v>10</v>
      </c>
    </row>
    <row r="1885" ht="15.75" customHeight="1">
      <c r="A1885" s="1">
        <v>3253.0</v>
      </c>
      <c r="B1885" s="3">
        <v>155.0</v>
      </c>
      <c r="C1885" s="7" t="s">
        <v>1886</v>
      </c>
      <c r="D1885" s="8" t="str">
        <f>IFERROR(__xludf.DUMMYFUNCTION("GOOGLETRANSLATE(C1885, ""en"", ""pt"")"),"prognóstico, previsão")</f>
        <v>prognóstico, previsão</v>
      </c>
      <c r="E1885" s="8" t="str">
        <f>IFERROR(__xludf.DUMMYFUNCTION("GOOGLETRANSLATE(C1885, ""en"", ""es"")"),"pronóstico, predicción")</f>
        <v>pronóstico, predicción</v>
      </c>
      <c r="F1885" s="8" t="str">
        <f>IFERROR(__xludf.DUMMYFUNCTION("GOOGLETRANSLATE(C1885, ""en"", ""fr"")"),"pronostic, prédiction")</f>
        <v>pronostic, prédiction</v>
      </c>
      <c r="G1885" s="8" t="str">
        <f>IFERROR(__xludf.DUMMYFUNCTION("GOOGLETRANSLATE(C1885, ""en"", ""de"")"),"Prognose, Vorhersage")</f>
        <v>Prognose, Vorhersage</v>
      </c>
      <c r="H1885" s="8" t="str">
        <f>IFERROR(__xludf.DUMMYFUNCTION("GOOGLETRANSLATE(C1885, ""en"", ""ru"")"),"прогноз, предсказание")</f>
        <v>прогноз, предсказание</v>
      </c>
      <c r="I1885" s="8" t="str">
        <f>IFERROR(__xludf.DUMMYFUNCTION("GOOGLETRANSLATE(C1885, ""en"", ""ar"")"),"التشخيص، التنبؤ")</f>
        <v>التشخيص، التنبؤ</v>
      </c>
      <c r="J1885" s="8"/>
      <c r="K1885" s="7" t="str">
        <f>IFERROR(__xludf.DUMMYFUNCTION("CONCAT(REGEXREPLACE(C1885,""[ ,]+"",""_""),"".mp3"")"),"prognosis_prediction.mp3")</f>
        <v>prognosis_prediction.mp3</v>
      </c>
      <c r="M1885" s="4" t="s">
        <v>10</v>
      </c>
    </row>
    <row r="1886" ht="15.75" customHeight="1">
      <c r="A1886" s="1">
        <v>3254.0</v>
      </c>
      <c r="B1886" s="3">
        <v>155.0</v>
      </c>
      <c r="C1886" s="7" t="s">
        <v>1887</v>
      </c>
      <c r="D1886" s="8" t="str">
        <f>IFERROR(__xludf.DUMMYFUNCTION("GOOGLETRANSLATE(C1886, ""en"", ""pt"")"),"adiar, esperar")</f>
        <v>adiar, esperar</v>
      </c>
      <c r="E1886" s="8" t="str">
        <f>IFERROR(__xludf.DUMMYFUNCTION("GOOGLETRANSLATE(C1886, ""en"", ""es"")"),"mantener el fuego, retrasar")</f>
        <v>mantener el fuego, retrasar</v>
      </c>
      <c r="F1886" s="8" t="str">
        <f>IFERROR(__xludf.DUMMYFUNCTION("GOOGLETRANSLATE(C1886, ""en"", ""fr"")"),"retarder, retarder")</f>
        <v>retarder, retarder</v>
      </c>
      <c r="G1886" s="8" t="str">
        <f>IFERROR(__xludf.DUMMYFUNCTION("GOOGLETRANSLATE(C1886, ""en"", ""de"")"),"Verzögerung, Aussetzen")</f>
        <v>Verzögerung, Aussetzen</v>
      </c>
      <c r="H1886" s="8" t="str">
        <f>IFERROR(__xludf.DUMMYFUNCTION("GOOGLETRANSLATE(C1886, ""en"", ""ru"")"),"задержать огонь")</f>
        <v>задержать огонь</v>
      </c>
      <c r="I1886" s="8" t="str">
        <f>IFERROR(__xludf.DUMMYFUNCTION("GOOGLETRANSLATE(C1886, ""en"", ""ar"")"),"تأخير إطلاق النار، تأخير")</f>
        <v>تأخير إطلاق النار، تأخير</v>
      </c>
      <c r="J1886" s="8"/>
      <c r="K1886" s="7" t="str">
        <f>IFERROR(__xludf.DUMMYFUNCTION("CONCAT(REGEXREPLACE(C1886,""[ ,]+"",""_""),"".mp3"")"),"hang_fire_delay.mp3")</f>
        <v>hang_fire_delay.mp3</v>
      </c>
      <c r="M1886" s="4" t="s">
        <v>10</v>
      </c>
    </row>
    <row r="1887" ht="15.75" customHeight="1">
      <c r="A1887" s="1">
        <v>3255.0</v>
      </c>
      <c r="B1887" s="3">
        <v>155.0</v>
      </c>
      <c r="C1887" s="7" t="s">
        <v>1888</v>
      </c>
      <c r="D1887" s="8" t="str">
        <f>IFERROR(__xludf.DUMMYFUNCTION("GOOGLETRANSLATE(C1887, ""en"", ""pt"")"),"projeto, previsão")</f>
        <v>projeto, previsão</v>
      </c>
      <c r="E1887" s="8" t="str">
        <f>IFERROR(__xludf.DUMMYFUNCTION("GOOGLETRANSLATE(C1887, ""en"", ""es"")"),"proyecto, pronóstico")</f>
        <v>proyecto, pronóstico</v>
      </c>
      <c r="F1887" s="8" t="str">
        <f>IFERROR(__xludf.DUMMYFUNCTION("GOOGLETRANSLATE(C1887, ""en"", ""fr"")"),"projet, prévision")</f>
        <v>projet, prévision</v>
      </c>
      <c r="G1887" s="8" t="str">
        <f>IFERROR(__xludf.DUMMYFUNCTION("GOOGLETRANSLATE(C1887, ""en"", ""de"")"),"Projekt, Prognose")</f>
        <v>Projekt, Prognose</v>
      </c>
      <c r="H1887" s="8" t="str">
        <f>IFERROR(__xludf.DUMMYFUNCTION("GOOGLETRANSLATE(C1887, ""en"", ""ru"")"),"проект, прогноз")</f>
        <v>проект, прогноз</v>
      </c>
      <c r="I1887" s="8" t="str">
        <f>IFERROR(__xludf.DUMMYFUNCTION("GOOGLETRANSLATE(C1887, ""en"", ""ar"")"),"مشروع، توقعات")</f>
        <v>مشروع، توقعات</v>
      </c>
      <c r="J1887" s="8"/>
      <c r="K1887" s="7" t="str">
        <f>IFERROR(__xludf.DUMMYFUNCTION("CONCAT(REGEXREPLACE(C1887,""[ ,]+"",""_""),"".mp3"")"),"project_forecast.mp3")</f>
        <v>project_forecast.mp3</v>
      </c>
      <c r="M1887" s="4" t="s">
        <v>10</v>
      </c>
    </row>
    <row r="1888" ht="15.75" customHeight="1">
      <c r="A1888" s="1">
        <v>3256.0</v>
      </c>
      <c r="B1888" s="3">
        <v>155.0</v>
      </c>
      <c r="C1888" s="7" t="s">
        <v>1889</v>
      </c>
      <c r="D1888" s="8" t="str">
        <f>IFERROR(__xludf.DUMMYFUNCTION("GOOGLETRANSLATE(C1888, ""en"", ""pt"")"),"Legal, muito bom")</f>
        <v>Legal, muito bom</v>
      </c>
      <c r="E1888" s="8" t="str">
        <f>IFERROR(__xludf.DUMMYFUNCTION("GOOGLETRANSLATE(C1888, ""en"", ""es"")"),"Genial, muy bueno")</f>
        <v>Genial, muy bueno</v>
      </c>
      <c r="F1888" s="8" t="str">
        <f>IFERROR(__xludf.DUMMYFUNCTION("GOOGLETRANSLATE(C1888, ""en"", ""fr"")"),"Super, très bien")</f>
        <v>Super, très bien</v>
      </c>
      <c r="G1888" s="8" t="str">
        <f>IFERROR(__xludf.DUMMYFUNCTION("GOOGLETRANSLATE(C1888, ""en"", ""de"")"),"klasse, sehr gut")</f>
        <v>klasse, sehr gut</v>
      </c>
      <c r="H1888" s="8" t="str">
        <f>IFERROR(__xludf.DUMMYFUNCTION("GOOGLETRANSLATE(C1888, ""en"", ""ru"")"),"Классно, очень хорошо")</f>
        <v>Классно, очень хорошо</v>
      </c>
      <c r="I1888" s="8" t="str">
        <f>IFERROR(__xludf.DUMMYFUNCTION("GOOGLETRANSLATE(C1888, ""en"", ""ar"")"),"رائع، جيد جداً")</f>
        <v>رائع، جيد جداً</v>
      </c>
      <c r="J1888" s="8"/>
      <c r="K1888" s="7" t="str">
        <f>IFERROR(__xludf.DUMMYFUNCTION("CONCAT(REGEXREPLACE(C1888,""[ ,]+"",""_""),"".mp3"")"),"groovy_very_good.mp3")</f>
        <v>groovy_very_good.mp3</v>
      </c>
      <c r="M1888" s="4" t="s">
        <v>10</v>
      </c>
    </row>
    <row r="1889" ht="15.75" customHeight="1">
      <c r="A1889" s="1">
        <v>3257.0</v>
      </c>
      <c r="B1889" s="3">
        <v>155.0</v>
      </c>
      <c r="C1889" s="7" t="s">
        <v>1890</v>
      </c>
      <c r="D1889" s="8" t="str">
        <f>IFERROR(__xludf.DUMMYFUNCTION("GOOGLETRANSLATE(C1889, ""en"", ""pt"")"),"dar voz a, expressar")</f>
        <v>dar voz a, expressar</v>
      </c>
      <c r="E1889" s="8" t="str">
        <f>IFERROR(__xludf.DUMMYFUNCTION("GOOGLETRANSLATE(C1889, ""en"", ""es"")"),"dar voz a, expresar")</f>
        <v>dar voz a, expresar</v>
      </c>
      <c r="F1889" s="8" t="str">
        <f>IFERROR(__xludf.DUMMYFUNCTION("GOOGLETRANSLATE(C1889, ""en"", ""fr"")"),"donner voix à, exprimer")</f>
        <v>donner voix à, exprimer</v>
      </c>
      <c r="G1889" s="8" t="str">
        <f>IFERROR(__xludf.DUMMYFUNCTION("GOOGLETRANSLATE(C1889, ""en"", ""de"")"),"verleihen, ausdrücken")</f>
        <v>verleihen, ausdrücken</v>
      </c>
      <c r="H1889" s="8" t="str">
        <f>IFERROR(__xludf.DUMMYFUNCTION("GOOGLETRANSLATE(C1889, ""en"", ""ru"")"),"дать голос, выразить")</f>
        <v>дать голос, выразить</v>
      </c>
      <c r="I1889" s="8" t="str">
        <f>IFERROR(__xludf.DUMMYFUNCTION("GOOGLETRANSLATE(C1889, ""en"", ""ar"")"),"إعطاء صوت، التعبير عن")</f>
        <v>إعطاء صوت، التعبير عن</v>
      </c>
      <c r="J1889" s="8"/>
      <c r="K1889" s="7" t="str">
        <f>IFERROR(__xludf.DUMMYFUNCTION("CONCAT(REGEXREPLACE(C1889,""[ ,]+"",""_""),"".mp3"")"),"give_voice_to_express.mp3")</f>
        <v>give_voice_to_express.mp3</v>
      </c>
      <c r="M1889" s="4" t="s">
        <v>10</v>
      </c>
    </row>
    <row r="1890" ht="15.75" customHeight="1">
      <c r="A1890" s="1">
        <v>3258.0</v>
      </c>
      <c r="B1890" s="3">
        <v>155.0</v>
      </c>
      <c r="C1890" s="7" t="s">
        <v>1891</v>
      </c>
      <c r="D1890" s="8" t="str">
        <f>IFERROR(__xludf.DUMMYFUNCTION("GOOGLETRANSLATE(C1890, ""en"", ""pt"")"),"assumir, aceitar")</f>
        <v>assumir, aceitar</v>
      </c>
      <c r="E1890" s="8" t="str">
        <f>IFERROR(__xludf.DUMMYFUNCTION("GOOGLETRANSLATE(C1890, ""en"", ""es"")"),"asumir, aceptar")</f>
        <v>asumir, aceptar</v>
      </c>
      <c r="F1890" s="8" t="str">
        <f>IFERROR(__xludf.DUMMYFUNCTION("GOOGLETRANSLATE(C1890, ""en"", ""fr"")"),"s'engager, accepter")</f>
        <v>s'engager, accepter</v>
      </c>
      <c r="G1890" s="8" t="str">
        <f>IFERROR(__xludf.DUMMYFUNCTION("GOOGLETRANSLATE(C1890, ""en"", ""de"")"),"übernehmen, akzeptieren")</f>
        <v>übernehmen, akzeptieren</v>
      </c>
      <c r="H1890" s="8" t="str">
        <f>IFERROR(__xludf.DUMMYFUNCTION("GOOGLETRANSLATE(C1890, ""en"", ""ru"")"),"взять на себя, принять")</f>
        <v>взять на себя, принять</v>
      </c>
      <c r="I1890" s="8" t="str">
        <f>IFERROR(__xludf.DUMMYFUNCTION("GOOGLETRANSLATE(C1890, ""en"", ""ar"")"),"تقبّل، اقبل")</f>
        <v>تقبّل، اقبل</v>
      </c>
      <c r="J1890" s="8"/>
      <c r="K1890" s="7" t="str">
        <f>IFERROR(__xludf.DUMMYFUNCTION("CONCAT(REGEXREPLACE(C1890,""[ ,]+"",""_""),"".mp3"")"),"take_on_accept.mp3")</f>
        <v>take_on_accept.mp3</v>
      </c>
      <c r="M1890" s="4" t="s">
        <v>10</v>
      </c>
    </row>
    <row r="1891" ht="15.75" customHeight="1">
      <c r="A1891" s="1">
        <v>3259.0</v>
      </c>
      <c r="B1891" s="3">
        <v>155.0</v>
      </c>
      <c r="C1891" s="7" t="s">
        <v>1892</v>
      </c>
      <c r="D1891" s="8" t="str">
        <f>IFERROR(__xludf.DUMMYFUNCTION("GOOGLETRANSLATE(C1891, ""en"", ""pt"")"),"Desça, repreenda")</f>
        <v>Desça, repreenda</v>
      </c>
      <c r="E1891" s="8" t="str">
        <f>IFERROR(__xludf.DUMMYFUNCTION("GOOGLETRANSLATE(C1891, ""en"", ""es"")"),"baja, regaña")</f>
        <v>baja, regaña</v>
      </c>
      <c r="F1891" s="8" t="str">
        <f>IFERROR(__xludf.DUMMYFUNCTION("GOOGLETRANSLATE(C1891, ""en"", ""fr"")"),"Descends, gronde-moi")</f>
        <v>Descends, gronde-moi</v>
      </c>
      <c r="G1891" s="8" t="str">
        <f>IFERROR(__xludf.DUMMYFUNCTION("GOOGLETRANSLATE(C1891, ""en"", ""de"")"),"Komm herunter, schimpf!")</f>
        <v>Komm herunter, schimpf!</v>
      </c>
      <c r="H1891" s="8" t="str">
        <f>IFERROR(__xludf.DUMMYFUNCTION("GOOGLETRANSLATE(C1891, ""en"", ""ru"")"),"спустись, ругай")</f>
        <v>спустись, ругай</v>
      </c>
      <c r="I1891" s="8" t="str">
        <f>IFERROR(__xludf.DUMMYFUNCTION("GOOGLETRANSLATE(C1891, ""en"", ""ar"")"),"انزل، وبخ")</f>
        <v>انزل، وبخ</v>
      </c>
      <c r="J1891" s="8"/>
      <c r="K1891" s="7" t="str">
        <f>IFERROR(__xludf.DUMMYFUNCTION("CONCAT(REGEXREPLACE(C1891,""[ ,]+"",""_""),"".mp3"")"),"come_down_scold.mp3")</f>
        <v>come_down_scold.mp3</v>
      </c>
      <c r="M1891" s="4" t="s">
        <v>10</v>
      </c>
    </row>
    <row r="1892" ht="15.75" customHeight="1">
      <c r="A1892" s="1">
        <v>3260.0</v>
      </c>
      <c r="B1892" s="3">
        <v>155.0</v>
      </c>
      <c r="C1892" s="7" t="s">
        <v>1893</v>
      </c>
      <c r="D1892" s="8" t="str">
        <f>IFERROR(__xludf.DUMMYFUNCTION("GOOGLETRANSLATE(C1892, ""en"", ""pt"")"),"apocalíptico, desastroso")</f>
        <v>apocalíptico, desastroso</v>
      </c>
      <c r="E1892" s="8" t="str">
        <f>IFERROR(__xludf.DUMMYFUNCTION("GOOGLETRANSLATE(C1892, ""en"", ""es"")"),"apocalíptico, desastroso")</f>
        <v>apocalíptico, desastroso</v>
      </c>
      <c r="F1892" s="8" t="str">
        <f>IFERROR(__xludf.DUMMYFUNCTION("GOOGLETRANSLATE(C1892, ""en"", ""fr"")"),"apocalyptique, désastreux")</f>
        <v>apocalyptique, désastreux</v>
      </c>
      <c r="G1892" s="8" t="str">
        <f>IFERROR(__xludf.DUMMYFUNCTION("GOOGLETRANSLATE(C1892, ""en"", ""de"")"),"apokalyptisch, katastrophal")</f>
        <v>apokalyptisch, katastrophal</v>
      </c>
      <c r="H1892" s="8" t="str">
        <f>IFERROR(__xludf.DUMMYFUNCTION("GOOGLETRANSLATE(C1892, ""en"", ""ru"")"),"апокалиптический, катастрофический")</f>
        <v>апокалиптический, катастрофический</v>
      </c>
      <c r="I1892" s="8" t="str">
        <f>IFERROR(__xludf.DUMMYFUNCTION("GOOGLETRANSLATE(C1892, ""en"", ""ar"")"),"كارثي، مروع")</f>
        <v>كارثي، مروع</v>
      </c>
      <c r="J1892" s="8"/>
      <c r="K1892" s="7" t="str">
        <f>IFERROR(__xludf.DUMMYFUNCTION("CONCAT(REGEXREPLACE(C1892,""[ ,]+"",""_""),"".mp3"")"),"apocalyptic_disastrous.mp3")</f>
        <v>apocalyptic_disastrous.mp3</v>
      </c>
      <c r="M1892" s="4" t="s">
        <v>10</v>
      </c>
    </row>
    <row r="1893" ht="15.75" customHeight="1">
      <c r="A1893" s="1">
        <v>3261.0</v>
      </c>
      <c r="B1893" s="3">
        <v>155.0</v>
      </c>
      <c r="C1893" s="7" t="s">
        <v>1894</v>
      </c>
      <c r="D1893" s="8" t="str">
        <f>IFERROR(__xludf.DUMMYFUNCTION("GOOGLETRANSLATE(C1893, ""en"", ""pt"")"),"animado, enérgico")</f>
        <v>animado, enérgico</v>
      </c>
      <c r="E1893" s="8" t="str">
        <f>IFERROR(__xludf.DUMMYFUNCTION("GOOGLETRANSLATE(C1893, ""en"", ""es"")"),"animado, enérgico")</f>
        <v>animado, enérgico</v>
      </c>
      <c r="F1893" s="8" t="str">
        <f>IFERROR(__xludf.DUMMYFUNCTION("GOOGLETRANSLATE(C1893, ""en"", ""fr"")"),"animé, énergique")</f>
        <v>animé, énergique</v>
      </c>
      <c r="G1893" s="8" t="str">
        <f>IFERROR(__xludf.DUMMYFUNCTION("GOOGLETRANSLATE(C1893, ""en"", ""de"")"),"lebhaft, energiegeladen")</f>
        <v>lebhaft, energiegeladen</v>
      </c>
      <c r="H1893" s="8" t="str">
        <f>IFERROR(__xludf.DUMMYFUNCTION("GOOGLETRANSLATE(C1893, ""en"", ""ru"")"),"оживленный, энергичный")</f>
        <v>оживленный, энергичный</v>
      </c>
      <c r="I1893" s="8" t="str">
        <f>IFERROR(__xludf.DUMMYFUNCTION("GOOGLETRANSLATE(C1893, ""en"", ""ar"")"),"حيوي، نشيط")</f>
        <v>حيوي، نشيط</v>
      </c>
      <c r="J1893" s="8"/>
      <c r="K1893" s="7" t="str">
        <f>IFERROR(__xludf.DUMMYFUNCTION("CONCAT(REGEXREPLACE(C1893,""[ ,]+"",""_""),"".mp3"")"),"animated_energetic.mp3")</f>
        <v>animated_energetic.mp3</v>
      </c>
      <c r="M1893" s="4" t="s">
        <v>10</v>
      </c>
    </row>
    <row r="1894" ht="15.75" customHeight="1">
      <c r="A1894" s="1">
        <v>3262.0</v>
      </c>
      <c r="B1894" s="3">
        <v>155.0</v>
      </c>
      <c r="C1894" s="7" t="s">
        <v>1895</v>
      </c>
      <c r="D1894" s="8" t="str">
        <f>IFERROR(__xludf.DUMMYFUNCTION("GOOGLETRANSLATE(C1894, ""en"", ""pt"")"),"superar, maior que")</f>
        <v>superar, maior que</v>
      </c>
      <c r="E1894" s="8" t="str">
        <f>IFERROR(__xludf.DUMMYFUNCTION("GOOGLETRANSLATE(C1894, ""en"", ""es"")"),"superan, mayor que")</f>
        <v>superan, mayor que</v>
      </c>
      <c r="F1894" s="8" t="str">
        <f>IFERROR(__xludf.DUMMYFUNCTION("GOOGLETRANSLATE(C1894, ""en"", ""fr"")"),"l'emportent, supérieur à")</f>
        <v>l'emportent, supérieur à</v>
      </c>
      <c r="G1894" s="8" t="str">
        <f>IFERROR(__xludf.DUMMYFUNCTION("GOOGLETRANSLATE(C1894, ""en"", ""de"")"),"überwiegen, größer als")</f>
        <v>überwiegen, größer als</v>
      </c>
      <c r="H1894" s="8" t="str">
        <f>IFERROR(__xludf.DUMMYFUNCTION("GOOGLETRANSLATE(C1894, ""en"", ""ru"")"),"перевешивать, больше, чем")</f>
        <v>перевешивать, больше, чем</v>
      </c>
      <c r="I1894" s="8" t="str">
        <f>IFERROR(__xludf.DUMMYFUNCTION("GOOGLETRANSLATE(C1894, ""en"", ""ar"")"),"يفوق، أكبر من")</f>
        <v>يفوق، أكبر من</v>
      </c>
      <c r="J1894" s="8"/>
      <c r="K1894" s="7" t="str">
        <f>IFERROR(__xludf.DUMMYFUNCTION("CONCAT(REGEXREPLACE(C1894,""[ ,]+"",""_""),"".mp3"")"),"outweigh_greater_than.mp3")</f>
        <v>outweigh_greater_than.mp3</v>
      </c>
      <c r="M1894" s="4" t="s">
        <v>10</v>
      </c>
    </row>
    <row r="1895" ht="15.75" customHeight="1">
      <c r="A1895" s="1">
        <v>3263.0</v>
      </c>
      <c r="B1895" s="3">
        <v>155.0</v>
      </c>
      <c r="C1895" s="7" t="s">
        <v>1896</v>
      </c>
      <c r="D1895" s="8" t="str">
        <f>IFERROR(__xludf.DUMMYFUNCTION("GOOGLETRANSLATE(C1895, ""en"", ""pt"")"),"refém, prisioneiro")</f>
        <v>refém, prisioneiro</v>
      </c>
      <c r="E1895" s="8" t="str">
        <f>IFERROR(__xludf.DUMMYFUNCTION("GOOGLETRANSLATE(C1895, ""en"", ""es"")"),"rehén, prisionero")</f>
        <v>rehén, prisionero</v>
      </c>
      <c r="F1895" s="8" t="str">
        <f>IFERROR(__xludf.DUMMYFUNCTION("GOOGLETRANSLATE(C1895, ""en"", ""fr"")"),"otage, prisonnier")</f>
        <v>otage, prisonnier</v>
      </c>
      <c r="G1895" s="8" t="str">
        <f>IFERROR(__xludf.DUMMYFUNCTION("GOOGLETRANSLATE(C1895, ""en"", ""de"")"),"Geisel, Gefangener")</f>
        <v>Geisel, Gefangener</v>
      </c>
      <c r="H1895" s="8" t="str">
        <f>IFERROR(__xludf.DUMMYFUNCTION("GOOGLETRANSLATE(C1895, ""en"", ""ru"")"),"заложник, пленник")</f>
        <v>заложник, пленник</v>
      </c>
      <c r="I1895" s="8" t="str">
        <f>IFERROR(__xludf.DUMMYFUNCTION("GOOGLETRANSLATE(C1895, ""en"", ""ar"")"),"رهينة، سجين")</f>
        <v>رهينة، سجين</v>
      </c>
      <c r="J1895" s="8"/>
      <c r="K1895" s="7" t="str">
        <f>IFERROR(__xludf.DUMMYFUNCTION("CONCAT(REGEXREPLACE(C1895,""[ ,]+"",""_""),"".mp3"")"),"hostage_prisoner.mp3")</f>
        <v>hostage_prisoner.mp3</v>
      </c>
      <c r="M1895" s="4" t="s">
        <v>10</v>
      </c>
    </row>
    <row r="1896" ht="15.75" customHeight="1">
      <c r="A1896" s="1">
        <v>3264.0</v>
      </c>
      <c r="B1896" s="3">
        <v>155.0</v>
      </c>
      <c r="C1896" s="7" t="s">
        <v>1897</v>
      </c>
      <c r="D1896" s="8" t="str">
        <f>IFERROR(__xludf.DUMMYFUNCTION("GOOGLETRANSLATE(C1896, ""en"", ""pt"")"),"sábio, erudito")</f>
        <v>sábio, erudito</v>
      </c>
      <c r="E1896" s="8" t="str">
        <f>IFERROR(__xludf.DUMMYFUNCTION("GOOGLETRANSLATE(C1896, ""en"", ""es"")"),"sabio, erudito")</f>
        <v>sabio, erudito</v>
      </c>
      <c r="F1896" s="8" t="str">
        <f>IFERROR(__xludf.DUMMYFUNCTION("GOOGLETRANSLATE(C1896, ""en"", ""fr"")"),"sage, érudit")</f>
        <v>sage, érudit</v>
      </c>
      <c r="G1896" s="8" t="str">
        <f>IFERROR(__xludf.DUMMYFUNCTION("GOOGLETRANSLATE(C1896, ""en"", ""de"")"),"Weiser, Gelehrter")</f>
        <v>Weiser, Gelehrter</v>
      </c>
      <c r="H1896" s="8" t="str">
        <f>IFERROR(__xludf.DUMMYFUNCTION("GOOGLETRANSLATE(C1896, ""en"", ""ru"")"),"мудрец, эрудит")</f>
        <v>мудрец, эрудит</v>
      </c>
      <c r="I1896" s="8" t="str">
        <f>IFERROR(__xludf.DUMMYFUNCTION("GOOGLETRANSLATE(C1896, ""en"", ""ar"")"),"حكيم، واسع المعرفة")</f>
        <v>حكيم، واسع المعرفة</v>
      </c>
      <c r="J1896" s="8"/>
      <c r="K1896" s="7" t="str">
        <f>IFERROR(__xludf.DUMMYFUNCTION("CONCAT(REGEXREPLACE(C1896,""[ ,]+"",""_""),"".mp3"")"),"sage_erudite.mp3")</f>
        <v>sage_erudite.mp3</v>
      </c>
      <c r="M1896" s="4" t="s">
        <v>10</v>
      </c>
    </row>
    <row r="1897" ht="15.75" customHeight="1">
      <c r="A1897" s="1">
        <v>3265.0</v>
      </c>
      <c r="B1897" s="3">
        <v>155.0</v>
      </c>
      <c r="C1897" s="7" t="s">
        <v>1634</v>
      </c>
      <c r="D1897" s="8" t="str">
        <f>IFERROR(__xludf.DUMMYFUNCTION("GOOGLETRANSLATE(C1897, ""en"", ""pt"")"),"tagarelice, conversa fiada")</f>
        <v>tagarelice, conversa fiada</v>
      </c>
      <c r="E1897" s="8" t="str">
        <f>IFERROR(__xludf.DUMMYFUNCTION("GOOGLETRANSLATE(C1897, ""en"", ""es"")"),"parloteo, charlatanería")</f>
        <v>parloteo, charlatanería</v>
      </c>
      <c r="F1897" s="8" t="str">
        <f>IFERROR(__xludf.DUMMYFUNCTION("GOOGLETRANSLATE(C1897, ""en"", ""fr"")"),"bavardages, blabla")</f>
        <v>bavardages, blabla</v>
      </c>
      <c r="G1897" s="8" t="str">
        <f>IFERROR(__xludf.DUMMYFUNCTION("GOOGLETRANSLATE(C1897, ""en"", ""de"")"),"Geschwätz, Geplapper")</f>
        <v>Geschwätz, Geplapper</v>
      </c>
      <c r="H1897" s="8" t="str">
        <f>IFERROR(__xludf.DUMMYFUNCTION("GOOGLETRANSLATE(C1897, ""en"", ""ru"")"),"болтовня, болтовня")</f>
        <v>болтовня, болтовня</v>
      </c>
      <c r="I1897" s="8" t="str">
        <f>IFERROR(__xludf.DUMMYFUNCTION("GOOGLETRANSLATE(C1897, ""en"", ""ar"")"),"ثرثرة، كلام كثير")</f>
        <v>ثرثرة، كلام كثير</v>
      </c>
      <c r="J1897" s="8"/>
      <c r="K1897" s="7" t="str">
        <f>IFERROR(__xludf.DUMMYFUNCTION("CONCAT(REGEXREPLACE(C1897,""[ ,]+"",""_""),"".mp3"")"),"prattle_chatter.mp3")</f>
        <v>prattle_chatter.mp3</v>
      </c>
      <c r="M1897" s="4" t="s">
        <v>10</v>
      </c>
    </row>
    <row r="1898" ht="15.75" customHeight="1">
      <c r="A1898" s="1">
        <v>3266.0</v>
      </c>
      <c r="B1898" s="3">
        <v>155.0</v>
      </c>
      <c r="C1898" s="7" t="s">
        <v>1898</v>
      </c>
      <c r="D1898" s="8" t="str">
        <f>IFERROR(__xludf.DUMMYFUNCTION("GOOGLETRANSLATE(C1898, ""en"", ""pt"")"),"nada invejável, indesejável")</f>
        <v>nada invejável, indesejável</v>
      </c>
      <c r="E1898" s="8" t="str">
        <f>IFERROR(__xludf.DUMMYFUNCTION("GOOGLETRANSLATE(C1898, ""en"", ""es"")"),"poco envidiable, indeseable")</f>
        <v>poco envidiable, indeseable</v>
      </c>
      <c r="F1898" s="8" t="str">
        <f>IFERROR(__xludf.DUMMYFUNCTION("GOOGLETRANSLATE(C1898, ""en"", ""fr"")"),"peu enviable, indésirable")</f>
        <v>peu enviable, indésirable</v>
      </c>
      <c r="G1898" s="8" t="str">
        <f>IFERROR(__xludf.DUMMYFUNCTION("GOOGLETRANSLATE(C1898, ""en"", ""de"")"),"unbeneidenswert, unerwünscht")</f>
        <v>unbeneidenswert, unerwünscht</v>
      </c>
      <c r="H1898" s="8" t="str">
        <f>IFERROR(__xludf.DUMMYFUNCTION("GOOGLETRANSLATE(C1898, ""en"", ""ru"")"),"незавидный, нежелательный")</f>
        <v>незавидный, нежелательный</v>
      </c>
      <c r="I1898" s="8" t="str">
        <f>IFERROR(__xludf.DUMMYFUNCTION("GOOGLETRANSLATE(C1898, ""en"", ""ar"")"),"غير مرغوب فيه، وغير جدير بالحسد")</f>
        <v>غير مرغوب فيه، وغير جدير بالحسد</v>
      </c>
      <c r="J1898" s="8"/>
      <c r="K1898" s="7" t="str">
        <f>IFERROR(__xludf.DUMMYFUNCTION("CONCAT(REGEXREPLACE(C1898,""[ ,]+"",""_""),"".mp3"")"),"unenviable_undesirable.mp3")</f>
        <v>unenviable_undesirable.mp3</v>
      </c>
      <c r="M1898" s="4" t="s">
        <v>10</v>
      </c>
    </row>
    <row r="1899" ht="15.75" customHeight="1">
      <c r="A1899" s="1">
        <v>3267.0</v>
      </c>
      <c r="B1899" s="3">
        <v>155.0</v>
      </c>
      <c r="C1899" s="7" t="s">
        <v>1899</v>
      </c>
      <c r="D1899" s="8" t="str">
        <f>IFERROR(__xludf.DUMMYFUNCTION("GOOGLETRANSLATE(C1899, ""en"", ""pt"")"),"afundar, arruinar")</f>
        <v>afundar, arruinar</v>
      </c>
      <c r="E1899" s="8" t="str">
        <f>IFERROR(__xludf.DUMMYFUNCTION("GOOGLETRANSLATE(C1899, ""en"", ""es"")"),"desagüe, ruina")</f>
        <v>desagüe, ruina</v>
      </c>
      <c r="F1899" s="8" t="str">
        <f>IFERROR(__xludf.DUMMYFUNCTION("GOOGLETRANSLATE(C1899, ""en"", ""fr"")"),"dalotte, ruine")</f>
        <v>dalotte, ruine</v>
      </c>
      <c r="G1899" s="8" t="str">
        <f>IFERROR(__xludf.DUMMYFUNCTION("GOOGLETRANSLATE(C1899, ""en"", ""de"")"),"Abfluss, Ruine")</f>
        <v>Abfluss, Ruine</v>
      </c>
      <c r="H1899" s="8" t="str">
        <f>IFERROR(__xludf.DUMMYFUNCTION("GOOGLETRANSLATE(C1899, ""en"", ""ru"")"),"водоотвод, разрушение")</f>
        <v>водоотвод, разрушение</v>
      </c>
      <c r="I1899" s="8" t="str">
        <f>IFERROR(__xludf.DUMMYFUNCTION("GOOGLETRANSLATE(C1899, ""en"", ""ar"")"),"مَحْصَرٌ، خرابٌ")</f>
        <v>مَحْصَرٌ، خرابٌ</v>
      </c>
      <c r="J1899" s="8"/>
      <c r="K1899" s="7" t="str">
        <f>IFERROR(__xludf.DUMMYFUNCTION("CONCAT(REGEXREPLACE(C1899,""[ ,]+"",""_""),"".mp3"")"),"scupper_ruin.mp3")</f>
        <v>scupper_ruin.mp3</v>
      </c>
      <c r="M1899" s="4" t="s">
        <v>10</v>
      </c>
    </row>
    <row r="1900" ht="15.75" customHeight="1">
      <c r="A1900" s="1">
        <v>3268.0</v>
      </c>
      <c r="B1900" s="3">
        <v>155.0</v>
      </c>
      <c r="C1900" s="7" t="s">
        <v>1900</v>
      </c>
      <c r="D1900" s="8" t="str">
        <f>IFERROR(__xludf.DUMMYFUNCTION("GOOGLETRANSLATE(C1900, ""en"", ""pt"")"),"desolado, triste")</f>
        <v>desolado, triste</v>
      </c>
      <c r="E1900" s="8" t="str">
        <f>IFERROR(__xludf.DUMMYFUNCTION("GOOGLETRANSLATE(C1900, ""en"", ""es"")"),"desdichado, triste")</f>
        <v>desdichado, triste</v>
      </c>
      <c r="F1900" s="8" t="str">
        <f>IFERROR(__xludf.DUMMYFUNCTION("GOOGLETRANSLATE(C1900, ""en"", ""fr"")"),"malheureuse, triste")</f>
        <v>malheureuse, triste</v>
      </c>
      <c r="G1900" s="8" t="str">
        <f>IFERROR(__xludf.DUMMYFUNCTION("GOOGLETRANSLATE(C1900, ""en"", ""de"")"),"betrübt, traurig")</f>
        <v>betrübt, traurig</v>
      </c>
      <c r="H1900" s="8" t="str">
        <f>IFERROR(__xludf.DUMMYFUNCTION("GOOGLETRANSLATE(C1900, ""en"", ""ru"")"),"прочь, грустно")</f>
        <v>прочь, грустно</v>
      </c>
      <c r="I1900" s="8" t="str">
        <f>IFERROR(__xludf.DUMMYFUNCTION("GOOGLETRANSLATE(C1900, ""en"", ""ar"")"),"حزين، كئيب")</f>
        <v>حزين، كئيب</v>
      </c>
      <c r="J1900" s="8"/>
      <c r="K1900" s="7" t="str">
        <f>IFERROR(__xludf.DUMMYFUNCTION("CONCAT(REGEXREPLACE(C1900,""[ ,]+"",""_""),"".mp3"")"),"woebegone_sad.mp3")</f>
        <v>woebegone_sad.mp3</v>
      </c>
      <c r="M1900" s="4" t="s">
        <v>10</v>
      </c>
    </row>
    <row r="1901" ht="15.75" customHeight="1">
      <c r="A1901" s="1">
        <v>3269.0</v>
      </c>
      <c r="B1901" s="3">
        <v>155.0</v>
      </c>
      <c r="C1901" s="7" t="s">
        <v>1901</v>
      </c>
      <c r="D1901" s="8" t="str">
        <f>IFERROR(__xludf.DUMMYFUNCTION("GOOGLETRANSLATE(C1901, ""en"", ""pt"")"),"paliar, aliviar")</f>
        <v>paliar, aliviar</v>
      </c>
      <c r="E1901" s="8" t="str">
        <f>IFERROR(__xludf.DUMMYFUNCTION("GOOGLETRANSLATE(C1901, ""en"", ""es"")"),"paliar, aliviar")</f>
        <v>paliar, aliviar</v>
      </c>
      <c r="F1901" s="8" t="str">
        <f>IFERROR(__xludf.DUMMYFUNCTION("GOOGLETRANSLATE(C1901, ""en"", ""fr"")"),"pallier, soulager")</f>
        <v>pallier, soulager</v>
      </c>
      <c r="G1901" s="8" t="str">
        <f>IFERROR(__xludf.DUMMYFUNCTION("GOOGLETRANSLATE(C1901, ""en"", ""de"")"),"lindern, erleichtern")</f>
        <v>lindern, erleichtern</v>
      </c>
      <c r="H1901" s="8" t="str">
        <f>IFERROR(__xludf.DUMMYFUNCTION("GOOGLETRANSLATE(C1901, ""en"", ""ru"")"),"облегчить, смягчить")</f>
        <v>облегчить, смягчить</v>
      </c>
      <c r="I1901" s="8" t="str">
        <f>IFERROR(__xludf.DUMMYFUNCTION("GOOGLETRANSLATE(C1901, ""en"", ""ar"")"),"تخفيف، تسكين")</f>
        <v>تخفيف، تسكين</v>
      </c>
      <c r="J1901" s="8"/>
      <c r="K1901" s="7" t="str">
        <f>IFERROR(__xludf.DUMMYFUNCTION("CONCAT(REGEXREPLACE(C1901,""[ ,]+"",""_""),"".mp3"")"),"palliate_alleviate.mp3")</f>
        <v>palliate_alleviate.mp3</v>
      </c>
      <c r="M1901" s="4" t="s">
        <v>10</v>
      </c>
    </row>
    <row r="1902" ht="15.75" customHeight="1">
      <c r="A1902" s="1">
        <v>3270.0</v>
      </c>
      <c r="B1902" s="3">
        <v>155.0</v>
      </c>
      <c r="C1902" s="7" t="s">
        <v>1902</v>
      </c>
      <c r="D1902" s="8" t="str">
        <f>IFERROR(__xludf.DUMMYFUNCTION("GOOGLETRANSLATE(C1902, ""en"", ""pt"")"),"lamentar, chorar")</f>
        <v>lamentar, chorar</v>
      </c>
      <c r="E1902" s="8" t="str">
        <f>IFERROR(__xludf.DUMMYFUNCTION("GOOGLETRANSLATE(C1902, ""en"", ""es"")"),"lamentarse, quejarse")</f>
        <v>lamentarse, quejarse</v>
      </c>
      <c r="F1902" s="8" t="str">
        <f>IFERROR(__xludf.DUMMYFUNCTION("GOOGLETRANSLATE(C1902, ""en"", ""fr"")"),"se lamenter, déplorer")</f>
        <v>se lamenter, déplorer</v>
      </c>
      <c r="G1902" s="8" t="str">
        <f>IFERROR(__xludf.DUMMYFUNCTION("GOOGLETRANSLATE(C1902, ""en"", ""de"")"),"beklagen, klagen")</f>
        <v>beklagen, klagen</v>
      </c>
      <c r="H1902" s="8" t="str">
        <f>IFERROR(__xludf.DUMMYFUNCTION("GOOGLETRANSLATE(C1902, ""en"", ""ru"")"),"роптать, оплакивать")</f>
        <v>роптать, оплакивать</v>
      </c>
      <c r="I1902" s="8" t="str">
        <f>IFERROR(__xludf.DUMMYFUNCTION("GOOGLETRANSLATE(C1902, ""en"", ""ar"")"),"التذمر، والرثاء")</f>
        <v>التذمر، والرثاء</v>
      </c>
      <c r="J1902" s="8"/>
      <c r="K1902" s="7" t="str">
        <f>IFERROR(__xludf.DUMMYFUNCTION("CONCAT(REGEXREPLACE(C1902,""[ ,]+"",""_""),"".mp3"")"),"repine_lament.mp3")</f>
        <v>repine_lament.mp3</v>
      </c>
      <c r="M1902" s="4" t="s">
        <v>10</v>
      </c>
    </row>
    <row r="1903" ht="15.75" customHeight="1">
      <c r="A1903" s="1">
        <v>3271.0</v>
      </c>
      <c r="B1903" s="3">
        <v>155.0</v>
      </c>
      <c r="C1903" s="7" t="s">
        <v>1903</v>
      </c>
      <c r="D1903" s="8" t="str">
        <f>IFERROR(__xludf.DUMMYFUNCTION("GOOGLETRANSLATE(C1903, ""en"", ""pt"")"),"irritadiço, briguento")</f>
        <v>irritadiço, briguento</v>
      </c>
      <c r="E1903" s="8" t="str">
        <f>IFERROR(__xludf.DUMMYFUNCTION("GOOGLETRANSLATE(C1903, ""en"", ""es"")"),"pendenciero, pendenciero")</f>
        <v>pendenciero, pendenciero</v>
      </c>
      <c r="F1903" s="8" t="str">
        <f>IFERROR(__xludf.DUMMYFUNCTION("GOOGLETRANSLATE(C1903, ""en"", ""fr"")"),"querelleur, querelleur")</f>
        <v>querelleur, querelleur</v>
      </c>
      <c r="G1903" s="8" t="str">
        <f>IFERROR(__xludf.DUMMYFUNCTION("GOOGLETRANSLATE(C1903, ""en"", ""de"")"),"streitsüchtig, zankend")</f>
        <v>streitsüchtig, zankend</v>
      </c>
      <c r="H1903" s="8" t="str">
        <f>IFERROR(__xludf.DUMMYFUNCTION("GOOGLETRANSLATE(C1903, ""en"", ""ru"")"),"сварливый, сварливый")</f>
        <v>сварливый, сварливый</v>
      </c>
      <c r="I1903" s="8" t="str">
        <f>IFERROR(__xludf.DUMMYFUNCTION("GOOGLETRANSLATE(C1903, ""en"", ""ar"")"),"مشاكس، متنازع")</f>
        <v>مشاكس، متنازع</v>
      </c>
      <c r="J1903" s="8"/>
      <c r="K1903" s="7" t="str">
        <f>IFERROR(__xludf.DUMMYFUNCTION("CONCAT(REGEXREPLACE(C1903,""[ ,]+"",""_""),"".mp3"")"),"fractious_quarrelsome.mp3")</f>
        <v>fractious_quarrelsome.mp3</v>
      </c>
      <c r="M1903" s="4" t="s">
        <v>10</v>
      </c>
    </row>
    <row r="1904" ht="15.75" customHeight="1">
      <c r="A1904" s="1">
        <v>3272.0</v>
      </c>
      <c r="B1904" s="3">
        <v>155.0</v>
      </c>
      <c r="C1904" s="7" t="s">
        <v>1904</v>
      </c>
      <c r="D1904" s="8" t="str">
        <f>IFERROR(__xludf.DUMMYFUNCTION("GOOGLETRANSLATE(C1904, ""en"", ""pt"")"),"firme, leal")</f>
        <v>firme, leal</v>
      </c>
      <c r="E1904" s="8" t="str">
        <f>IFERROR(__xludf.DUMMYFUNCTION("GOOGLETRANSLATE(C1904, ""en"", ""es"")"),"firme, leal")</f>
        <v>firme, leal</v>
      </c>
      <c r="F1904" s="8" t="str">
        <f>IFERROR(__xludf.DUMMYFUNCTION("GOOGLETRANSLATE(C1904, ""en"", ""fr"")"),"fidèle, loyal")</f>
        <v>fidèle, loyal</v>
      </c>
      <c r="G1904" s="8" t="str">
        <f>IFERROR(__xludf.DUMMYFUNCTION("GOOGLETRANSLATE(C1904, ""en"", ""de"")"),"standhaft, loyal")</f>
        <v>standhaft, loyal</v>
      </c>
      <c r="H1904" s="8" t="str">
        <f>IFERROR(__xludf.DUMMYFUNCTION("GOOGLETRANSLATE(C1904, ""en"", ""ru"")"),"стойкий, преданный")</f>
        <v>стойкий, преданный</v>
      </c>
      <c r="I1904" s="8" t="str">
        <f>IFERROR(__xludf.DUMMYFUNCTION("GOOGLETRANSLATE(C1904, ""en"", ""ar"")"),"ثابت، مخلص")</f>
        <v>ثابت، مخلص</v>
      </c>
      <c r="J1904" s="8"/>
      <c r="K1904" s="7" t="str">
        <f>IFERROR(__xludf.DUMMYFUNCTION("CONCAT(REGEXREPLACE(C1904,""[ ,]+"",""_""),"".mp3"")"),"staunch_loyal.mp3")</f>
        <v>staunch_loyal.mp3</v>
      </c>
      <c r="M1904" s="4" t="s">
        <v>10</v>
      </c>
    </row>
    <row r="1905" ht="15.75" customHeight="1">
      <c r="A1905" s="1">
        <v>3273.0</v>
      </c>
      <c r="B1905" s="3">
        <v>155.0</v>
      </c>
      <c r="C1905" s="7" t="s">
        <v>1905</v>
      </c>
      <c r="D1905" s="8" t="str">
        <f>IFERROR(__xludf.DUMMYFUNCTION("GOOGLETRANSLATE(C1905, ""en"", ""pt"")"),"tácito, entendido")</f>
        <v>tácito, entendido</v>
      </c>
      <c r="E1905" s="8" t="str">
        <f>IFERROR(__xludf.DUMMYFUNCTION("GOOGLETRANSLATE(C1905, ""en"", ""es"")"),"tácito, entendido")</f>
        <v>tácito, entendido</v>
      </c>
      <c r="F1905" s="8" t="str">
        <f>IFERROR(__xludf.DUMMYFUNCTION("GOOGLETRANSLATE(C1905, ""en"", ""fr"")"),"tacite, compris")</f>
        <v>tacite, compris</v>
      </c>
      <c r="G1905" s="8" t="str">
        <f>IFERROR(__xludf.DUMMYFUNCTION("GOOGLETRANSLATE(C1905, ""en"", ""de"")"),"stillschweigend verstanden")</f>
        <v>stillschweigend verstanden</v>
      </c>
      <c r="H1905" s="8" t="str">
        <f>IFERROR(__xludf.DUMMYFUNCTION("GOOGLETRANSLATE(C1905, ""en"", ""ru"")"),"неявный, понятый")</f>
        <v>неявный, понятый</v>
      </c>
      <c r="I1905" s="8" t="str">
        <f>IFERROR(__xludf.DUMMYFUNCTION("GOOGLETRANSLATE(C1905, ""en"", ""ar"")"),"ضمني، مفهوم")</f>
        <v>ضمني، مفهوم</v>
      </c>
      <c r="J1905" s="8"/>
      <c r="K1905" s="7" t="str">
        <f>IFERROR(__xludf.DUMMYFUNCTION("CONCAT(REGEXREPLACE(C1905,""[ ,]+"",""_""),"".mp3"")"),"tacit_understood.mp3")</f>
        <v>tacit_understood.mp3</v>
      </c>
      <c r="M1905" s="4" t="s">
        <v>10</v>
      </c>
    </row>
    <row r="1906" ht="15.75" customHeight="1">
      <c r="A1906" s="1">
        <v>3274.0</v>
      </c>
      <c r="B1906" s="3">
        <v>155.0</v>
      </c>
      <c r="C1906" s="7" t="s">
        <v>1906</v>
      </c>
      <c r="D1906" s="8" t="str">
        <f>IFERROR(__xludf.DUMMYFUNCTION("GOOGLETRANSLATE(C1906, ""en"", ""pt"")"),"consenso, acordo")</f>
        <v>consenso, acordo</v>
      </c>
      <c r="E1906" s="8" t="str">
        <f>IFERROR(__xludf.DUMMYFUNCTION("GOOGLETRANSLATE(C1906, ""en"", ""es"")"),"consenso, acuerdo")</f>
        <v>consenso, acuerdo</v>
      </c>
      <c r="F1906" s="8" t="str">
        <f>IFERROR(__xludf.DUMMYFUNCTION("GOOGLETRANSLATE(C1906, ""en"", ""fr"")"),"consensus, accord")</f>
        <v>consensus, accord</v>
      </c>
      <c r="G1906" s="8" t="str">
        <f>IFERROR(__xludf.DUMMYFUNCTION("GOOGLETRANSLATE(C1906, ""en"", ""de"")"),"Konsens, Übereinkunft")</f>
        <v>Konsens, Übereinkunft</v>
      </c>
      <c r="H1906" s="8" t="str">
        <f>IFERROR(__xludf.DUMMYFUNCTION("GOOGLETRANSLATE(C1906, ""en"", ""ru"")"),"консенсус, соглашение")</f>
        <v>консенсус, соглашение</v>
      </c>
      <c r="I1906" s="8" t="str">
        <f>IFERROR(__xludf.DUMMYFUNCTION("GOOGLETRANSLATE(C1906, ""en"", ""ar"")"),"الإجماع، الاتفاق")</f>
        <v>الإجماع، الاتفاق</v>
      </c>
      <c r="J1906" s="8"/>
      <c r="K1906" s="7" t="str">
        <f>IFERROR(__xludf.DUMMYFUNCTION("CONCAT(REGEXREPLACE(C1906,""[ ,]+"",""_""),"".mp3"")"),"consensus_agreement.mp3")</f>
        <v>consensus_agreement.mp3</v>
      </c>
      <c r="M1906" s="4" t="s">
        <v>10</v>
      </c>
    </row>
    <row r="1907" ht="15.75" customHeight="1">
      <c r="A1907" s="1">
        <v>3275.0</v>
      </c>
      <c r="B1907" s="3">
        <v>155.0</v>
      </c>
      <c r="C1907" s="7" t="s">
        <v>1624</v>
      </c>
      <c r="D1907" s="8" t="str">
        <f>IFERROR(__xludf.DUMMYFUNCTION("GOOGLETRANSLATE(C1907, ""en"", ""pt"")"),"lúgubre, triste")</f>
        <v>lúgubre, triste</v>
      </c>
      <c r="E1907" s="8" t="str">
        <f>IFERROR(__xludf.DUMMYFUNCTION("GOOGLETRANSLATE(C1907, ""en"", ""es"")"),"lúgubre, triste")</f>
        <v>lúgubre, triste</v>
      </c>
      <c r="F1907" s="8" t="str">
        <f>IFERROR(__xludf.DUMMYFUNCTION("GOOGLETRANSLATE(C1907, ""en"", ""fr"")"),"lugubre, triste")</f>
        <v>lugubre, triste</v>
      </c>
      <c r="G1907" s="8" t="str">
        <f>IFERROR(__xludf.DUMMYFUNCTION("GOOGLETRANSLATE(C1907, ""en"", ""de"")"),"schwermütig, traurig")</f>
        <v>schwermütig, traurig</v>
      </c>
      <c r="H1907" s="8" t="str">
        <f>IFERROR(__xludf.DUMMYFUNCTION("GOOGLETRANSLATE(C1907, ""en"", ""ru"")"),"мрачный, грустный")</f>
        <v>мрачный, грустный</v>
      </c>
      <c r="I1907" s="8" t="str">
        <f>IFERROR(__xludf.DUMMYFUNCTION("GOOGLETRANSLATE(C1907, ""en"", ""ar"")"),"كئيب، حزين")</f>
        <v>كئيب، حزين</v>
      </c>
      <c r="J1907" s="8"/>
      <c r="K1907" s="7" t="str">
        <f>IFERROR(__xludf.DUMMYFUNCTION("CONCAT(REGEXREPLACE(C1907,""[ ,]+"",""_""),"".mp3"")"),"lugubrious_sad.mp3")</f>
        <v>lugubrious_sad.mp3</v>
      </c>
      <c r="M1907" s="4" t="s">
        <v>10</v>
      </c>
    </row>
    <row r="1908" ht="15.75" customHeight="1">
      <c r="A1908" s="1">
        <v>3276.0</v>
      </c>
      <c r="B1908" s="3">
        <v>155.0</v>
      </c>
      <c r="C1908" s="7" t="s">
        <v>1907</v>
      </c>
      <c r="D1908" s="8" t="str">
        <f>IFERROR(__xludf.DUMMYFUNCTION("GOOGLETRANSLATE(C1908, ""en"", ""pt"")"),"triste, melancólico")</f>
        <v>triste, melancólico</v>
      </c>
      <c r="E1908" s="8" t="str">
        <f>IFERROR(__xludf.DUMMYFUNCTION("GOOGLETRANSLATE(C1908, ""en"", ""es"")"),"triste, melancólico")</f>
        <v>triste, melancólico</v>
      </c>
      <c r="F1908" s="8" t="str">
        <f>IFERROR(__xludf.DUMMYFUNCTION("GOOGLETRANSLATE(C1908, ""en"", ""fr"")"),"triste et mélancolique")</f>
        <v>triste et mélancolique</v>
      </c>
      <c r="G1908" s="8" t="str">
        <f>IFERROR(__xludf.DUMMYFUNCTION("GOOGLETRANSLATE(C1908, ""en"", ""de"")"),"traurig, bedrückend")</f>
        <v>traurig, bedrückend</v>
      </c>
      <c r="H1908" s="8" t="str">
        <f>IFERROR(__xludf.DUMMYFUNCTION("GOOGLETRANSLATE(C1908, ""en"", ""ru"")"),"печальный, грустный")</f>
        <v>печальный, грустный</v>
      </c>
      <c r="I1908" s="8" t="str">
        <f>IFERROR(__xludf.DUMMYFUNCTION("GOOGLETRANSLATE(C1908, ""en"", ""ar"")"),"كئيب، حزين")</f>
        <v>كئيب، حزين</v>
      </c>
      <c r="J1908" s="8"/>
      <c r="K1908" s="7" t="str">
        <f>IFERROR(__xludf.DUMMYFUNCTION("CONCAT(REGEXREPLACE(C1908,""[ ,]+"",""_""),"".mp3"")"),"doleful_sad.mp3")</f>
        <v>doleful_sad.mp3</v>
      </c>
      <c r="M1908" s="4" t="s">
        <v>10</v>
      </c>
    </row>
    <row r="1909" ht="15.75" customHeight="1">
      <c r="A1909" s="1">
        <v>3277.0</v>
      </c>
      <c r="B1909" s="3">
        <v>155.0</v>
      </c>
      <c r="C1909" s="7" t="s">
        <v>1908</v>
      </c>
      <c r="D1909" s="8" t="str">
        <f>IFERROR(__xludf.DUMMYFUNCTION("GOOGLETRANSLATE(C1909, ""en"", ""pt"")"),"ignomínia, desgraça")</f>
        <v>ignomínia, desgraça</v>
      </c>
      <c r="E1909" s="8" t="str">
        <f>IFERROR(__xludf.DUMMYFUNCTION("GOOGLETRANSLATE(C1909, ""en"", ""es"")"),"ignominia, desgracia")</f>
        <v>ignominia, desgracia</v>
      </c>
      <c r="F1909" s="8" t="str">
        <f>IFERROR(__xludf.DUMMYFUNCTION("GOOGLETRANSLATE(C1909, ""en"", ""fr"")"),"ignominie, déshonneur")</f>
        <v>ignominie, déshonneur</v>
      </c>
      <c r="G1909" s="8" t="str">
        <f>IFERROR(__xludf.DUMMYFUNCTION("GOOGLETRANSLATE(C1909, ""en"", ""de"")"),"Schmach, Schande")</f>
        <v>Schmach, Schande</v>
      </c>
      <c r="H1909" s="8" t="str">
        <f>IFERROR(__xludf.DUMMYFUNCTION("GOOGLETRANSLATE(C1909, ""en"", ""ru"")"),"бесчестие, позор")</f>
        <v>бесчестие, позор</v>
      </c>
      <c r="I1909" s="8" t="str">
        <f>IFERROR(__xludf.DUMMYFUNCTION("GOOGLETRANSLATE(C1909, ""en"", ""ar"")"),"العار والخزي")</f>
        <v>العار والخزي</v>
      </c>
      <c r="J1909" s="8"/>
      <c r="K1909" s="7" t="str">
        <f>IFERROR(__xludf.DUMMYFUNCTION("CONCAT(REGEXREPLACE(C1909,""[ ,]+"",""_""),"".mp3"")"),"ignominy_disgrace.mp3")</f>
        <v>ignominy_disgrace.mp3</v>
      </c>
      <c r="M1909" s="4" t="s">
        <v>10</v>
      </c>
    </row>
    <row r="1910" ht="15.75" customHeight="1">
      <c r="A1910" s="1">
        <v>3278.0</v>
      </c>
      <c r="B1910" s="3">
        <v>155.0</v>
      </c>
      <c r="C1910" s="7" t="s">
        <v>1909</v>
      </c>
      <c r="D1910" s="8" t="str">
        <f>IFERROR(__xludf.DUMMYFUNCTION("GOOGLETRANSLATE(C1910, ""en"", ""pt"")"),"retícula, uma bolsa feminina")</f>
        <v>retícula, uma bolsa feminina</v>
      </c>
      <c r="E1910" s="8" t="str">
        <f>IFERROR(__xludf.DUMMYFUNCTION("GOOGLETRANSLATE(C1910, ""en"", ""es"")"),"retículo, un bolso de mujer")</f>
        <v>retículo, un bolso de mujer</v>
      </c>
      <c r="F1910" s="8" t="str">
        <f>IFERROR(__xludf.DUMMYFUNCTION("GOOGLETRANSLATE(C1910, ""en"", ""fr"")"),"réticule, sac à main de dame")</f>
        <v>réticule, sac à main de dame</v>
      </c>
      <c r="G1910" s="8" t="str">
        <f>IFERROR(__xludf.DUMMYFUNCTION("GOOGLETRANSLATE(C1910, ""en"", ""de"")"),"Handtasche, eine Damenhandtasche")</f>
        <v>Handtasche, eine Damenhandtasche</v>
      </c>
      <c r="H1910" s="8" t="str">
        <f>IFERROR(__xludf.DUMMYFUNCTION("GOOGLETRANSLATE(C1910, ""en"", ""ru"")"),"сумочка, дамская сумочка")</f>
        <v>сумочка, дамская сумочка</v>
      </c>
      <c r="I1910" s="8" t="str">
        <f>IFERROR(__xludf.DUMMYFUNCTION("GOOGLETRANSLATE(C1910, ""en"", ""ar"")"),"حقيبة يد، محفظة نسائية")</f>
        <v>حقيبة يد، محفظة نسائية</v>
      </c>
      <c r="J1910" s="8"/>
      <c r="K1910" s="7" t="str">
        <f>IFERROR(__xludf.DUMMYFUNCTION("CONCAT(REGEXREPLACE(C1910,""[ ,]+"",""_""),"".mp3"")"),"reticule_a_lady’s_purse.mp3")</f>
        <v>reticule_a_lady’s_purse.mp3</v>
      </c>
      <c r="M1910" s="4" t="s">
        <v>10</v>
      </c>
    </row>
    <row r="1911" ht="15.75" customHeight="1">
      <c r="A1911" s="1">
        <v>3279.0</v>
      </c>
      <c r="B1911" s="3">
        <v>155.0</v>
      </c>
      <c r="C1911" s="7" t="s">
        <v>1910</v>
      </c>
      <c r="D1911" s="8" t="str">
        <f>IFERROR(__xludf.DUMMYFUNCTION("GOOGLETRANSLATE(C1911, ""en"", ""pt"")"),"guarda-sol, um guarda-chuva feminino")</f>
        <v>guarda-sol, um guarda-chuva feminino</v>
      </c>
      <c r="E1911" s="8" t="str">
        <f>IFERROR(__xludf.DUMMYFUNCTION("GOOGLETRANSLATE(C1911, ""en"", ""es"")"),"sombrilla, un paraguas de mujer")</f>
        <v>sombrilla, un paraguas de mujer</v>
      </c>
      <c r="F1911" s="8" t="str">
        <f>IFERROR(__xludf.DUMMYFUNCTION("GOOGLETRANSLATE(C1911, ""en"", ""fr"")"),"parasol, parapluie de dame")</f>
        <v>parasol, parapluie de dame</v>
      </c>
      <c r="G1911" s="8" t="str">
        <f>IFERROR(__xludf.DUMMYFUNCTION("GOOGLETRANSLATE(C1911, ""en"", ""de"")"),"Sonnenschirm, ein Damenschirm")</f>
        <v>Sonnenschirm, ein Damenschirm</v>
      </c>
      <c r="H1911" s="8" t="str">
        <f>IFERROR(__xludf.DUMMYFUNCTION("GOOGLETRANSLATE(C1911, ""en"", ""ru"")"),"зонтик от солнца, женский зонтик")</f>
        <v>зонтик от солнца, женский зонтик</v>
      </c>
      <c r="I1911" s="8" t="str">
        <f>IFERROR(__xludf.DUMMYFUNCTION("GOOGLETRANSLATE(C1911, ""en"", ""ar"")"),"مظلة شمسية، مظلة نسائية")</f>
        <v>مظلة شمسية، مظلة نسائية</v>
      </c>
      <c r="J1911" s="8"/>
      <c r="K1911" s="7" t="str">
        <f>IFERROR(__xludf.DUMMYFUNCTION("CONCAT(REGEXREPLACE(C1911,""[ ,]+"",""_""),"".mp3"")"),"parasol_a_lady’s_umbrella.mp3")</f>
        <v>parasol_a_lady’s_umbrella.mp3</v>
      </c>
      <c r="M1911" s="4" t="s">
        <v>10</v>
      </c>
    </row>
    <row r="1912" ht="15.75" customHeight="1">
      <c r="A1912" s="1">
        <v>3280.0</v>
      </c>
      <c r="B1912" s="3">
        <v>155.0</v>
      </c>
      <c r="C1912" s="7" t="s">
        <v>1445</v>
      </c>
      <c r="D1912" s="8" t="str">
        <f>IFERROR(__xludf.DUMMYFUNCTION("GOOGLETRANSLATE(C1912, ""en"", ""pt"")"),"grátis")</f>
        <v>grátis</v>
      </c>
      <c r="E1912" s="8" t="str">
        <f>IFERROR(__xludf.DUMMYFUNCTION("GOOGLETRANSLATE(C1912, ""en"", ""es"")"),"gratis, gratuito")</f>
        <v>gratis, gratuito</v>
      </c>
      <c r="F1912" s="8" t="str">
        <f>IFERROR(__xludf.DUMMYFUNCTION("GOOGLETRANSLATE(C1912, ""en"", ""fr"")"),"gratuit, gratuit")</f>
        <v>gratuit, gratuit</v>
      </c>
      <c r="G1912" s="8" t="str">
        <f>IFERROR(__xludf.DUMMYFUNCTION("GOOGLETRANSLATE(C1912, ""en"", ""de"")"),"gratis, kostenlos")</f>
        <v>gratis, kostenlos</v>
      </c>
      <c r="H1912" s="8" t="str">
        <f>IFERROR(__xludf.DUMMYFUNCTION("GOOGLETRANSLATE(C1912, ""en"", ""ru"")"),"бесплатно, бесплатно")</f>
        <v>бесплатно, бесплатно</v>
      </c>
      <c r="I1912" s="8" t="str">
        <f>IFERROR(__xludf.DUMMYFUNCTION("GOOGLETRANSLATE(C1912, ""en"", ""ar"")"),"مجاني")</f>
        <v>مجاني</v>
      </c>
      <c r="J1912" s="8"/>
      <c r="K1912" s="7" t="str">
        <f>IFERROR(__xludf.DUMMYFUNCTION("CONCAT(REGEXREPLACE(C1912,""[ ,]+"",""_""),"".mp3"")"),"gratis_free.mp3")</f>
        <v>gratis_free.mp3</v>
      </c>
      <c r="M1912" s="4" t="s">
        <v>10</v>
      </c>
    </row>
    <row r="1913" ht="15.75" customHeight="1">
      <c r="A1913" s="1">
        <v>3281.0</v>
      </c>
      <c r="B1913" s="3">
        <v>155.0</v>
      </c>
      <c r="C1913" s="7" t="s">
        <v>1911</v>
      </c>
      <c r="D1913" s="8" t="str">
        <f>IFERROR(__xludf.DUMMYFUNCTION("GOOGLETRANSLATE(C1913, ""en"", ""pt"")"),"gentil, amável")</f>
        <v>gentil, amável</v>
      </c>
      <c r="E1913" s="8" t="str">
        <f>IFERROR(__xludf.DUMMYFUNCTION("GOOGLETRANSLATE(C1913, ""en"", ""es"")"),"amable, bondadoso")</f>
        <v>amable, bondadoso</v>
      </c>
      <c r="F1913" s="8" t="str">
        <f>IFERROR(__xludf.DUMMYFUNCTION("GOOGLETRANSLATE(C1913, ""en"", ""fr"")"),"aimable, gentille")</f>
        <v>aimable, gentille</v>
      </c>
      <c r="G1913" s="8" t="str">
        <f>IFERROR(__xludf.DUMMYFUNCTION("GOOGLETRANSLATE(C1913, ""en"", ""de"")"),"gnädig, freundlich")</f>
        <v>gnädig, freundlich</v>
      </c>
      <c r="H1913" s="8" t="str">
        <f>IFERROR(__xludf.DUMMYFUNCTION("GOOGLETRANSLATE(C1913, ""en"", ""ru"")"),"любезный, добрый")</f>
        <v>любезный, добрый</v>
      </c>
      <c r="I1913" s="8" t="str">
        <f>IFERROR(__xludf.DUMMYFUNCTION("GOOGLETRANSLATE(C1913, ""en"", ""ar"")"),"كريم، لطيف")</f>
        <v>كريم، لطيف</v>
      </c>
      <c r="J1913" s="8"/>
      <c r="K1913" s="7" t="str">
        <f>IFERROR(__xludf.DUMMYFUNCTION("CONCAT(REGEXREPLACE(C1913,""[ ,]+"",""_""),"".mp3"")"),"gracious_kind.mp3")</f>
        <v>gracious_kind.mp3</v>
      </c>
      <c r="M1913" s="4" t="s">
        <v>10</v>
      </c>
    </row>
    <row r="1914" ht="15.75" customHeight="1">
      <c r="A1914" s="1">
        <v>3282.0</v>
      </c>
      <c r="B1914" s="3">
        <v>155.0</v>
      </c>
      <c r="C1914" s="7" t="s">
        <v>1912</v>
      </c>
      <c r="D1914" s="8" t="str">
        <f>IFERROR(__xludf.DUMMYFUNCTION("GOOGLETRANSLATE(C1914, ""en"", ""pt"")"),"escaramuça, briga")</f>
        <v>escaramuça, briga</v>
      </c>
      <c r="E1914" s="8" t="str">
        <f>IFERROR(__xludf.DUMMYFUNCTION("GOOGLETRANSLATE(C1914, ""en"", ""es"")"),"escaramuza, riña")</f>
        <v>escaramuza, riña</v>
      </c>
      <c r="F1914" s="8" t="str">
        <f>IFERROR(__xludf.DUMMYFUNCTION("GOOGLETRANSLATE(C1914, ""en"", ""fr"")"),"escarmouche, querelle")</f>
        <v>escarmouche, querelle</v>
      </c>
      <c r="G1914" s="8" t="str">
        <f>IFERROR(__xludf.DUMMYFUNCTION("GOOGLETRANSLATE(C1914, ""en"", ""de"")"),"Scharmützel, Streit")</f>
        <v>Scharmützel, Streit</v>
      </c>
      <c r="H1914" s="8" t="str">
        <f>IFERROR(__xludf.DUMMYFUNCTION("GOOGLETRANSLATE(C1914, ""en"", ""ru"")"),"стычка, ссора")</f>
        <v>стычка, ссора</v>
      </c>
      <c r="I1914" s="8" t="str">
        <f>IFERROR(__xludf.DUMMYFUNCTION("GOOGLETRANSLATE(C1914, ""en"", ""ar"")"),"مناوشة، شجار")</f>
        <v>مناوشة، شجار</v>
      </c>
      <c r="J1914" s="8"/>
      <c r="K1914" s="7" t="str">
        <f>IFERROR(__xludf.DUMMYFUNCTION("CONCAT(REGEXREPLACE(C1914,""[ ,]+"",""_""),"".mp3"")"),"skirmish_quarrel.mp3")</f>
        <v>skirmish_quarrel.mp3</v>
      </c>
      <c r="M1914" s="4" t="s">
        <v>10</v>
      </c>
    </row>
    <row r="1915" ht="15.75" customHeight="1">
      <c r="A1915" s="1">
        <v>3283.0</v>
      </c>
      <c r="B1915" s="3">
        <v>155.0</v>
      </c>
      <c r="C1915" s="7" t="s">
        <v>1913</v>
      </c>
      <c r="D1915" s="8" t="str">
        <f>IFERROR(__xludf.DUMMYFUNCTION("GOOGLETRANSLATE(C1915, ""en"", ""pt"")"),"eliminar, escolher")</f>
        <v>eliminar, escolher</v>
      </c>
      <c r="E1915" s="8" t="str">
        <f>IFERROR(__xludf.DUMMYFUNCTION("GOOGLETRANSLATE(C1915, ""en"", ""es"")"),"seleccionar, elegir")</f>
        <v>seleccionar, elegir</v>
      </c>
      <c r="F1915" s="8" t="str">
        <f>IFERROR(__xludf.DUMMYFUNCTION("GOOGLETRANSLATE(C1915, ""en"", ""fr"")"),"abattre, choisir")</f>
        <v>abattre, choisir</v>
      </c>
      <c r="G1915" s="8" t="str">
        <f>IFERROR(__xludf.DUMMYFUNCTION("GOOGLETRANSLATE(C1915, ""en"", ""de"")"),"Aussortieren, auswählen")</f>
        <v>Aussortieren, auswählen</v>
      </c>
      <c r="H1915" s="8" t="str">
        <f>IFERROR(__xludf.DUMMYFUNCTION("GOOGLETRANSLATE(C1915, ""en"", ""ru"")"),"отбор, выбор")</f>
        <v>отбор, выбор</v>
      </c>
      <c r="I1915" s="8" t="str">
        <f>IFERROR(__xludf.DUMMYFUNCTION("GOOGLETRANSLATE(C1915, ""en"", ""ar"")"),"انتقاء، اختيار")</f>
        <v>انتقاء، اختيار</v>
      </c>
      <c r="J1915" s="8"/>
      <c r="K1915" s="7" t="str">
        <f>IFERROR(__xludf.DUMMYFUNCTION("CONCAT(REGEXREPLACE(C1915,""[ ,]+"",""_""),"".mp3"")"),"cull_choose.mp3")</f>
        <v>cull_choose.mp3</v>
      </c>
      <c r="M1915" s="4" t="s">
        <v>10</v>
      </c>
    </row>
    <row r="1916" ht="15.75" customHeight="1">
      <c r="A1916" s="1">
        <v>3284.0</v>
      </c>
      <c r="B1916" s="3">
        <v>155.0</v>
      </c>
      <c r="C1916" s="7" t="s">
        <v>1914</v>
      </c>
      <c r="D1916" s="8" t="str">
        <f>IFERROR(__xludf.DUMMYFUNCTION("GOOGLETRANSLATE(C1916, ""en"", ""pt"")"),"lento, lento")</f>
        <v>lento, lento</v>
      </c>
      <c r="E1916" s="8" t="str">
        <f>IFERROR(__xludf.DUMMYFUNCTION("GOOGLETRANSLATE(C1916, ""en"", ""es"")"),"dilatorio, lento")</f>
        <v>dilatorio, lento</v>
      </c>
      <c r="F1916" s="8" t="str">
        <f>IFERROR(__xludf.DUMMYFUNCTION("GOOGLETRANSLATE(C1916, ""en"", ""fr"")"),"dilatoire, lent")</f>
        <v>dilatoire, lent</v>
      </c>
      <c r="G1916" s="8" t="str">
        <f>IFERROR(__xludf.DUMMYFUNCTION("GOOGLETRANSLATE(C1916, ""en"", ""de"")"),"verzögernd, träge")</f>
        <v>verzögernd, träge</v>
      </c>
      <c r="H1916" s="8" t="str">
        <f>IFERROR(__xludf.DUMMYFUNCTION("GOOGLETRANSLATE(C1916, ""en"", ""ru"")"),"медлительный, вялый")</f>
        <v>медлительный, вялый</v>
      </c>
      <c r="I1916" s="8" t="str">
        <f>IFERROR(__xludf.DUMMYFUNCTION("GOOGLETRANSLATE(C1916, ""en"", ""ar"")"),"متردد، بطيء")</f>
        <v>متردد، بطيء</v>
      </c>
      <c r="J1916" s="8"/>
      <c r="K1916" s="7" t="str">
        <f>IFERROR(__xludf.DUMMYFUNCTION("CONCAT(REGEXREPLACE(C1916,""[ ,]+"",""_""),"".mp3"")"),"dilatory_sluggish.mp3")</f>
        <v>dilatory_sluggish.mp3</v>
      </c>
      <c r="M1916" s="4" t="s">
        <v>10</v>
      </c>
    </row>
    <row r="1917" ht="15.75" customHeight="1">
      <c r="A1917" s="1">
        <v>3285.0</v>
      </c>
      <c r="B1917" s="3">
        <v>155.0</v>
      </c>
      <c r="C1917" s="7" t="s">
        <v>1915</v>
      </c>
      <c r="D1917" s="8" t="str">
        <f>IFERROR(__xludf.DUMMYFUNCTION("GOOGLETRANSLATE(C1917, ""en"", ""pt"")"),"despreocupado, despreocupado")</f>
        <v>despreocupado, despreocupado</v>
      </c>
      <c r="E1917" s="8" t="str">
        <f>IFERROR(__xludf.DUMMYFUNCTION("GOOGLETRANSLATE(C1917, ""en"", ""es"")"),"despreocupado, sin preocupaciones")</f>
        <v>despreocupado, sin preocupaciones</v>
      </c>
      <c r="F1917" s="8" t="str">
        <f>IFERROR(__xludf.DUMMYFUNCTION("GOOGLETRANSLATE(C1917, ""en"", ""fr"")"),"insouciant, sans souci")</f>
        <v>insouciant, sans souci</v>
      </c>
      <c r="G1917" s="8" t="str">
        <f>IFERROR(__xludf.DUMMYFUNCTION("GOOGLETRANSLATE(C1917, ""en"", ""de"")"),"unbekümmert, sorglos")</f>
        <v>unbekümmert, sorglos</v>
      </c>
      <c r="H1917" s="8" t="str">
        <f>IFERROR(__xludf.DUMMYFUNCTION("GOOGLETRANSLATE(C1917, ""en"", ""ru"")"),"беззаботный, невозмутимый")</f>
        <v>беззаботный, невозмутимый</v>
      </c>
      <c r="I1917" s="8" t="str">
        <f>IFERROR(__xludf.DUMMYFUNCTION("GOOGLETRANSLATE(C1917, ""en"", ""ar"")"),"غير مبالٍ، غير قلق")</f>
        <v>غير مبالٍ، غير قلق</v>
      </c>
      <c r="J1917" s="8"/>
      <c r="K1917" s="7" t="str">
        <f>IFERROR(__xludf.DUMMYFUNCTION("CONCAT(REGEXREPLACE(C1917,""[ ,]+"",""_""),"".mp3"")"),"insouciant_unworried.mp3")</f>
        <v>insouciant_unworried.mp3</v>
      </c>
      <c r="M1917" s="4" t="s">
        <v>10</v>
      </c>
    </row>
    <row r="1918" ht="15.75" customHeight="1">
      <c r="A1918" s="1">
        <v>3286.0</v>
      </c>
      <c r="B1918" s="3">
        <v>155.0</v>
      </c>
      <c r="C1918" s="7" t="s">
        <v>1916</v>
      </c>
      <c r="D1918" s="8" t="str">
        <f>IFERROR(__xludf.DUMMYFUNCTION("GOOGLETRANSLATE(C1918, ""en"", ""pt"")"),"vencer, conquistar")</f>
        <v>vencer, conquistar</v>
      </c>
      <c r="E1918" s="8" t="str">
        <f>IFERROR(__xludf.DUMMYFUNCTION("GOOGLETRANSLATE(C1918, ""en"", ""es"")"),"vencer, conquistar")</f>
        <v>vencer, conquistar</v>
      </c>
      <c r="F1918" s="8" t="str">
        <f>IFERROR(__xludf.DUMMYFUNCTION("GOOGLETRANSLATE(C1918, ""en"", ""fr"")"),"vaincre, conquérir")</f>
        <v>vaincre, conquérir</v>
      </c>
      <c r="G1918" s="8" t="str">
        <f>IFERROR(__xludf.DUMMYFUNCTION("GOOGLETRANSLATE(C1918, ""en"", ""de"")"),"besiegen, erobern")</f>
        <v>besiegen, erobern</v>
      </c>
      <c r="H1918" s="8" t="str">
        <f>IFERROR(__xludf.DUMMYFUNCTION("GOOGLETRANSLATE(C1918, ""en"", ""ru"")"),"победить, завоевать")</f>
        <v>победить, завоевать</v>
      </c>
      <c r="I1918" s="8" t="str">
        <f>IFERROR(__xludf.DUMMYFUNCTION("GOOGLETRANSLATE(C1918, ""en"", ""ar"")"),"اهزم، انتصر")</f>
        <v>اهزم، انتصر</v>
      </c>
      <c r="J1918" s="8"/>
      <c r="K1918" s="7" t="str">
        <f>IFERROR(__xludf.DUMMYFUNCTION("CONCAT(REGEXREPLACE(C1918,""[ ,]+"",""_""),"".mp3"")"),"vanquish_conquer.mp3")</f>
        <v>vanquish_conquer.mp3</v>
      </c>
      <c r="M1918" s="4" t="s">
        <v>10</v>
      </c>
    </row>
    <row r="1919" ht="15.75" customHeight="1">
      <c r="A1919" s="1">
        <v>3287.0</v>
      </c>
      <c r="B1919" s="3">
        <v>155.0</v>
      </c>
      <c r="C1919" s="7" t="s">
        <v>1917</v>
      </c>
      <c r="D1919" s="8" t="str">
        <f>IFERROR(__xludf.DUMMYFUNCTION("GOOGLETRANSLATE(C1919, ""en"", ""pt"")"),"estadia temporária")</f>
        <v>estadia temporária</v>
      </c>
      <c r="E1919" s="8" t="str">
        <f>IFERROR(__xludf.DUMMYFUNCTION("GOOGLETRANSLATE(C1919, ""en"", ""es"")"),"estancia temporal, estadía prolongada")</f>
        <v>estancia temporal, estadía prolongada</v>
      </c>
      <c r="F1919" s="8" t="str">
        <f>IFERROR(__xludf.DUMMYFUNCTION("GOOGLETRANSLATE(C1919, ""en"", ""fr"")"),"séjour, séjour temporaire")</f>
        <v>séjour, séjour temporaire</v>
      </c>
      <c r="G1919" s="8" t="str">
        <f>IFERROR(__xludf.DUMMYFUNCTION("GOOGLETRANSLATE(C1919, ""en"", ""de"")"),"Aufenthalt, vorübergehender Aufenthalt")</f>
        <v>Aufenthalt, vorübergehender Aufenthalt</v>
      </c>
      <c r="H1919" s="8" t="str">
        <f>IFERROR(__xludf.DUMMYFUNCTION("GOOGLETRANSLATE(C1919, ""en"", ""ru"")"),"временное пребывание")</f>
        <v>временное пребывание</v>
      </c>
      <c r="I1919" s="8" t="str">
        <f>IFERROR(__xludf.DUMMYFUNCTION("GOOGLETRANSLATE(C1919, ""en"", ""ar"")"),"إقامة مؤقتة")</f>
        <v>إقامة مؤقتة</v>
      </c>
      <c r="J1919" s="8"/>
      <c r="K1919" s="7" t="str">
        <f>IFERROR(__xludf.DUMMYFUNCTION("CONCAT(REGEXREPLACE(C1919,""[ ,]+"",""_""),"".mp3"")"),"sojourn_stay_temporarily.mp3")</f>
        <v>sojourn_stay_temporarily.mp3</v>
      </c>
      <c r="M1919" s="4" t="s">
        <v>10</v>
      </c>
    </row>
    <row r="1920" ht="15.75" customHeight="1">
      <c r="A1920" s="1">
        <v>3288.0</v>
      </c>
      <c r="B1920" s="3">
        <v>155.0</v>
      </c>
      <c r="C1920" s="7" t="s">
        <v>1918</v>
      </c>
      <c r="D1920" s="8" t="str">
        <f>IFERROR(__xludf.DUMMYFUNCTION("GOOGLETRANSLATE(C1920, ""en"", ""pt"")"),"infringir, violar")</f>
        <v>infringir, violar</v>
      </c>
      <c r="E1920" s="8" t="str">
        <f>IFERROR(__xludf.DUMMYFUNCTION("GOOGLETRANSLATE(C1920, ""en"", ""es"")"),"infringir, incumplir")</f>
        <v>infringir, incumplir</v>
      </c>
      <c r="F1920" s="8" t="str">
        <f>IFERROR(__xludf.DUMMYFUNCTION("GOOGLETRANSLATE(C1920, ""en"", ""fr"")"),"enfreindre, violation")</f>
        <v>enfreindre, violation</v>
      </c>
      <c r="G1920" s="8" t="str">
        <f>IFERROR(__xludf.DUMMYFUNCTION("GOOGLETRANSLATE(C1920, ""en"", ""de"")"),"verletzen, Verstoß")</f>
        <v>verletzen, Verstoß</v>
      </c>
      <c r="H1920" s="8" t="str">
        <f>IFERROR(__xludf.DUMMYFUNCTION("GOOGLETRANSLATE(C1920, ""en"", ""ru"")"),"нарушать, несоблюдать")</f>
        <v>нарушать, несоблюдать</v>
      </c>
      <c r="I1920" s="8" t="str">
        <f>IFERROR(__xludf.DUMMYFUNCTION("GOOGLETRANSLATE(C1920, ""en"", ""ar"")"),"انتهاك، خرق")</f>
        <v>انتهاك، خرق</v>
      </c>
      <c r="J1920" s="8"/>
      <c r="K1920" s="7" t="str">
        <f>IFERROR(__xludf.DUMMYFUNCTION("CONCAT(REGEXREPLACE(C1920,""[ ,]+"",""_""),"".mp3"")"),"infringe_breach.mp3")</f>
        <v>infringe_breach.mp3</v>
      </c>
      <c r="M1920" s="4" t="s">
        <v>10</v>
      </c>
    </row>
    <row r="1921" ht="15.75" customHeight="1">
      <c r="A1921" s="1">
        <v>3289.0</v>
      </c>
      <c r="B1921" s="3">
        <v>155.0</v>
      </c>
      <c r="C1921" s="7" t="s">
        <v>1919</v>
      </c>
      <c r="D1921" s="8" t="str">
        <f>IFERROR(__xludf.DUMMYFUNCTION("GOOGLETRANSLATE(C1921, ""en"", ""pt"")"),"corajoso, destemido")</f>
        <v>corajoso, destemido</v>
      </c>
      <c r="E1921" s="8" t="str">
        <f>IFERROR(__xludf.DUMMYFUNCTION("GOOGLETRANSLATE(C1921, ""en"", ""es"")"),"valiente, audaz")</f>
        <v>valiente, audaz</v>
      </c>
      <c r="F1921" s="8" t="str">
        <f>IFERROR(__xludf.DUMMYFUNCTION("GOOGLETRANSLATE(C1921, ""en"", ""fr"")"),"courageuse, intrépide")</f>
        <v>courageuse, intrépide</v>
      </c>
      <c r="G1921" s="8" t="str">
        <f>IFERROR(__xludf.DUMMYFUNCTION("GOOGLETRANSLATE(C1921, ""en"", ""de"")"),"tapfer, mutig")</f>
        <v>tapfer, mutig</v>
      </c>
      <c r="H1921" s="8" t="str">
        <f>IFERROR(__xludf.DUMMYFUNCTION("GOOGLETRANSLATE(C1921, ""en"", ""ru"")"),"отважный, смелый")</f>
        <v>отважный, смелый</v>
      </c>
      <c r="I1921" s="8" t="str">
        <f>IFERROR(__xludf.DUMMYFUNCTION("GOOGLETRANSLATE(C1921, ""en"", ""ar"")"),"شجاع، جريء")</f>
        <v>شجاع، جريء</v>
      </c>
      <c r="J1921" s="8"/>
      <c r="K1921" s="7" t="str">
        <f>IFERROR(__xludf.DUMMYFUNCTION("CONCAT(REGEXREPLACE(C1921,""[ ,]+"",""_""),"".mp3"")"),"plucky_courageous.mp3")</f>
        <v>plucky_courageous.mp3</v>
      </c>
      <c r="M1921" s="4" t="s">
        <v>10</v>
      </c>
    </row>
    <row r="1922" ht="15.75" customHeight="1">
      <c r="A1922" s="1">
        <v>3290.0</v>
      </c>
      <c r="B1922" s="3">
        <v>155.0</v>
      </c>
      <c r="C1922" s="7" t="s">
        <v>1920</v>
      </c>
      <c r="D1922" s="8" t="str">
        <f>IFERROR(__xludf.DUMMYFUNCTION("GOOGLETRANSLATE(C1922, ""en"", ""pt"")"),"confuso, atordoado")</f>
        <v>confuso, atordoado</v>
      </c>
      <c r="E1922" s="8" t="str">
        <f>IFERROR(__xludf.DUMMYFUNCTION("GOOGLETRANSLATE(C1922, ""en"", ""es"")"),"aturdido, confundido")</f>
        <v>aturdido, confundido</v>
      </c>
      <c r="F1922" s="8" t="str">
        <f>IFERROR(__xludf.DUMMYFUNCTION("GOOGLETRANSLATE(C1922, ""en"", ""fr"")"),"égarer, confus")</f>
        <v>égarer, confus</v>
      </c>
      <c r="G1922" s="8" t="str">
        <f>IFERROR(__xludf.DUMMYFUNCTION("GOOGLETRANSLATE(C1922, ""en"", ""de"")"),"verwirrt")</f>
        <v>verwirrt</v>
      </c>
      <c r="H1922" s="8" t="str">
        <f>IFERROR(__xludf.DUMMYFUNCTION("GOOGLETRANSLATE(C1922, ""en"", ""ru"")"),"безмозглый, растерянный")</f>
        <v>безмозглый, растерянный</v>
      </c>
      <c r="I1922" s="8" t="str">
        <f>IFERROR(__xludf.DUMMYFUNCTION("GOOGLETRANSLATE(C1922, ""en"", ""ar"")"),"مشوش، مرتبك")</f>
        <v>مشوش، مرتبك</v>
      </c>
      <c r="J1922" s="8"/>
      <c r="K1922" s="7" t="str">
        <f>IFERROR(__xludf.DUMMYFUNCTION("CONCAT(REGEXREPLACE(C1922,""[ ,]+"",""_""),"".mp3"")"),"addle_confused.mp3")</f>
        <v>addle_confused.mp3</v>
      </c>
      <c r="M1922" s="4" t="s">
        <v>10</v>
      </c>
    </row>
    <row r="1923" ht="15.75" customHeight="1">
      <c r="A1923" s="1">
        <v>3291.0</v>
      </c>
      <c r="B1923" s="3">
        <v>155.0</v>
      </c>
      <c r="C1923" s="7" t="s">
        <v>1921</v>
      </c>
      <c r="D1923" s="8" t="str">
        <f>IFERROR(__xludf.DUMMYFUNCTION("GOOGLETRANSLATE(C1923, ""en"", ""pt"")"),"litoral, costeiro")</f>
        <v>litoral, costeiro</v>
      </c>
      <c r="E1923" s="8" t="str">
        <f>IFERROR(__xludf.DUMMYFUNCTION("GOOGLETRANSLATE(C1923, ""en"", ""es"")"),"litoral, costero")</f>
        <v>litoral, costero</v>
      </c>
      <c r="F1923" s="8" t="str">
        <f>IFERROR(__xludf.DUMMYFUNCTION("GOOGLETRANSLATE(C1923, ""en"", ""fr"")"),"littoral, côtier")</f>
        <v>littoral, côtier</v>
      </c>
      <c r="G1923" s="8" t="str">
        <f>IFERROR(__xludf.DUMMYFUNCTION("GOOGLETRANSLATE(C1923, ""en"", ""de"")"),"Küste, Küsten")</f>
        <v>Küste, Küsten</v>
      </c>
      <c r="H1923" s="8" t="str">
        <f>IFERROR(__xludf.DUMMYFUNCTION("GOOGLETRANSLATE(C1923, ""en"", ""ru"")"),"прибрежный, прибрежный")</f>
        <v>прибрежный, прибрежный</v>
      </c>
      <c r="I1923" s="8" t="str">
        <f>IFERROR(__xludf.DUMMYFUNCTION("GOOGLETRANSLATE(C1923, ""en"", ""ar"")"),"ساحلي، ساحلي")</f>
        <v>ساحلي، ساحلي</v>
      </c>
      <c r="J1923" s="8"/>
      <c r="K1923" s="7" t="str">
        <f>IFERROR(__xludf.DUMMYFUNCTION("CONCAT(REGEXREPLACE(C1923,""[ ,]+"",""_""),"".mp3"")"),"littoral_coastal.mp3")</f>
        <v>littoral_coastal.mp3</v>
      </c>
      <c r="M1923" s="4" t="s">
        <v>10</v>
      </c>
    </row>
    <row r="1924" ht="15.75" customHeight="1">
      <c r="A1924" s="1">
        <v>3292.0</v>
      </c>
      <c r="B1924" s="3">
        <v>155.0</v>
      </c>
      <c r="C1924" s="7" t="s">
        <v>1922</v>
      </c>
      <c r="D1924" s="8" t="str">
        <f>IFERROR(__xludf.DUMMYFUNCTION("GOOGLETRANSLATE(C1924, ""en"", ""pt"")"),"combate corpo a corpo, briga")</f>
        <v>combate corpo a corpo, briga</v>
      </c>
      <c r="E1924" s="8" t="str">
        <f>IFERROR(__xludf.DUMMYFUNCTION("GOOGLETRANSLATE(C1924, ""en"", ""es"")"),"cuerpo a cuerpo, fragua")</f>
        <v>cuerpo a cuerpo, fragua</v>
      </c>
      <c r="F1924" s="8" t="str">
        <f>IFERROR(__xludf.DUMMYFUNCTION("GOOGLETRANSLATE(C1924, ""en"", ""fr"")"),"mêlée, bagarre")</f>
        <v>mêlée, bagarre</v>
      </c>
      <c r="G1924" s="8" t="str">
        <f>IFERROR(__xludf.DUMMYFUNCTION("GOOGLETRANSLATE(C1924, ""en"", ""de"")"),"Nahkampf, Getümmel")</f>
        <v>Nahkampf, Getümmel</v>
      </c>
      <c r="H1924" s="8" t="str">
        <f>IFERROR(__xludf.DUMMYFUNCTION("GOOGLETRANSLATE(C1924, ""en"", ""ru"")"),"рукопашный бой, драка")</f>
        <v>рукопашный бой, драка</v>
      </c>
      <c r="I1924" s="8" t="str">
        <f>IFERROR(__xludf.DUMMYFUNCTION("GOOGLETRANSLATE(C1924, ""en"", ""ar"")"),"اشتباك، شجار")</f>
        <v>اشتباك، شجار</v>
      </c>
      <c r="J1924" s="8"/>
      <c r="K1924" s="7" t="str">
        <f>IFERROR(__xludf.DUMMYFUNCTION("CONCAT(REGEXREPLACE(C1924,""[ ,]+"",""_""),"".mp3"")"),"melee_fray.mp3")</f>
        <v>melee_fray.mp3</v>
      </c>
      <c r="M1924" s="4" t="s">
        <v>10</v>
      </c>
    </row>
    <row r="1925" ht="15.75" customHeight="1">
      <c r="A1925" s="1">
        <v>3293.0</v>
      </c>
      <c r="B1925" s="3">
        <v>155.0</v>
      </c>
      <c r="C1925" s="7" t="s">
        <v>1923</v>
      </c>
      <c r="D1925" s="8" t="str">
        <f>IFERROR(__xludf.DUMMYFUNCTION("GOOGLETRANSLATE(C1925, ""en"", ""pt"")"),"péssimo, extremamente ruim")</f>
        <v>péssimo, extremamente ruim</v>
      </c>
      <c r="E1925" s="8" t="str">
        <f>IFERROR(__xludf.DUMMYFUNCTION("GOOGLETRANSLATE(C1925, ""en"", ""es"")"),"pésimo, extremadamente malo")</f>
        <v>pésimo, extremadamente malo</v>
      </c>
      <c r="F1925" s="8" t="str">
        <f>IFERROR(__xludf.DUMMYFUNCTION("GOOGLETRANSLATE(C1925, ""en"", ""fr"")"),"abyssal, extrêmement mauvais")</f>
        <v>abyssal, extrêmement mauvais</v>
      </c>
      <c r="G1925" s="8" t="str">
        <f>IFERROR(__xludf.DUMMYFUNCTION("GOOGLETRANSLATE(C1925, ""en"", ""de"")"),"miserabel, extrem schlecht")</f>
        <v>miserabel, extrem schlecht</v>
      </c>
      <c r="H1925" s="8" t="str">
        <f>IFERROR(__xludf.DUMMYFUNCTION("GOOGLETRANSLATE(C1925, ""en"", ""ru"")"),"Ужасно, крайне плохо")</f>
        <v>Ужасно, крайне плохо</v>
      </c>
      <c r="I1925" s="8" t="str">
        <f>IFERROR(__xludf.DUMMYFUNCTION("GOOGLETRANSLATE(C1925, ""en"", ""ar"")"),"كارثي، سيء للغاية")</f>
        <v>كارثي، سيء للغاية</v>
      </c>
      <c r="J1925" s="8"/>
      <c r="K1925" s="7" t="str">
        <f>IFERROR(__xludf.DUMMYFUNCTION("CONCAT(REGEXREPLACE(C1925,""[ ,]+"",""_""),"".mp3"")"),"abysmal_extremely_bad.mp3")</f>
        <v>abysmal_extremely_bad.mp3</v>
      </c>
      <c r="M1925" s="4" t="s">
        <v>10</v>
      </c>
    </row>
    <row r="1926" ht="15.75" customHeight="1">
      <c r="A1926" s="1">
        <v>3294.0</v>
      </c>
      <c r="B1926" s="3">
        <v>155.0</v>
      </c>
      <c r="C1926" s="7" t="s">
        <v>1924</v>
      </c>
      <c r="D1926" s="8" t="str">
        <f>IFERROR(__xludf.DUMMYFUNCTION("GOOGLETRANSLATE(C1926, ""en"", ""pt"")"),"balançar, dobrar")</f>
        <v>balançar, dobrar</v>
      </c>
      <c r="E1926" s="8" t="str">
        <f>IFERROR(__xludf.DUMMYFUNCTION("GOOGLETRANSLATE(C1926, ""en"", ""es"")"),"balancearse, doblarse")</f>
        <v>balancearse, doblarse</v>
      </c>
      <c r="F1926" s="8" t="str">
        <f>IFERROR(__xludf.DUMMYFUNCTION("GOOGLETRANSLATE(C1926, ""en"", ""fr"")"),"se balancer, se courber")</f>
        <v>se balancer, se courber</v>
      </c>
      <c r="G1926" s="8" t="str">
        <f>IFERROR(__xludf.DUMMYFUNCTION("GOOGLETRANSLATE(C1926, ""en"", ""de"")"),"schwanken, beugen")</f>
        <v>schwanken, beugen</v>
      </c>
      <c r="H1926" s="8" t="str">
        <f>IFERROR(__xludf.DUMMYFUNCTION("GOOGLETRANSLATE(C1926, ""en"", ""ru"")"),"качаться, сгибаться")</f>
        <v>качаться, сгибаться</v>
      </c>
      <c r="I1926" s="8" t="str">
        <f>IFERROR(__xludf.DUMMYFUNCTION("GOOGLETRANSLATE(C1926, ""en"", ""ar"")"),"يتأرجح، ينحني")</f>
        <v>يتأرجح، ينحني</v>
      </c>
      <c r="J1926" s="8"/>
      <c r="K1926" s="7" t="str">
        <f>IFERROR(__xludf.DUMMYFUNCTION("CONCAT(REGEXREPLACE(C1926,""[ ,]+"",""_""),"".mp3"")"),"sway_bend.mp3")</f>
        <v>sway_bend.mp3</v>
      </c>
      <c r="M1926" s="4" t="s">
        <v>10</v>
      </c>
    </row>
    <row r="1927" ht="15.75" customHeight="1">
      <c r="A1927" s="1">
        <v>3295.0</v>
      </c>
      <c r="B1927" s="3">
        <v>155.0</v>
      </c>
      <c r="C1927" s="7" t="s">
        <v>1925</v>
      </c>
      <c r="D1927" s="8" t="str">
        <f>IFERROR(__xludf.DUMMYFUNCTION("GOOGLETRANSLATE(C1927, ""en"", ""pt"")"),"contrair, ficar doente")</f>
        <v>contrair, ficar doente</v>
      </c>
      <c r="E1927" s="8" t="str">
        <f>IFERROR(__xludf.DUMMYFUNCTION("GOOGLETRANSLATE(C1927, ""en"", ""es"")"),"contraer, enfermarse")</f>
        <v>contraer, enfermarse</v>
      </c>
      <c r="F1927" s="8" t="str">
        <f>IFERROR(__xludf.DUMMYFUNCTION("GOOGLETRANSLATE(C1927, ""en"", ""fr"")"),"contracter, tomber malade")</f>
        <v>contracter, tomber malade</v>
      </c>
      <c r="G1927" s="8" t="str">
        <f>IFERROR(__xludf.DUMMYFUNCTION("GOOGLETRANSLATE(C1927, ""en"", ""de"")"),"sich einen Vertrag zulegen, krank werden")</f>
        <v>sich einen Vertrag zulegen, krank werden</v>
      </c>
      <c r="H1927" s="8" t="str">
        <f>IFERROR(__xludf.DUMMYFUNCTION("GOOGLETRANSLATE(C1927, ""en"", ""ru"")"),"заболеть")</f>
        <v>заболеть</v>
      </c>
      <c r="I1927" s="8" t="str">
        <f>IFERROR(__xludf.DUMMYFUNCTION("GOOGLETRANSLATE(C1927, ""en"", ""ar"")"),"الإصابة بالمرض")</f>
        <v>الإصابة بالمرض</v>
      </c>
      <c r="J1927" s="8"/>
      <c r="K1927" s="7" t="str">
        <f>IFERROR(__xludf.DUMMYFUNCTION("CONCAT(REGEXREPLACE(C1927,""[ ,]+"",""_""),"".mp3"")"),"contract_become_ill.mp3")</f>
        <v>contract_become_ill.mp3</v>
      </c>
      <c r="M1927" s="4" t="s">
        <v>10</v>
      </c>
    </row>
    <row r="1928" ht="15.75" customHeight="1">
      <c r="A1928" s="1">
        <v>3296.0</v>
      </c>
      <c r="B1928" s="3">
        <v>155.0</v>
      </c>
      <c r="C1928" s="7" t="s">
        <v>1926</v>
      </c>
      <c r="D1928" s="8" t="str">
        <f>IFERROR(__xludf.DUMMYFUNCTION("GOOGLETRANSLATE(C1928, ""en"", ""pt"")"),"charlatão, vigarista")</f>
        <v>charlatão, vigarista</v>
      </c>
      <c r="E1928" s="8" t="str">
        <f>IFERROR(__xludf.DUMMYFUNCTION("GOOGLETRANSLATE(C1928, ""en"", ""es"")"),"charlatán, embaucador")</f>
        <v>charlatán, embaucador</v>
      </c>
      <c r="F1928" s="8" t="str">
        <f>IFERROR(__xludf.DUMMYFUNCTION("GOOGLETRANSLATE(C1928, ""en"", ""fr"")"),"charlatan")</f>
        <v>charlatan</v>
      </c>
      <c r="G1928" s="8" t="str">
        <f>IFERROR(__xludf.DUMMYFUNCTION("GOOGLETRANSLATE(C1928, ""en"", ""de"")"),"Scharlatan")</f>
        <v>Scharlatan</v>
      </c>
      <c r="H1928" s="8" t="str">
        <f>IFERROR(__xludf.DUMMYFUNCTION("GOOGLETRANSLATE(C1928, ""en"", ""ru"")"),"шарлатан, мошенник")</f>
        <v>шарлатан, мошенник</v>
      </c>
      <c r="I1928" s="8" t="str">
        <f>IFERROR(__xludf.DUMMYFUNCTION("GOOGLETRANSLATE(C1928, ""en"", ""ar"")"),"دجال، محتال")</f>
        <v>دجال، محتال</v>
      </c>
      <c r="J1928" s="8"/>
      <c r="K1928" s="7" t="str">
        <f>IFERROR(__xludf.DUMMYFUNCTION("CONCAT(REGEXREPLACE(C1928,""[ ,]+"",""_""),"".mp3"")"),"mountebank_charlatan.mp3")</f>
        <v>mountebank_charlatan.mp3</v>
      </c>
      <c r="M1928" s="4" t="s">
        <v>10</v>
      </c>
    </row>
    <row r="1929" ht="15.75" customHeight="1">
      <c r="A1929" s="1">
        <v>3297.0</v>
      </c>
      <c r="B1929" s="3">
        <v>155.0</v>
      </c>
      <c r="C1929" s="7" t="s">
        <v>1927</v>
      </c>
      <c r="D1929" s="8" t="str">
        <f>IFERROR(__xludf.DUMMYFUNCTION("GOOGLETRANSLATE(C1929, ""en"", ""pt"")"),"sequestrar, apreender")</f>
        <v>sequestrar, apreender</v>
      </c>
      <c r="E1929" s="8" t="str">
        <f>IFERROR(__xludf.DUMMYFUNCTION("GOOGLETRANSLATE(C1929, ""en"", ""es"")"),"secuestrar, confiscar")</f>
        <v>secuestrar, confiscar</v>
      </c>
      <c r="F1929" s="8" t="str">
        <f>IFERROR(__xludf.DUMMYFUNCTION("GOOGLETRANSLATE(C1929, ""en"", ""fr"")"),"séquestrer, saisir")</f>
        <v>séquestrer, saisir</v>
      </c>
      <c r="G1929" s="8" t="str">
        <f>IFERROR(__xludf.DUMMYFUNCTION("GOOGLETRANSLATE(C1929, ""en"", ""de"")"),"beschlagnahmen, beschlagnahmen")</f>
        <v>beschlagnahmen, beschlagnahmen</v>
      </c>
      <c r="H1929" s="8" t="str">
        <f>IFERROR(__xludf.DUMMYFUNCTION("GOOGLETRANSLATE(C1929, ""en"", ""ru"")"),"изолировать, захватить")</f>
        <v>изолировать, захватить</v>
      </c>
      <c r="I1929" s="8" t="str">
        <f>IFERROR(__xludf.DUMMYFUNCTION("GOOGLETRANSLATE(C1929, ""en"", ""ar"")"),"الحجز، الاستيلاء")</f>
        <v>الحجز، الاستيلاء</v>
      </c>
      <c r="J1929" s="8"/>
      <c r="K1929" s="7" t="str">
        <f>IFERROR(__xludf.DUMMYFUNCTION("CONCAT(REGEXREPLACE(C1929,""[ ,]+"",""_""),"".mp3"")"),"sequester_seize.mp3")</f>
        <v>sequester_seize.mp3</v>
      </c>
      <c r="M1929" s="4" t="s">
        <v>10</v>
      </c>
    </row>
    <row r="1930" ht="15.75" customHeight="1">
      <c r="A1930" s="1">
        <v>3298.0</v>
      </c>
      <c r="B1930" s="3">
        <v>155.0</v>
      </c>
      <c r="C1930" s="7" t="s">
        <v>1928</v>
      </c>
      <c r="D1930" s="8" t="str">
        <f>IFERROR(__xludf.DUMMYFUNCTION("GOOGLETRANSLATE(C1930, ""en"", ""pt"")"),"chauvinismo")</f>
        <v>chauvinismo</v>
      </c>
      <c r="E1930" s="8" t="str">
        <f>IFERROR(__xludf.DUMMYFUNCTION("GOOGLETRANSLATE(C1930, ""en"", ""es"")"),"chovinismo, nacionalismo")</f>
        <v>chovinismo, nacionalismo</v>
      </c>
      <c r="F1930" s="8" t="str">
        <f>IFERROR(__xludf.DUMMYFUNCTION("GOOGLETRANSLATE(C1930, ""en"", ""fr"")"),"chauvinisme nationaliste")</f>
        <v>chauvinisme nationaliste</v>
      </c>
      <c r="G1930" s="8" t="str">
        <f>IFERROR(__xludf.DUMMYFUNCTION("GOOGLETRANSLATE(C1930, ""en"", ""de"")"),"Nationalismus, Chauvinismus")</f>
        <v>Nationalismus, Chauvinismus</v>
      </c>
      <c r="H1930" s="8" t="str">
        <f>IFERROR(__xludf.DUMMYFUNCTION("GOOGLETRANSLATE(C1930, ""en"", ""ru"")"),"шовинизм")</f>
        <v>шовинизм</v>
      </c>
      <c r="I1930" s="8" t="str">
        <f>IFERROR(__xludf.DUMMYFUNCTION("GOOGLETRANSLATE(C1930, ""en"", ""ar"")"),"شوفيني، شوفيني")</f>
        <v>شوفيني، شوفيني</v>
      </c>
      <c r="J1930" s="8"/>
      <c r="K1930" s="7" t="str">
        <f>IFERROR(__xludf.DUMMYFUNCTION("CONCAT(REGEXREPLACE(C1930,""[ ,]+"",""_""),"".mp3"")"),"jingoist_chauvinism.mp3")</f>
        <v>jingoist_chauvinism.mp3</v>
      </c>
      <c r="M1930" s="4" t="s">
        <v>10</v>
      </c>
    </row>
    <row r="1931" ht="15.75" customHeight="1">
      <c r="A1931" s="1">
        <v>3299.0</v>
      </c>
      <c r="B1931" s="3">
        <v>155.0</v>
      </c>
      <c r="C1931" s="7" t="s">
        <v>1929</v>
      </c>
      <c r="D1931" s="8" t="str">
        <f>IFERROR(__xludf.DUMMYFUNCTION("GOOGLETRANSLATE(C1931, ""en"", ""pt"")"),"disputa, conflito")</f>
        <v>disputa, conflito</v>
      </c>
      <c r="E1931" s="8" t="str">
        <f>IFERROR(__xludf.DUMMYFUNCTION("GOOGLETRANSLATE(C1931, ""en"", ""es"")"),"forcejeo, conflicto")</f>
        <v>forcejeo, conflicto</v>
      </c>
      <c r="F1931" s="8" t="str">
        <f>IFERROR(__xludf.DUMMYFUNCTION("GOOGLETRANSLATE(C1931, ""en"", ""fr"")"),"lutte, conflit")</f>
        <v>lutte, conflit</v>
      </c>
      <c r="G1931" s="8" t="str">
        <f>IFERROR(__xludf.DUMMYFUNCTION("GOOGLETRANSLATE(C1931, ""en"", ""de"")"),"Gerangel, Konflikt")</f>
        <v>Gerangel, Konflikt</v>
      </c>
      <c r="H1931" s="8" t="str">
        <f>IFERROR(__xludf.DUMMYFUNCTION("GOOGLETRANSLATE(C1931, ""en"", ""ru"")"),"ссора, конфликт")</f>
        <v>ссора, конфликт</v>
      </c>
      <c r="I1931" s="8" t="str">
        <f>IFERROR(__xludf.DUMMYFUNCTION("GOOGLETRANSLATE(C1931, ""en"", ""ar"")"),"صراع، نزاع")</f>
        <v>صراع، نزاع</v>
      </c>
      <c r="J1931" s="8"/>
      <c r="K1931" s="7" t="str">
        <f>IFERROR(__xludf.DUMMYFUNCTION("CONCAT(REGEXREPLACE(C1931,""[ ,]+"",""_""),"".mp3"")"),"tussle_conflict.mp3")</f>
        <v>tussle_conflict.mp3</v>
      </c>
      <c r="M1931" s="4" t="s">
        <v>10</v>
      </c>
    </row>
    <row r="1932" ht="15.75" customHeight="1">
      <c r="A1932" s="1">
        <v>3300.0</v>
      </c>
      <c r="B1932" s="3">
        <v>155.0</v>
      </c>
      <c r="C1932" s="7" t="s">
        <v>1930</v>
      </c>
      <c r="D1932" s="8" t="str">
        <f>IFERROR(__xludf.DUMMYFUNCTION("GOOGLETRANSLATE(C1932, ""en"", ""pt"")"),"dicotomia, contradição")</f>
        <v>dicotomia, contradição</v>
      </c>
      <c r="E1932" s="8" t="str">
        <f>IFERROR(__xludf.DUMMYFUNCTION("GOOGLETRANSLATE(C1932, ""en"", ""es"")"),"dicotomía, contradicción")</f>
        <v>dicotomía, contradicción</v>
      </c>
      <c r="F1932" s="8" t="str">
        <f>IFERROR(__xludf.DUMMYFUNCTION("GOOGLETRANSLATE(C1932, ""en"", ""fr"")"),"dichotomie, contradiction")</f>
        <v>dichotomie, contradiction</v>
      </c>
      <c r="G1932" s="8" t="str">
        <f>IFERROR(__xludf.DUMMYFUNCTION("GOOGLETRANSLATE(C1932, ""en"", ""de"")"),"Dichotomie, Widerspruch")</f>
        <v>Dichotomie, Widerspruch</v>
      </c>
      <c r="H1932" s="8" t="str">
        <f>IFERROR(__xludf.DUMMYFUNCTION("GOOGLETRANSLATE(C1932, ""en"", ""ru"")"),"дихотомия, противоречие")</f>
        <v>дихотомия, противоречие</v>
      </c>
      <c r="I1932" s="8" t="str">
        <f>IFERROR(__xludf.DUMMYFUNCTION("GOOGLETRANSLATE(C1932, ""en"", ""ar"")"),"التناقض، الازدواجية")</f>
        <v>التناقض، الازدواجية</v>
      </c>
      <c r="J1932" s="8"/>
      <c r="K1932" s="7" t="str">
        <f>IFERROR(__xludf.DUMMYFUNCTION("CONCAT(REGEXREPLACE(C1932,""[ ,]+"",""_""),"".mp3"")"),"dichotomy_contradiction.mp3")</f>
        <v>dichotomy_contradiction.mp3</v>
      </c>
      <c r="M1932" s="4" t="s">
        <v>10</v>
      </c>
    </row>
    <row r="1933" ht="15.75" customHeight="1">
      <c r="A1933" s="1">
        <v>3301.0</v>
      </c>
      <c r="B1933" s="3">
        <v>155.0</v>
      </c>
      <c r="C1933" s="7" t="s">
        <v>1931</v>
      </c>
      <c r="D1933" s="8" t="str">
        <f>IFERROR(__xludf.DUMMYFUNCTION("GOOGLETRANSLATE(C1933, ""en"", ""pt"")"),"remédio, remédio")</f>
        <v>remédio, remédio</v>
      </c>
      <c r="E1933" s="8" t="str">
        <f>IFERROR(__xludf.DUMMYFUNCTION("GOOGLETRANSLATE(C1933, ""en"", ""es"")"),"remedio, remedio")</f>
        <v>remedio, remedio</v>
      </c>
      <c r="F1933" s="8" t="str">
        <f>IFERROR(__xludf.DUMMYFUNCTION("GOOGLETRANSLATE(C1933, ""en"", ""fr"")"),"remède, remède")</f>
        <v>remède, remède</v>
      </c>
      <c r="G1933" s="8" t="str">
        <f>IFERROR(__xludf.DUMMYFUNCTION("GOOGLETRANSLATE(C1933, ""en"", ""de"")"),"Heilmittel, Heilmittel")</f>
        <v>Heilmittel, Heilmittel</v>
      </c>
      <c r="H1933" s="8" t="str">
        <f>IFERROR(__xludf.DUMMYFUNCTION("GOOGLETRANSLATE(C1933, ""en"", ""ru"")"),"новатор, лекарство")</f>
        <v>новатор, лекарство</v>
      </c>
      <c r="I1933" s="8" t="str">
        <f>IFERROR(__xludf.DUMMYFUNCTION("GOOGLETRANSLATE(C1933, ""en"", ""ar"")"),"نوستروم، علاج")</f>
        <v>نوستروم، علاج</v>
      </c>
      <c r="J1933" s="8"/>
      <c r="K1933" s="7" t="str">
        <f>IFERROR(__xludf.DUMMYFUNCTION("CONCAT(REGEXREPLACE(C1933,""[ ,]+"",""_""),"".mp3"")"),"nostrum_remedy.mp3")</f>
        <v>nostrum_remedy.mp3</v>
      </c>
      <c r="M1933" s="4" t="s">
        <v>10</v>
      </c>
    </row>
    <row r="1934" ht="15.75" customHeight="1">
      <c r="A1934" s="1">
        <v>3302.0</v>
      </c>
      <c r="B1934" s="3">
        <v>155.0</v>
      </c>
      <c r="C1934" s="7" t="s">
        <v>1932</v>
      </c>
      <c r="D1934" s="8" t="str">
        <f>IFERROR(__xludf.DUMMYFUNCTION("GOOGLETRANSLATE(C1934, ""en"", ""pt"")"),"cintilante, brilhante")</f>
        <v>cintilante, brilhante</v>
      </c>
      <c r="E1934" s="8" t="str">
        <f>IFERROR(__xludf.DUMMYFUNCTION("GOOGLETRANSLATE(C1934, ""en"", ""es"")"),"centelleo, brillo")</f>
        <v>centelleo, brillo</v>
      </c>
      <c r="F1934" s="8" t="str">
        <f>IFERROR(__xludf.DUMMYFUNCTION("GOOGLETRANSLATE(C1934, ""en"", ""fr"")"),"scintiller, étinceler")</f>
        <v>scintiller, étinceler</v>
      </c>
      <c r="G1934" s="8" t="str">
        <f>IFERROR(__xludf.DUMMYFUNCTION("GOOGLETRANSLATE(C1934, ""en"", ""de"")"),"funkeln, glitzern")</f>
        <v>funkeln, glitzern</v>
      </c>
      <c r="H1934" s="8" t="str">
        <f>IFERROR(__xludf.DUMMYFUNCTION("GOOGLETRANSLATE(C1934, ""en"", ""ru"")"),"сверкать, искриться")</f>
        <v>сверкать, искриться</v>
      </c>
      <c r="I1934" s="8" t="str">
        <f>IFERROR(__xludf.DUMMYFUNCTION("GOOGLETRANSLATE(C1934, ""en"", ""ar"")"),"تتألق، تتلألأ")</f>
        <v>تتألق، تتلألأ</v>
      </c>
      <c r="J1934" s="8"/>
      <c r="K1934" s="7" t="str">
        <f>IFERROR(__xludf.DUMMYFUNCTION("CONCAT(REGEXREPLACE(C1934,""[ ,]+"",""_""),"".mp3"")"),"coruscate_sparkle.mp3")</f>
        <v>coruscate_sparkle.mp3</v>
      </c>
      <c r="M1934" s="4" t="s">
        <v>10</v>
      </c>
    </row>
    <row r="1935" ht="15.75" customHeight="1">
      <c r="A1935" s="1">
        <v>3303.0</v>
      </c>
      <c r="B1935" s="3">
        <v>155.0</v>
      </c>
      <c r="C1935" s="7" t="s">
        <v>1933</v>
      </c>
      <c r="D1935" s="8" t="str">
        <f>IFERROR(__xludf.DUMMYFUNCTION("GOOGLETRANSLATE(C1935, ""en"", ""pt"")"),"confabular, conversar")</f>
        <v>confabular, conversar</v>
      </c>
      <c r="E1935" s="8" t="str">
        <f>IFERROR(__xludf.DUMMYFUNCTION("GOOGLETRANSLATE(C1935, ""en"", ""es"")"),"confabular, charlar")</f>
        <v>confabular, charlar</v>
      </c>
      <c r="F1935" s="8" t="str">
        <f>IFERROR(__xludf.DUMMYFUNCTION("GOOGLETRANSLATE(C1935, ""en"", ""fr"")"),"confabuler, discuter")</f>
        <v>confabuler, discuter</v>
      </c>
      <c r="G1935" s="8" t="str">
        <f>IFERROR(__xludf.DUMMYFUNCTION("GOOGLETRANSLATE(C1935, ""en"", ""de"")"),"unterhalten, plaudern")</f>
        <v>unterhalten, plaudern</v>
      </c>
      <c r="H1935" s="8" t="str">
        <f>IFERROR(__xludf.DUMMYFUNCTION("GOOGLETRANSLATE(C1935, ""en"", ""ru"")"),"обсуждать, болтать")</f>
        <v>обсуждать, болтать</v>
      </c>
      <c r="I1935" s="8" t="str">
        <f>IFERROR(__xludf.DUMMYFUNCTION("GOOGLETRANSLATE(C1935, ""en"", ""ar"")"),"تشاور، دردشة")</f>
        <v>تشاور، دردشة</v>
      </c>
      <c r="J1935" s="8"/>
      <c r="K1935" s="7" t="str">
        <f>IFERROR(__xludf.DUMMYFUNCTION("CONCAT(REGEXREPLACE(C1935,""[ ,]+"",""_""),"".mp3"")"),"confabulate_chat.mp3")</f>
        <v>confabulate_chat.mp3</v>
      </c>
      <c r="M1935" s="4" t="s">
        <v>10</v>
      </c>
    </row>
    <row r="1936" ht="15.75" customHeight="1">
      <c r="A1936" s="1">
        <v>3304.0</v>
      </c>
      <c r="B1936" s="3">
        <v>155.0</v>
      </c>
      <c r="C1936" s="7" t="s">
        <v>1934</v>
      </c>
      <c r="D1936" s="8" t="str">
        <f>IFERROR(__xludf.DUMMYFUNCTION("GOOGLETRANSLATE(C1936, ""en"", ""pt"")"),"perambular, vaguear")</f>
        <v>perambular, vaguear</v>
      </c>
      <c r="E1936" s="8" t="str">
        <f>IFERROR(__xludf.DUMMYFUNCTION("GOOGLETRANSLATE(C1936, ""en"", ""es"")"),"pasear, vagar")</f>
        <v>pasear, vagar</v>
      </c>
      <c r="F1936" s="8" t="str">
        <f>IFERROR(__xludf.DUMMYFUNCTION("GOOGLETRANSLATE(C1936, ""en"", ""fr"")"),"déambuler, errer")</f>
        <v>déambuler, errer</v>
      </c>
      <c r="G1936" s="8" t="str">
        <f>IFERROR(__xludf.DUMMYFUNCTION("GOOGLETRANSLATE(C1936, ""en"", ""de"")"),"umherstreifen, umherstreifen")</f>
        <v>umherstreifen, umherstreifen</v>
      </c>
      <c r="H1936" s="8" t="str">
        <f>IFERROR(__xludf.DUMMYFUNCTION("GOOGLETRANSLATE(C1936, ""en"", ""ru"")"),"бродить, скитаться")</f>
        <v>бродить, скитаться</v>
      </c>
      <c r="I1936" s="8" t="str">
        <f>IFERROR(__xludf.DUMMYFUNCTION("GOOGLETRANSLATE(C1936, ""en"", ""ar"")"),"يتجول، يتجول")</f>
        <v>يتجول، يتجول</v>
      </c>
      <c r="J1936" s="8"/>
      <c r="K1936" s="7" t="str">
        <f>IFERROR(__xludf.DUMMYFUNCTION("CONCAT(REGEXREPLACE(C1936,""[ ,]+"",""_""),"".mp3"")"),"perambulate_roam.mp3")</f>
        <v>perambulate_roam.mp3</v>
      </c>
      <c r="M1936" s="4" t="s">
        <v>10</v>
      </c>
    </row>
    <row r="1937" ht="15.75" customHeight="1">
      <c r="A1937" s="1">
        <v>3305.0</v>
      </c>
      <c r="B1937" s="3">
        <v>155.0</v>
      </c>
      <c r="C1937" s="7" t="s">
        <v>1935</v>
      </c>
      <c r="D1937" s="8" t="str">
        <f>IFERROR(__xludf.DUMMYFUNCTION("GOOGLETRANSLATE(C1937, ""en"", ""pt"")"),"juramento")</f>
        <v>juramento</v>
      </c>
      <c r="E1937" s="8" t="str">
        <f>IFERROR(__xludf.DUMMYFUNCTION("GOOGLETRANSLATE(C1937, ""en"", ""es"")"),"juramento, promesa")</f>
        <v>juramento, promesa</v>
      </c>
      <c r="F1937" s="8" t="str">
        <f>IFERROR(__xludf.DUMMYFUNCTION("GOOGLETRANSLATE(C1937, ""en"", ""fr"")"),"serment, promesse")</f>
        <v>serment, promesse</v>
      </c>
      <c r="G1937" s="8" t="str">
        <f>IFERROR(__xludf.DUMMYFUNCTION("GOOGLETRANSLATE(C1937, ""en"", ""de"")"),"Treue, Eid")</f>
        <v>Treue, Eid</v>
      </c>
      <c r="H1937" s="8" t="str">
        <f>IFERROR(__xludf.DUMMYFUNCTION("GOOGLETRANSLATE(C1937, ""en"", ""ru"")"),"клятва, клятва")</f>
        <v>клятва, клятва</v>
      </c>
      <c r="I1937" s="8" t="str">
        <f>IFERROR(__xludf.DUMMYFUNCTION("GOOGLETRANSLATE(C1937, ""en"", ""ar"")"),"العهد، القسم")</f>
        <v>العهد، القسم</v>
      </c>
      <c r="J1937" s="8"/>
      <c r="K1937" s="7" t="str">
        <f>IFERROR(__xludf.DUMMYFUNCTION("CONCAT(REGEXREPLACE(C1937,""[ ,]+"",""_""),"".mp3"")"),"troth_oath.mp3")</f>
        <v>troth_oath.mp3</v>
      </c>
      <c r="M1937" s="4" t="s">
        <v>10</v>
      </c>
    </row>
    <row r="1938" ht="15.75" customHeight="1">
      <c r="A1938" s="1">
        <v>3306.0</v>
      </c>
      <c r="B1938" s="3">
        <v>155.0</v>
      </c>
      <c r="C1938" s="7" t="s">
        <v>1936</v>
      </c>
      <c r="D1938" s="8" t="str">
        <f>IFERROR(__xludf.DUMMYFUNCTION("GOOGLETRANSLATE(C1938, ""en"", ""pt"")"),"passada, caminhar com passos largos")</f>
        <v>passada, caminhar com passos largos</v>
      </c>
      <c r="E1938" s="8" t="str">
        <f>IFERROR(__xludf.DUMMYFUNCTION("GOOGLETRANSLATE(C1938, ""en"", ""es"")"),"zancada, caminar con pasos largos")</f>
        <v>zancada, caminar con pasos largos</v>
      </c>
      <c r="F1938" s="8" t="str">
        <f>IFERROR(__xludf.DUMMYFUNCTION("GOOGLETRANSLATE(C1938, ""en"", ""fr"")"),"marcher à grandes enjambées")</f>
        <v>marcher à grandes enjambées</v>
      </c>
      <c r="G1938" s="8" t="str">
        <f>IFERROR(__xludf.DUMMYFUNCTION("GOOGLETRANSLATE(C1938, ""en"", ""de"")"),"Schritt, gehen mit langen Schritten")</f>
        <v>Schritt, gehen mit langen Schritten</v>
      </c>
      <c r="H1938" s="8" t="str">
        <f>IFERROR(__xludf.DUMMYFUNCTION("GOOGLETRANSLATE(C1938, ""en"", ""ru"")"),"шагать, ходить длинными шагами")</f>
        <v>шагать, ходить длинными шагами</v>
      </c>
      <c r="I1938" s="8" t="str">
        <f>IFERROR(__xludf.DUMMYFUNCTION("GOOGLETRANSLATE(C1938, ""en"", ""ar"")"),"يخطو، يمشي بخطوات واسعة")</f>
        <v>يخطو، يمشي بخطوات واسعة</v>
      </c>
      <c r="J1938" s="8"/>
      <c r="K1938" s="7" t="str">
        <f>IFERROR(__xludf.DUMMYFUNCTION("CONCAT(REGEXREPLACE(C1938,""[ ,]+"",""_""),"".mp3"")"),"stride_walk_with_long_steps.mp3")</f>
        <v>stride_walk_with_long_steps.mp3</v>
      </c>
      <c r="M1938" s="4" t="s">
        <v>10</v>
      </c>
    </row>
    <row r="1939" ht="15.75" customHeight="1">
      <c r="A1939" s="1">
        <v>3307.0</v>
      </c>
      <c r="B1939" s="3">
        <v>155.0</v>
      </c>
      <c r="C1939" s="7" t="s">
        <v>1937</v>
      </c>
      <c r="D1939" s="8" t="str">
        <f>IFERROR(__xludf.DUMMYFUNCTION("GOOGLETRANSLATE(C1939, ""en"", ""pt"")"),"caminhar com passos lentos")</f>
        <v>caminhar com passos lentos</v>
      </c>
      <c r="E1939" s="8" t="str">
        <f>IFERROR(__xludf.DUMMYFUNCTION("GOOGLETRANSLATE(C1939, ""en"", ""es"")"),"caminar con pasos lentos y pesados")</f>
        <v>caminar con pasos lentos y pesados</v>
      </c>
      <c r="F1939" s="8" t="str">
        <f>IFERROR(__xludf.DUMMYFUNCTION("GOOGLETRANSLATE(C1939, ""en"", ""fr"")"),"marcher à petits pas lents.")</f>
        <v>marcher à petits pas lents.</v>
      </c>
      <c r="G1939" s="8" t="str">
        <f>IFERROR(__xludf.DUMMYFUNCTION("GOOGLETRANSLATE(C1939, ""en"", ""de"")"),"trotten, langsam gehen")</f>
        <v>trotten, langsam gehen</v>
      </c>
      <c r="H1939" s="8" t="str">
        <f>IFERROR(__xludf.DUMMYFUNCTION("GOOGLETRANSLATE(C1939, ""en"", ""ru"")"),"медленно шагать, идти медленными шагами")</f>
        <v>медленно шагать, идти медленными шагами</v>
      </c>
      <c r="I1939" s="8" t="str">
        <f>IFERROR(__xludf.DUMMYFUNCTION("GOOGLETRANSLATE(C1939, ""en"", ""ar"")"),"امشِ ببطء، امشِ بخطوات بطيئة")</f>
        <v>امشِ ببطء، امشِ بخطوات بطيئة</v>
      </c>
      <c r="J1939" s="8"/>
      <c r="K1939" s="7" t="str">
        <f>IFERROR(__xludf.DUMMYFUNCTION("CONCAT(REGEXREPLACE(C1939,""[ ,]+"",""_""),"".mp3"")"),"plod_walk_with_slow_steps.mp3")</f>
        <v>plod_walk_with_slow_steps.mp3</v>
      </c>
      <c r="M1939" s="4" t="s">
        <v>10</v>
      </c>
    </row>
    <row r="1940" ht="15.75" customHeight="1">
      <c r="A1940" s="1">
        <v>3308.0</v>
      </c>
      <c r="B1940" s="3">
        <v>155.0</v>
      </c>
      <c r="C1940" s="7" t="s">
        <v>1938</v>
      </c>
      <c r="D1940" s="8" t="str">
        <f>IFERROR(__xludf.DUMMYFUNCTION("GOOGLETRANSLATE(C1940, ""en"", ""pt"")"),"ataque surpresa, contratempo")</f>
        <v>ataque surpresa, contratempo</v>
      </c>
      <c r="E1940" s="8" t="str">
        <f>IFERROR(__xludf.DUMMYFUNCTION("GOOGLETRANSLATE(C1940, ""en"", ""es"")"),"sorpresa, golpe ciego")</f>
        <v>sorpresa, golpe ciego</v>
      </c>
      <c r="F1940" s="8" t="str">
        <f>IFERROR(__xludf.DUMMYFUNCTION("GOOGLETRANSLATE(C1940, ""en"", ""fr"")"),"coup de théâtre, surprise")</f>
        <v>coup de théâtre, surprise</v>
      </c>
      <c r="G1940" s="8" t="str">
        <f>IFERROR(__xludf.DUMMYFUNCTION("GOOGLETRANSLATE(C1940, ""en"", ""de"")"),"Blindside, Überraschung")</f>
        <v>Blindside, Überraschung</v>
      </c>
      <c r="H1940" s="8" t="str">
        <f>IFERROR(__xludf.DUMMYFUNCTION("GOOGLETRANSLATE(C1940, ""en"", ""ru"")"),"неожиданный поворот, сюрприз")</f>
        <v>неожиданный поворот, сюрприз</v>
      </c>
      <c r="I1940" s="8" t="str">
        <f>IFERROR(__xludf.DUMMYFUNCTION("GOOGLETRANSLATE(C1940, ""en"", ""ar"")"),"مفاجأة غير متوقعة")</f>
        <v>مفاجأة غير متوقعة</v>
      </c>
      <c r="J1940" s="8"/>
      <c r="K1940" s="7" t="str">
        <f>IFERROR(__xludf.DUMMYFUNCTION("CONCAT(REGEXREPLACE(C1940,""[ ,]+"",""_""),"".mp3"")"),"blindside_surprise.mp3")</f>
        <v>blindside_surprise.mp3</v>
      </c>
      <c r="M1940" s="4" t="s">
        <v>10</v>
      </c>
    </row>
    <row r="1941" ht="15.75" customHeight="1">
      <c r="A1941" s="1">
        <v>3309.0</v>
      </c>
      <c r="B1941" s="3">
        <v>155.0</v>
      </c>
      <c r="C1941" s="7" t="s">
        <v>1939</v>
      </c>
      <c r="D1941" s="8" t="str">
        <f>IFERROR(__xludf.DUMMYFUNCTION("GOOGLETRANSLATE(C1941, ""en"", ""pt"")"),"engenhoso, inteligente")</f>
        <v>engenhoso, inteligente</v>
      </c>
      <c r="E1941" s="8" t="str">
        <f>IFERROR(__xludf.DUMMYFUNCTION("GOOGLETRANSLATE(C1941, ""en"", ""es"")"),"ingenioso, inteligente")</f>
        <v>ingenioso, inteligente</v>
      </c>
      <c r="F1941" s="8" t="str">
        <f>IFERROR(__xludf.DUMMYFUNCTION("GOOGLETRANSLATE(C1941, ""en"", ""fr"")"),"ingénieux, astucieux")</f>
        <v>ingénieux, astucieux</v>
      </c>
      <c r="G1941" s="8" t="str">
        <f>IFERROR(__xludf.DUMMYFUNCTION("GOOGLETRANSLATE(C1941, ""en"", ""de"")"),"genial, clever")</f>
        <v>genial, clever</v>
      </c>
      <c r="H1941" s="8" t="str">
        <f>IFERROR(__xludf.DUMMYFUNCTION("GOOGLETRANSLATE(C1941, ""en"", ""ru"")"),"изобретательный, умный")</f>
        <v>изобретательный, умный</v>
      </c>
      <c r="I1941" s="8" t="str">
        <f>IFERROR(__xludf.DUMMYFUNCTION("GOOGLETRANSLATE(C1941, ""en"", ""ar"")"),"بارع، ذكي")</f>
        <v>بارع، ذكي</v>
      </c>
      <c r="J1941" s="8"/>
      <c r="K1941" s="7" t="str">
        <f>IFERROR(__xludf.DUMMYFUNCTION("CONCAT(REGEXREPLACE(C1941,""[ ,]+"",""_""),"".mp3"")"),"ingenious_clever.mp3")</f>
        <v>ingenious_clever.mp3</v>
      </c>
      <c r="M1941" s="4" t="s">
        <v>10</v>
      </c>
    </row>
    <row r="1942" ht="15.75" customHeight="1">
      <c r="A1942" s="1">
        <v>3310.0</v>
      </c>
      <c r="B1942" s="3">
        <v>155.0</v>
      </c>
      <c r="C1942" s="7" t="s">
        <v>1940</v>
      </c>
      <c r="D1942" s="8" t="str">
        <f>IFERROR(__xludf.DUMMYFUNCTION("GOOGLETRANSLATE(C1942, ""en"", ""pt"")"),"ingênuo, inocente")</f>
        <v>ingênuo, inocente</v>
      </c>
      <c r="E1942" s="8" t="str">
        <f>IFERROR(__xludf.DUMMYFUNCTION("GOOGLETRANSLATE(C1942, ""en"", ""es"")"),"ingenua, inocente")</f>
        <v>ingenua, inocente</v>
      </c>
      <c r="F1942" s="8" t="str">
        <f>IFERROR(__xludf.DUMMYFUNCTION("GOOGLETRANSLATE(C1942, ""en"", ""fr"")"),"ingénue, innocente")</f>
        <v>ingénue, innocente</v>
      </c>
      <c r="G1942" s="8" t="str">
        <f>IFERROR(__xludf.DUMMYFUNCTION("GOOGLETRANSLATE(C1942, ""en"", ""de"")"),"naiv, unschuldig")</f>
        <v>naiv, unschuldig</v>
      </c>
      <c r="H1942" s="8" t="str">
        <f>IFERROR(__xludf.DUMMYFUNCTION("GOOGLETRANSLATE(C1942, ""en"", ""ru"")"),"наивный, невинный")</f>
        <v>наивный, невинный</v>
      </c>
      <c r="I1942" s="8" t="str">
        <f>IFERROR(__xludf.DUMMYFUNCTION("GOOGLETRANSLATE(C1942, ""en"", ""ar"")"),"ساذج، بريء")</f>
        <v>ساذج، بريء</v>
      </c>
      <c r="J1942" s="8"/>
      <c r="K1942" s="7" t="str">
        <f>IFERROR(__xludf.DUMMYFUNCTION("CONCAT(REGEXREPLACE(C1942,""[ ,]+"",""_""),"".mp3"")"),"ingenuous_innocent.mp3")</f>
        <v>ingenuous_innocent.mp3</v>
      </c>
      <c r="M1942" s="4" t="s">
        <v>10</v>
      </c>
    </row>
    <row r="1943" ht="15.75" customHeight="1">
      <c r="A1943" s="1">
        <v>3311.0</v>
      </c>
      <c r="B1943" s="3">
        <v>155.0</v>
      </c>
      <c r="C1943" s="7" t="s">
        <v>1941</v>
      </c>
      <c r="D1943" s="8" t="str">
        <f>IFERROR(__xludf.DUMMYFUNCTION("GOOGLETRANSLATE(C1943, ""en"", ""pt"")"),"proibir, banir")</f>
        <v>proibir, banir</v>
      </c>
      <c r="E1943" s="8" t="str">
        <f>IFERROR(__xludf.DUMMYFUNCTION("GOOGLETRANSLATE(C1943, ""en"", ""es"")"),"proscribir, prohibir")</f>
        <v>proscribir, prohibir</v>
      </c>
      <c r="F1943" s="8" t="str">
        <f>IFERROR(__xludf.DUMMYFUNCTION("GOOGLETRANSLATE(C1943, ""en"", ""fr"")"),"proscrire, interdire")</f>
        <v>proscrire, interdire</v>
      </c>
      <c r="G1943" s="8" t="str">
        <f>IFERROR(__xludf.DUMMYFUNCTION("GOOGLETRANSLATE(C1943, ""en"", ""de"")"),"verbieten, untersagen")</f>
        <v>verbieten, untersagen</v>
      </c>
      <c r="H1943" s="8" t="str">
        <f>IFERROR(__xludf.DUMMYFUNCTION("GOOGLETRANSLATE(C1943, ""en"", ""ru"")"),"запрещать, запрещать")</f>
        <v>запрещать, запрещать</v>
      </c>
      <c r="I1943" s="8" t="str">
        <f>IFERROR(__xludf.DUMMYFUNCTION("GOOGLETRANSLATE(C1943, ""en"", ""ar"")"),"حظر، منع")</f>
        <v>حظر، منع</v>
      </c>
      <c r="J1943" s="8"/>
      <c r="K1943" s="7" t="str">
        <f>IFERROR(__xludf.DUMMYFUNCTION("CONCAT(REGEXREPLACE(C1943,""[ ,]+"",""_""),"".mp3"")"),"proscribe_prohibit.mp3")</f>
        <v>proscribe_prohibit.mp3</v>
      </c>
      <c r="M1943" s="4" t="s">
        <v>10</v>
      </c>
    </row>
    <row r="1944" ht="15.75" customHeight="1">
      <c r="A1944" s="1">
        <v>3312.0</v>
      </c>
      <c r="B1944" s="3">
        <v>155.0</v>
      </c>
      <c r="C1944" s="7" t="s">
        <v>1942</v>
      </c>
      <c r="D1944" s="8" t="str">
        <f>IFERROR(__xludf.DUMMYFUNCTION("GOOGLETRANSLATE(C1944, ""en"", ""pt"")"),"político, prudente")</f>
        <v>político, prudente</v>
      </c>
      <c r="E1944" s="8" t="str">
        <f>IFERROR(__xludf.DUMMYFUNCTION("GOOGLETRANSLATE(C1944, ""en"", ""es"")"),"político, prudente")</f>
        <v>político, prudente</v>
      </c>
      <c r="F1944" s="8" t="str">
        <f>IFERROR(__xludf.DUMMYFUNCTION("GOOGLETRANSLATE(C1944, ""en"", ""fr"")"),"politique, prudent")</f>
        <v>politique, prudent</v>
      </c>
      <c r="G1944" s="8" t="str">
        <f>IFERROR(__xludf.DUMMYFUNCTION("GOOGLETRANSLATE(C1944, ""en"", ""de"")"),"politisch, umsichtig")</f>
        <v>politisch, umsichtig</v>
      </c>
      <c r="H1944" s="8" t="str">
        <f>IFERROR(__xludf.DUMMYFUNCTION("GOOGLETRANSLATE(C1944, ""en"", ""ru"")"),"политически осмотрительный, благоразумный")</f>
        <v>политически осмотрительный, благоразумный</v>
      </c>
      <c r="I1944" s="8" t="str">
        <f>IFERROR(__xludf.DUMMYFUNCTION("GOOGLETRANSLATE(C1944, ""en"", ""ar"")"),"سياسي، حكيم")</f>
        <v>سياسي، حكيم</v>
      </c>
      <c r="J1944" s="8"/>
      <c r="K1944" s="7" t="str">
        <f>IFERROR(__xludf.DUMMYFUNCTION("CONCAT(REGEXREPLACE(C1944,""[ ,]+"",""_""),"".mp3"")"),"politic_prudent.mp3")</f>
        <v>politic_prudent.mp3</v>
      </c>
      <c r="M1944" s="4" t="s">
        <v>10</v>
      </c>
    </row>
    <row r="1945" ht="15.75" customHeight="1">
      <c r="A1945" s="1">
        <v>3313.0</v>
      </c>
      <c r="B1945" s="3">
        <v>155.0</v>
      </c>
      <c r="C1945" s="7" t="s">
        <v>1943</v>
      </c>
      <c r="D1945" s="8" t="str">
        <f>IFERROR(__xludf.DUMMYFUNCTION("GOOGLETRANSLATE(C1945, ""en"", ""pt"")"),"planar, voar")</f>
        <v>planar, voar</v>
      </c>
      <c r="E1945" s="8" t="str">
        <f>IFERROR(__xludf.DUMMYFUNCTION("GOOGLETRANSLATE(C1945, ""en"", ""es"")"),"remonta el vuelo, vuela")</f>
        <v>remonta el vuelo, vuela</v>
      </c>
      <c r="F1945" s="8" t="str">
        <f>IFERROR(__xludf.DUMMYFUNCTION("GOOGLETRANSLATE(C1945, ""en"", ""fr"")"),"planez, volez")</f>
        <v>planez, volez</v>
      </c>
      <c r="G1945" s="8" t="str">
        <f>IFERROR(__xludf.DUMMYFUNCTION("GOOGLETRANSLATE(C1945, ""en"", ""de"")"),"schweben, fliegen")</f>
        <v>schweben, fliegen</v>
      </c>
      <c r="H1945" s="8" t="str">
        <f>IFERROR(__xludf.DUMMYFUNCTION("GOOGLETRANSLATE(C1945, ""en"", ""ru"")"),"парить, летать")</f>
        <v>парить, летать</v>
      </c>
      <c r="I1945" s="8" t="str">
        <f>IFERROR(__xludf.DUMMYFUNCTION("GOOGLETRANSLATE(C1945, ""en"", ""ar"")"),"حلّق، حلق")</f>
        <v>حلّق، حلق</v>
      </c>
      <c r="J1945" s="8"/>
      <c r="K1945" s="7" t="str">
        <f>IFERROR(__xludf.DUMMYFUNCTION("CONCAT(REGEXREPLACE(C1945,""[ ,]+"",""_""),"".mp3"")"),"soar_fly.mp3")</f>
        <v>soar_fly.mp3</v>
      </c>
      <c r="M1945" s="4" t="s">
        <v>10</v>
      </c>
    </row>
    <row r="1946" ht="15.75" customHeight="1">
      <c r="A1946" s="1">
        <v>3314.0</v>
      </c>
      <c r="B1946" s="3">
        <v>155.0</v>
      </c>
      <c r="C1946" s="7" t="s">
        <v>1944</v>
      </c>
      <c r="D1946" s="8" t="str">
        <f>IFERROR(__xludf.DUMMYFUNCTION("GOOGLETRANSLATE(C1946, ""en"", ""pt"")"),"subir, aumentar")</f>
        <v>subir, aumentar</v>
      </c>
      <c r="E1946" s="8" t="str">
        <f>IFERROR(__xludf.DUMMYFUNCTION("GOOGLETRANSLATE(C1946, ""en"", ""es"")"),"elevarse, aumentar")</f>
        <v>elevarse, aumentar</v>
      </c>
      <c r="F1946" s="8" t="str">
        <f>IFERROR(__xludf.DUMMYFUNCTION("GOOGLETRANSLATE(C1946, ""en"", ""fr"")"),"s'élever, augmenter")</f>
        <v>s'élever, augmenter</v>
      </c>
      <c r="G1946" s="8" t="str">
        <f>IFERROR(__xludf.DUMMYFUNCTION("GOOGLETRANSLATE(C1946, ""en"", ""de"")"),"steigen, zunehmen")</f>
        <v>steigen, zunehmen</v>
      </c>
      <c r="H1946" s="8" t="str">
        <f>IFERROR(__xludf.DUMMYFUNCTION("GOOGLETRANSLATE(C1946, ""en"", ""ru"")"),"взлетать, увеличиваться")</f>
        <v>взлетать, увеличиваться</v>
      </c>
      <c r="I1946" s="8" t="str">
        <f>IFERROR(__xludf.DUMMYFUNCTION("GOOGLETRANSLATE(C1946, ""en"", ""ar"")"),"يرتفع، يزداد")</f>
        <v>يرتفع، يزداد</v>
      </c>
      <c r="J1946" s="8"/>
      <c r="K1946" s="7" t="str">
        <f>IFERROR(__xludf.DUMMYFUNCTION("CONCAT(REGEXREPLACE(C1946,""[ ,]+"",""_""),"".mp3"")"),"soar_increase.mp3")</f>
        <v>soar_increase.mp3</v>
      </c>
      <c r="M1946" s="4" t="s">
        <v>10</v>
      </c>
    </row>
    <row r="1947" ht="15.75" customHeight="1">
      <c r="A1947" s="1">
        <v>3315.0</v>
      </c>
      <c r="B1947" s="3">
        <v>155.0</v>
      </c>
      <c r="C1947" s="7" t="s">
        <v>1945</v>
      </c>
      <c r="D1947" s="8" t="str">
        <f>IFERROR(__xludf.DUMMYFUNCTION("GOOGLETRANSLATE(C1947, ""en"", ""pt"")"),"sagrado, santo")</f>
        <v>sagrado, santo</v>
      </c>
      <c r="E1947" s="8" t="str">
        <f>IFERROR(__xludf.DUMMYFUNCTION("GOOGLETRANSLATE(C1947, ""en"", ""es"")"),"consagrado, sagrado")</f>
        <v>consagrado, sagrado</v>
      </c>
      <c r="F1947" s="8" t="str">
        <f>IFERROR(__xludf.DUMMYFUNCTION("GOOGLETRANSLATE(C1947, ""en"", ""fr"")"),"sanctifié, sacré")</f>
        <v>sanctifié, sacré</v>
      </c>
      <c r="G1947" s="8" t="str">
        <f>IFERROR(__xludf.DUMMYFUNCTION("GOOGLETRANSLATE(C1947, ""en"", ""de"")"),"geheiligt, sakral")</f>
        <v>geheiligt, sakral</v>
      </c>
      <c r="H1947" s="8" t="str">
        <f>IFERROR(__xludf.DUMMYFUNCTION("GOOGLETRANSLATE(C1947, ""en"", ""ru"")"),"священный, почитаемый")</f>
        <v>священный, почитаемый</v>
      </c>
      <c r="I1947" s="8" t="str">
        <f>IFERROR(__xludf.DUMMYFUNCTION("GOOGLETRANSLATE(C1947, ""en"", ""ar"")"),"مقدس، طاهر")</f>
        <v>مقدس، طاهر</v>
      </c>
      <c r="J1947" s="8"/>
      <c r="K1947" s="7" t="str">
        <f>IFERROR(__xludf.DUMMYFUNCTION("CONCAT(REGEXREPLACE(C1947,""[ ,]+"",""_""),"".mp3"")"),"hallowed_sacred.mp3")</f>
        <v>hallowed_sacred.mp3</v>
      </c>
      <c r="M1947" s="4" t="s">
        <v>10</v>
      </c>
    </row>
    <row r="1948" ht="15.75" customHeight="1">
      <c r="A1948" s="1">
        <v>3316.0</v>
      </c>
      <c r="B1948" s="3">
        <v>155.0</v>
      </c>
      <c r="C1948" s="7" t="s">
        <v>1946</v>
      </c>
      <c r="D1948" s="8" t="str">
        <f>IFERROR(__xludf.DUMMYFUNCTION("GOOGLETRANSLATE(C1948, ""en"", ""pt"")"),"irrupção, ataque")</f>
        <v>irrupção, ataque</v>
      </c>
      <c r="E1948" s="8" t="str">
        <f>IFERROR(__xludf.DUMMYFUNCTION("GOOGLETRANSLATE(C1948, ""en"", ""es"")"),"irrupción, ataque")</f>
        <v>irrupción, ataque</v>
      </c>
      <c r="F1948" s="8" t="str">
        <f>IFERROR(__xludf.DUMMYFUNCTION("GOOGLETRANSLATE(C1948, ""en"", ""fr"")"),"irruption, attaque")</f>
        <v>irruption, attaque</v>
      </c>
      <c r="G1948" s="8" t="str">
        <f>IFERROR(__xludf.DUMMYFUNCTION("GOOGLETRANSLATE(C1948, ""en"", ""de"")"),"Einbruch, Angriff")</f>
        <v>Einbruch, Angriff</v>
      </c>
      <c r="H1948" s="8" t="str">
        <f>IFERROR(__xludf.DUMMYFUNCTION("GOOGLETRANSLATE(C1948, ""en"", ""ru"")"),"вторжение, нападение")</f>
        <v>вторжение, нападение</v>
      </c>
      <c r="I1948" s="8" t="str">
        <f>IFERROR(__xludf.DUMMYFUNCTION("GOOGLETRANSLATE(C1948, ""en"", ""ar"")"),"اقتحام، هجوم")</f>
        <v>اقتحام، هجوم</v>
      </c>
      <c r="J1948" s="8"/>
      <c r="K1948" s="7" t="str">
        <f>IFERROR(__xludf.DUMMYFUNCTION("CONCAT(REGEXREPLACE(C1948,""[ ,]+"",""_""),"".mp3"")"),"irruption_attack.mp3")</f>
        <v>irruption_attack.mp3</v>
      </c>
      <c r="M1948" s="4" t="s">
        <v>10</v>
      </c>
    </row>
    <row r="1949" ht="15.75" customHeight="1">
      <c r="A1949" s="1">
        <v>3317.0</v>
      </c>
      <c r="B1949" s="3">
        <v>155.0</v>
      </c>
      <c r="C1949" s="7" t="s">
        <v>1947</v>
      </c>
      <c r="D1949" s="8" t="str">
        <f>IFERROR(__xludf.DUMMYFUNCTION("GOOGLETRANSLATE(C1949, ""en"", ""pt"")"),"divinizar, adorar")</f>
        <v>divinizar, adorar</v>
      </c>
      <c r="E1949" s="8" t="str">
        <f>IFERROR(__xludf.DUMMYFUNCTION("GOOGLETRANSLATE(C1949, ""en"", ""es"")"),"deificar, adorar")</f>
        <v>deificar, adorar</v>
      </c>
      <c r="F1949" s="8" t="str">
        <f>IFERROR(__xludf.DUMMYFUNCTION("GOOGLETRANSLATE(C1949, ""en"", ""fr"")"),"déifier, adorer")</f>
        <v>déifier, adorer</v>
      </c>
      <c r="G1949" s="8" t="str">
        <f>IFERROR(__xludf.DUMMYFUNCTION("GOOGLETRANSLATE(C1949, ""en"", ""de"")"),"vergöttlichen, anbeten")</f>
        <v>vergöttlichen, anbeten</v>
      </c>
      <c r="H1949" s="8" t="str">
        <f>IFERROR(__xludf.DUMMYFUNCTION("GOOGLETRANSLATE(C1949, ""en"", ""ru"")"),"обожествлять, поклоняться")</f>
        <v>обожествлять, поклоняться</v>
      </c>
      <c r="I1949" s="8" t="str">
        <f>IFERROR(__xludf.DUMMYFUNCTION("GOOGLETRANSLATE(C1949, ""en"", ""ar"")"),"تأليه، عبادة")</f>
        <v>تأليه، عبادة</v>
      </c>
      <c r="J1949" s="8"/>
      <c r="K1949" s="7" t="str">
        <f>IFERROR(__xludf.DUMMYFUNCTION("CONCAT(REGEXREPLACE(C1949,""[ ,]+"",""_""),"".mp3"")"),"deify_worship.mp3")</f>
        <v>deify_worship.mp3</v>
      </c>
      <c r="M1949" s="4" t="s">
        <v>10</v>
      </c>
    </row>
    <row r="1950" ht="15.75" customHeight="1">
      <c r="A1950" s="1">
        <v>3318.0</v>
      </c>
      <c r="B1950" s="3">
        <v>155.0</v>
      </c>
      <c r="C1950" s="7" t="s">
        <v>1948</v>
      </c>
      <c r="D1950" s="8" t="str">
        <f>IFERROR(__xludf.DUMMYFUNCTION("GOOGLETRANSLATE(C1950, ""en"", ""pt"")"),"desafiar, violar")</f>
        <v>desafiar, violar</v>
      </c>
      <c r="E1950" s="8" t="str">
        <f>IFERROR(__xludf.DUMMYFUNCTION("GOOGLETRANSLATE(C1950, ""en"", ""es"")"),"desafiar, violar")</f>
        <v>desafiar, violar</v>
      </c>
      <c r="F1950" s="8" t="str">
        <f>IFERROR(__xludf.DUMMYFUNCTION("GOOGLETRANSLATE(C1950, ""en"", ""fr"")"),"défier, violer")</f>
        <v>défier, violer</v>
      </c>
      <c r="G1950" s="8" t="str">
        <f>IFERROR(__xludf.DUMMYFUNCTION("GOOGLETRANSLATE(C1950, ""en"", ""de"")"),"trotzen, verletzen")</f>
        <v>trotzen, verletzen</v>
      </c>
      <c r="H1950" s="8" t="str">
        <f>IFERROR(__xludf.DUMMYFUNCTION("GOOGLETRANSLATE(C1950, ""en"", ""ru"")"),"бросать вызов, нарушать")</f>
        <v>бросать вызов, нарушать</v>
      </c>
      <c r="I1950" s="8" t="str">
        <f>IFERROR(__xludf.DUMMYFUNCTION("GOOGLETRANSLATE(C1950, ""en"", ""ar"")"),"تحدّى، انتهك")</f>
        <v>تحدّى، انتهك</v>
      </c>
      <c r="J1950" s="8"/>
      <c r="K1950" s="7" t="str">
        <f>IFERROR(__xludf.DUMMYFUNCTION("CONCAT(REGEXREPLACE(C1950,""[ ,]+"",""_""),"".mp3"")"),"defy_violate.mp3")</f>
        <v>defy_violate.mp3</v>
      </c>
      <c r="M1950" s="4" t="s">
        <v>10</v>
      </c>
    </row>
    <row r="1951" ht="15.75" customHeight="1">
      <c r="A1951" s="1">
        <v>3319.0</v>
      </c>
      <c r="B1951" s="3">
        <v>155.0</v>
      </c>
      <c r="C1951" s="7" t="s">
        <v>1949</v>
      </c>
      <c r="D1951" s="8" t="str">
        <f>IFERROR(__xludf.DUMMYFUNCTION("GOOGLETRANSLATE(C1951, ""en"", ""pt"")"),"consciencioso, honesto")</f>
        <v>consciencioso, honesto</v>
      </c>
      <c r="E1951" s="8" t="str">
        <f>IFERROR(__xludf.DUMMYFUNCTION("GOOGLETRANSLATE(C1951, ""en"", ""es"")"),"concienzudo, honesto")</f>
        <v>concienzudo, honesto</v>
      </c>
      <c r="F1951" s="8" t="str">
        <f>IFERROR(__xludf.DUMMYFUNCTION("GOOGLETRANSLATE(C1951, ""en"", ""fr"")"),"consciencieux, honnête")</f>
        <v>consciencieux, honnête</v>
      </c>
      <c r="G1951" s="8" t="str">
        <f>IFERROR(__xludf.DUMMYFUNCTION("GOOGLETRANSLATE(C1951, ""en"", ""de"")"),"gewissenhaft, ehrlich")</f>
        <v>gewissenhaft, ehrlich</v>
      </c>
      <c r="H1951" s="8" t="str">
        <f>IFERROR(__xludf.DUMMYFUNCTION("GOOGLETRANSLATE(C1951, ""en"", ""ru"")"),"добросовестный, честный")</f>
        <v>добросовестный, честный</v>
      </c>
      <c r="I1951" s="8" t="str">
        <f>IFERROR(__xludf.DUMMYFUNCTION("GOOGLETRANSLATE(C1951, ""en"", ""ar"")"),"مجتهد، صادق")</f>
        <v>مجتهد، صادق</v>
      </c>
      <c r="J1951" s="8"/>
      <c r="K1951" s="7" t="str">
        <f>IFERROR(__xludf.DUMMYFUNCTION("CONCAT(REGEXREPLACE(C1951,""[ ,]+"",""_""),"".mp3"")"),"conscientious_honest.mp3")</f>
        <v>conscientious_honest.mp3</v>
      </c>
      <c r="M1951" s="4" t="s">
        <v>10</v>
      </c>
    </row>
    <row r="1952" ht="15.75" customHeight="1">
      <c r="A1952" s="1">
        <v>3320.0</v>
      </c>
      <c r="B1952" s="3">
        <v>155.0</v>
      </c>
      <c r="C1952" s="7" t="s">
        <v>1950</v>
      </c>
      <c r="D1952" s="8" t="str">
        <f>IFERROR(__xludf.DUMMYFUNCTION("GOOGLETRANSLATE(C1952, ""en"", ""pt"")"),"drey, casa do esquilo")</f>
        <v>drey, casa do esquilo</v>
      </c>
      <c r="E1952" s="8" t="str">
        <f>IFERROR(__xludf.DUMMYFUNCTION("GOOGLETRANSLATE(C1952, ""en"", ""es"")"),"Drey, el hogar de la ardilla")</f>
        <v>Drey, el hogar de la ardilla</v>
      </c>
      <c r="F1952" s="8" t="str">
        <f>IFERROR(__xludf.DUMMYFUNCTION("GOOGLETRANSLATE(C1952, ""en"", ""fr"")"),"drey, la maison de l'écureuil")</f>
        <v>drey, la maison de l'écureuil</v>
      </c>
      <c r="G1952" s="8" t="str">
        <f>IFERROR(__xludf.DUMMYFUNCTION("GOOGLETRANSLATE(C1952, ""en"", ""de"")"),"Kobel, Eichhörnchens Zuhause")</f>
        <v>Kobel, Eichhörnchens Zuhause</v>
      </c>
      <c r="H1952" s="8" t="str">
        <f>IFERROR(__xludf.DUMMYFUNCTION("GOOGLETRANSLATE(C1952, ""en"", ""ru"")"),"Дрей, дом белки")</f>
        <v>Дрей, дом белки</v>
      </c>
      <c r="I1952" s="8" t="str">
        <f>IFERROR(__xludf.DUMMYFUNCTION("GOOGLETRANSLATE(C1952, ""en"", ""ar"")"),"دري، موطن السنجاب")</f>
        <v>دري، موطن السنجاب</v>
      </c>
      <c r="J1952" s="8"/>
      <c r="K1952" s="7" t="str">
        <f>IFERROR(__xludf.DUMMYFUNCTION("CONCAT(REGEXREPLACE(C1952,""[ ,]+"",""_""),"".mp3"")"),"drey_squirrel’s_home.mp3")</f>
        <v>drey_squirrel’s_home.mp3</v>
      </c>
      <c r="M1952" s="4" t="s">
        <v>10</v>
      </c>
    </row>
    <row r="1953" ht="15.75" customHeight="1">
      <c r="A1953" s="1">
        <v>3321.0</v>
      </c>
      <c r="B1953" s="3">
        <v>155.0</v>
      </c>
      <c r="C1953" s="7" t="s">
        <v>1951</v>
      </c>
      <c r="D1953" s="8" t="str">
        <f>IFERROR(__xludf.DUMMYFUNCTION("GOOGLETRANSLATE(C1953, ""en"", ""pt"")"),"flácido, mole")</f>
        <v>flácido, mole</v>
      </c>
      <c r="E1953" s="8" t="str">
        <f>IFERROR(__xludf.DUMMYFUNCTION("GOOGLETRANSLATE(C1953, ""en"", ""es"")"),"flácido, blando")</f>
        <v>flácido, blando</v>
      </c>
      <c r="F1953" s="8" t="str">
        <f>IFERROR(__xludf.DUMMYFUNCTION("GOOGLETRANSLATE(C1953, ""en"", ""fr"")"),"flasque, mou")</f>
        <v>flasque, mou</v>
      </c>
      <c r="G1953" s="8" t="str">
        <f>IFERROR(__xludf.DUMMYFUNCTION("GOOGLETRANSLATE(C1953, ""en"", ""de"")"),"schlaff, weich")</f>
        <v>schlaff, weich</v>
      </c>
      <c r="H1953" s="8" t="str">
        <f>IFERROR(__xludf.DUMMYFUNCTION("GOOGLETRANSLATE(C1953, ""en"", ""ru"")"),"вялый, мягкий")</f>
        <v>вялый, мягкий</v>
      </c>
      <c r="I1953" s="8" t="str">
        <f>IFERROR(__xludf.DUMMYFUNCTION("GOOGLETRANSLATE(C1953, ""en"", ""ar"")"),"رخو، ناعم")</f>
        <v>رخو، ناعم</v>
      </c>
      <c r="J1953" s="8"/>
      <c r="K1953" s="7" t="str">
        <f>IFERROR(__xludf.DUMMYFUNCTION("CONCAT(REGEXREPLACE(C1953,""[ ,]+"",""_""),"".mp3"")"),"flaccid_soft.mp3")</f>
        <v>flaccid_soft.mp3</v>
      </c>
      <c r="M1953" s="4" t="s">
        <v>10</v>
      </c>
    </row>
    <row r="1954" ht="15.75" customHeight="1">
      <c r="A1954" s="1">
        <v>3322.0</v>
      </c>
      <c r="B1954" s="3">
        <v>155.0</v>
      </c>
      <c r="C1954" s="7" t="s">
        <v>1952</v>
      </c>
      <c r="D1954" s="8" t="str">
        <f>IFERROR(__xludf.DUMMYFUNCTION("GOOGLETRANSLATE(C1954, ""en"", ""pt"")"),"Apagão, cansado")</f>
        <v>Apagão, cansado</v>
      </c>
      <c r="E1954" s="8" t="str">
        <f>IFERROR(__xludf.DUMMYFUNCTION("GOOGLETRANSLATE(C1954, ""en"", ""es"")"),"agotado, cansado")</f>
        <v>agotado, cansado</v>
      </c>
      <c r="F1954" s="8" t="str">
        <f>IFERROR(__xludf.DUMMYFUNCTION("GOOGLETRANSLATE(C1954, ""en"", ""fr"")"),"épuisé, fatigué")</f>
        <v>épuisé, fatigué</v>
      </c>
      <c r="G1954" s="8" t="str">
        <f>IFERROR(__xludf.DUMMYFUNCTION("GOOGLETRANSLATE(C1954, ""en"", ""de"")"),"völlig erschöpft, müde")</f>
        <v>völlig erschöpft, müde</v>
      </c>
      <c r="H1954" s="8" t="str">
        <f>IFERROR(__xludf.DUMMYFUNCTION("GOOGLETRANSLATE(C1954, ""en"", ""ru"")"),"обессиленный, уставший")</f>
        <v>обессиленный, уставший</v>
      </c>
      <c r="I1954" s="8" t="str">
        <f>IFERROR(__xludf.DUMMYFUNCTION("GOOGLETRANSLATE(C1954, ""en"", ""ar"")"),"منهك، متعب")</f>
        <v>منهك، متعب</v>
      </c>
      <c r="J1954" s="8"/>
      <c r="K1954" s="7" t="str">
        <f>IFERROR(__xludf.DUMMYFUNCTION("CONCAT(REGEXREPLACE(C1954,""[ ,]+"",""_""),"".mp3"")"),"zonked_tired.mp3")</f>
        <v>zonked_tired.mp3</v>
      </c>
      <c r="M1954" s="4" t="s">
        <v>10</v>
      </c>
    </row>
    <row r="1955" ht="15.75" customHeight="1">
      <c r="A1955" s="1">
        <v>3323.0</v>
      </c>
      <c r="B1955" s="3">
        <v>155.0</v>
      </c>
      <c r="C1955" s="7" t="s">
        <v>1953</v>
      </c>
      <c r="D1955" s="8" t="str">
        <f>IFERROR(__xludf.DUMMYFUNCTION("GOOGLETRANSLATE(C1955, ""en"", ""pt"")"),"multidão, aglomeração")</f>
        <v>multidão, aglomeração</v>
      </c>
      <c r="E1955" s="8" t="str">
        <f>IFERROR(__xludf.DUMMYFUNCTION("GOOGLETRANSLATE(C1955, ""en"", ""es"")"),"multitud, multitud")</f>
        <v>multitud, multitud</v>
      </c>
      <c r="F1955" s="8" t="str">
        <f>IFERROR(__xludf.DUMMYFUNCTION("GOOGLETRANSLATE(C1955, ""en"", ""fr"")"),"multitude, foule")</f>
        <v>multitude, foule</v>
      </c>
      <c r="G1955" s="8" t="str">
        <f>IFERROR(__xludf.DUMMYFUNCTION("GOOGLETRANSLATE(C1955, ""en"", ""de"")"),"Menge, Menschenmenge")</f>
        <v>Menge, Menschenmenge</v>
      </c>
      <c r="H1955" s="8" t="str">
        <f>IFERROR(__xludf.DUMMYFUNCTION("GOOGLETRANSLATE(C1955, ""en"", ""ru"")"),"множество, толпа")</f>
        <v>множество, толпа</v>
      </c>
      <c r="I1955" s="8" t="str">
        <f>IFERROR(__xludf.DUMMYFUNCTION("GOOGLETRANSLATE(C1955, ""en"", ""ar"")"),"حشد، جمهور")</f>
        <v>حشد، جمهور</v>
      </c>
      <c r="J1955" s="8"/>
      <c r="K1955" s="7" t="str">
        <f>IFERROR(__xludf.DUMMYFUNCTION("CONCAT(REGEXREPLACE(C1955,""[ ,]+"",""_""),"".mp3"")"),"multitude_crowd.mp3")</f>
        <v>multitude_crowd.mp3</v>
      </c>
      <c r="M1955" s="4" t="s">
        <v>10</v>
      </c>
    </row>
    <row r="1956" ht="15.75" customHeight="1">
      <c r="A1956" s="1">
        <v>3324.0</v>
      </c>
      <c r="B1956" s="3">
        <v>155.0</v>
      </c>
      <c r="C1956" s="7" t="s">
        <v>1954</v>
      </c>
      <c r="D1956" s="8" t="str">
        <f>IFERROR(__xludf.DUMMYFUNCTION("GOOGLETRANSLATE(C1956, ""en"", ""pt"")"),"inércia, inatividade")</f>
        <v>inércia, inatividade</v>
      </c>
      <c r="E1956" s="8" t="str">
        <f>IFERROR(__xludf.DUMMYFUNCTION("GOOGLETRANSLATE(C1956, ""en"", ""es"")"),"inercia, inactividad")</f>
        <v>inercia, inactividad</v>
      </c>
      <c r="F1956" s="8" t="str">
        <f>IFERROR(__xludf.DUMMYFUNCTION("GOOGLETRANSLATE(C1956, ""en"", ""fr"")"),"inertie, inactivité")</f>
        <v>inertie, inactivité</v>
      </c>
      <c r="G1956" s="8" t="str">
        <f>IFERROR(__xludf.DUMMYFUNCTION("GOOGLETRANSLATE(C1956, ""en"", ""de"")"),"Trägheit, Untätigkeit")</f>
        <v>Trägheit, Untätigkeit</v>
      </c>
      <c r="H1956" s="8" t="str">
        <f>IFERROR(__xludf.DUMMYFUNCTION("GOOGLETRANSLATE(C1956, ""en"", ""ru"")"),"инерция, бездействие")</f>
        <v>инерция, бездействие</v>
      </c>
      <c r="I1956" s="8" t="str">
        <f>IFERROR(__xludf.DUMMYFUNCTION("GOOGLETRANSLATE(C1956, ""en"", ""ar"")"),"الخمول، عدم النشاط")</f>
        <v>الخمول، عدم النشاط</v>
      </c>
      <c r="J1956" s="8"/>
      <c r="K1956" s="7" t="str">
        <f>IFERROR(__xludf.DUMMYFUNCTION("CONCAT(REGEXREPLACE(C1956,""[ ,]+"",""_""),"".mp3"")"),"inertia_inactiveness.mp3")</f>
        <v>inertia_inactiveness.mp3</v>
      </c>
      <c r="M1956" s="4" t="s">
        <v>10</v>
      </c>
    </row>
    <row r="1957" ht="15.75" customHeight="1">
      <c r="A1957" s="1">
        <v>3325.0</v>
      </c>
      <c r="B1957" s="3">
        <v>155.0</v>
      </c>
      <c r="C1957" s="7" t="s">
        <v>1955</v>
      </c>
      <c r="D1957" s="8" t="str">
        <f>IFERROR(__xludf.DUMMYFUNCTION("GOOGLETRANSLATE(C1957, ""en"", ""pt"")"),"pathos, tristeza")</f>
        <v>pathos, tristeza</v>
      </c>
      <c r="E1957" s="8" t="str">
        <f>IFERROR(__xludf.DUMMYFUNCTION("GOOGLETRANSLATE(C1957, ""en"", ""es"")"),"patetismo, tristeza")</f>
        <v>patetismo, tristeza</v>
      </c>
      <c r="F1957" s="8" t="str">
        <f>IFERROR(__xludf.DUMMYFUNCTION("GOOGLETRANSLATE(C1957, ""en"", ""fr"")"),"pathétique, tristesse")</f>
        <v>pathétique, tristesse</v>
      </c>
      <c r="G1957" s="8" t="str">
        <f>IFERROR(__xludf.DUMMYFUNCTION("GOOGLETRANSLATE(C1957, ""en"", ""de"")"),"Pathos, Traurigkeit")</f>
        <v>Pathos, Traurigkeit</v>
      </c>
      <c r="H1957" s="8" t="str">
        <f>IFERROR(__xludf.DUMMYFUNCTION("GOOGLETRANSLATE(C1957, ""en"", ""ru"")"),"пафос, печаль")</f>
        <v>пафос, печаль</v>
      </c>
      <c r="I1957" s="8" t="str">
        <f>IFERROR(__xludf.DUMMYFUNCTION("GOOGLETRANSLATE(C1957, ""en"", ""ar"")"),"حزن، شفقة")</f>
        <v>حزن، شفقة</v>
      </c>
      <c r="J1957" s="8"/>
      <c r="K1957" s="7" t="str">
        <f>IFERROR(__xludf.DUMMYFUNCTION("CONCAT(REGEXREPLACE(C1957,""[ ,]+"",""_""),"".mp3"")"),"pathos_sadness.mp3")</f>
        <v>pathos_sadness.mp3</v>
      </c>
      <c r="M1957" s="4" t="s">
        <v>10</v>
      </c>
    </row>
    <row r="1958" ht="15.75" customHeight="1">
      <c r="A1958" s="1">
        <v>3326.0</v>
      </c>
      <c r="B1958" s="3">
        <v>155.0</v>
      </c>
      <c r="C1958" s="7" t="s">
        <v>1956</v>
      </c>
      <c r="D1958" s="8" t="str">
        <f>IFERROR(__xludf.DUMMYFUNCTION("GOOGLETRANSLATE(C1958, ""en"", ""pt"")"),"durável, de longa duração")</f>
        <v>durável, de longa duração</v>
      </c>
      <c r="E1958" s="8" t="str">
        <f>IFERROR(__xludf.DUMMYFUNCTION("GOOGLETRANSLATE(C1958, ""en"", ""es"")"),"perdurable, de larga duración")</f>
        <v>perdurable, de larga duración</v>
      </c>
      <c r="F1958" s="8" t="str">
        <f>IFERROR(__xludf.DUMMYFUNCTION("GOOGLETRANSLATE(C1958, ""en"", ""fr"")"),"durable, de longue durée")</f>
        <v>durable, de longue durée</v>
      </c>
      <c r="G1958" s="8" t="str">
        <f>IFERROR(__xludf.DUMMYFUNCTION("GOOGLETRANSLATE(C1958, ""en"", ""de"")"),"langlebig, langlebig")</f>
        <v>langlebig, langlebig</v>
      </c>
      <c r="H1958" s="8" t="str">
        <f>IFERROR(__xludf.DUMMYFUNCTION("GOOGLETRANSLATE(C1958, ""en"", ""ru"")"),"прочный, долговечный")</f>
        <v>прочный, долговечный</v>
      </c>
      <c r="I1958" s="8" t="str">
        <f>IFERROR(__xludf.DUMMYFUNCTION("GOOGLETRANSLATE(C1958, ""en"", ""ar"")"),"متين، يدوم طويلاً")</f>
        <v>متين، يدوم طويلاً</v>
      </c>
      <c r="J1958" s="8"/>
      <c r="K1958" s="7" t="str">
        <f>IFERROR(__xludf.DUMMYFUNCTION("CONCAT(REGEXREPLACE(C1958,""[ ,]+"",""_""),"".mp3"")"),"perdurable_long_lasting.mp3")</f>
        <v>perdurable_long_lasting.mp3</v>
      </c>
      <c r="M1958" s="4" t="s">
        <v>10</v>
      </c>
    </row>
    <row r="1959" ht="15.75" customHeight="1">
      <c r="A1959" s="1">
        <v>3327.0</v>
      </c>
      <c r="B1959" s="3">
        <v>155.0</v>
      </c>
      <c r="C1959" s="7" t="s">
        <v>1957</v>
      </c>
      <c r="D1959" s="8" t="str">
        <f>IFERROR(__xludf.DUMMYFUNCTION("GOOGLETRANSLATE(C1959, ""en"", ""pt"")"),"apático, sem energia")</f>
        <v>apático, sem energia</v>
      </c>
      <c r="E1959" s="8" t="str">
        <f>IFERROR(__xludf.DUMMYFUNCTION("GOOGLETRANSLATE(C1959, ""en"", ""es"")"),"apático, sin energía")</f>
        <v>apático, sin energía</v>
      </c>
      <c r="F1959" s="8" t="str">
        <f>IFERROR(__xludf.DUMMYFUNCTION("GOOGLETRANSLATE(C1959, ""en"", ""fr"")"),"apathique, sans énergie")</f>
        <v>apathique, sans énergie</v>
      </c>
      <c r="G1959" s="8" t="str">
        <f>IFERROR(__xludf.DUMMYFUNCTION("GOOGLETRANSLATE(C1959, ""en"", ""de"")"),"lustlos, energielos")</f>
        <v>lustlos, energielos</v>
      </c>
      <c r="H1959" s="8" t="str">
        <f>IFERROR(__xludf.DUMMYFUNCTION("GOOGLETRANSLATE(C1959, ""en"", ""ru"")"),"вялый, безжизненный")</f>
        <v>вялый, безжизненный</v>
      </c>
      <c r="I1959" s="8" t="str">
        <f>IFERROR(__xludf.DUMMYFUNCTION("GOOGLETRANSLATE(C1959, ""en"", ""ar"")"),"خامل، فاقد للحيوية")</f>
        <v>خامل، فاقد للحيوية</v>
      </c>
      <c r="J1959" s="8"/>
      <c r="K1959" s="7" t="str">
        <f>IFERROR(__xludf.DUMMYFUNCTION("CONCAT(REGEXREPLACE(C1959,""[ ,]+"",""_""),"".mp3"")"),"listless_unenergetic.mp3")</f>
        <v>listless_unenergetic.mp3</v>
      </c>
      <c r="M1959" s="4" t="s">
        <v>10</v>
      </c>
    </row>
    <row r="1960" ht="15.75" customHeight="1">
      <c r="A1960" s="1">
        <v>3328.0</v>
      </c>
      <c r="B1960" s="3">
        <v>155.0</v>
      </c>
      <c r="C1960" s="7" t="s">
        <v>1958</v>
      </c>
      <c r="D1960" s="8" t="str">
        <f>IFERROR(__xludf.DUMMYFUNCTION("GOOGLETRANSLATE(C1960, ""en"", ""pt"")"),"presunçoso, arrogante")</f>
        <v>presunçoso, arrogante</v>
      </c>
      <c r="E1960" s="8" t="str">
        <f>IFERROR(__xludf.DUMMYFUNCTION("GOOGLETRANSLATE(C1960, ""en"", ""es"")"),"presuntuoso, arrogante")</f>
        <v>presuntuoso, arrogante</v>
      </c>
      <c r="F1960" s="8" t="str">
        <f>IFERROR(__xludf.DUMMYFUNCTION("GOOGLETRANSLATE(C1960, ""en"", ""fr"")"),"présomptueux, arrogant")</f>
        <v>présomptueux, arrogant</v>
      </c>
      <c r="G1960" s="8" t="str">
        <f>IFERROR(__xludf.DUMMYFUNCTION("GOOGLETRANSLATE(C1960, ""en"", ""de"")"),"anmaßend, arrogant")</f>
        <v>anmaßend, arrogant</v>
      </c>
      <c r="H1960" s="8" t="str">
        <f>IFERROR(__xludf.DUMMYFUNCTION("GOOGLETRANSLATE(C1960, ""en"", ""ru"")"),"самонадеянный, высокомерный")</f>
        <v>самонадеянный, высокомерный</v>
      </c>
      <c r="I1960" s="8" t="str">
        <f>IFERROR(__xludf.DUMMYFUNCTION("GOOGLETRANSLATE(C1960, ""en"", ""ar"")"),"متغطرس، متعجرف")</f>
        <v>متغطرس، متعجرف</v>
      </c>
      <c r="J1960" s="8"/>
      <c r="K1960" s="7" t="str">
        <f>IFERROR(__xludf.DUMMYFUNCTION("CONCAT(REGEXREPLACE(C1960,""[ ,]+"",""_""),"".mp3"")"),"presumptuous_arrogant.mp3")</f>
        <v>presumptuous_arrogant.mp3</v>
      </c>
      <c r="M1960" s="4" t="s">
        <v>10</v>
      </c>
    </row>
    <row r="1961" ht="15.75" customHeight="1">
      <c r="A1961" s="1">
        <v>3329.0</v>
      </c>
      <c r="B1961" s="3">
        <v>155.0</v>
      </c>
      <c r="C1961" s="7" t="s">
        <v>1959</v>
      </c>
      <c r="D1961" s="8" t="str">
        <f>IFERROR(__xludf.DUMMYFUNCTION("GOOGLETRANSLATE(C1961, ""en"", ""pt"")"),"sitiante, cercar")</f>
        <v>sitiante, cercar</v>
      </c>
      <c r="E1961" s="8" t="str">
        <f>IFERROR(__xludf.DUMMYFUNCTION("GOOGLETRANSLATE(C1961, ""en"", ""es"")"),"asediar, rodear")</f>
        <v>asediar, rodear</v>
      </c>
      <c r="F1961" s="8" t="str">
        <f>IFERROR(__xludf.DUMMYFUNCTION("GOOGLETRANSLATE(C1961, ""en"", ""fr"")"),"assiéger, entourer")</f>
        <v>assiéger, entourer</v>
      </c>
      <c r="G1961" s="8" t="str">
        <f>IFERROR(__xludf.DUMMYFUNCTION("GOOGLETRANSLATE(C1961, ""en"", ""de"")"),"belagert, umgeben")</f>
        <v>belagert, umgeben</v>
      </c>
      <c r="H1961" s="8" t="str">
        <f>IFERROR(__xludf.DUMMYFUNCTION("GOOGLETRANSLATE(C1961, ""en"", ""ru"")"),"осадить, окружить")</f>
        <v>осадить, окружить</v>
      </c>
      <c r="I1961" s="8" t="str">
        <f>IFERROR(__xludf.DUMMYFUNCTION("GOOGLETRANSLATE(C1961, ""en"", ""ar"")"),"محاصر، محاصر")</f>
        <v>محاصر، محاصر</v>
      </c>
      <c r="J1961" s="8"/>
      <c r="K1961" s="7" t="str">
        <f>IFERROR(__xludf.DUMMYFUNCTION("CONCAT(REGEXREPLACE(C1961,""[ ,]+"",""_""),"".mp3"")"),"beleaguer_surround.mp3")</f>
        <v>beleaguer_surround.mp3</v>
      </c>
      <c r="M1961" s="4" t="s">
        <v>10</v>
      </c>
    </row>
    <row r="1962" ht="15.75" customHeight="1">
      <c r="A1962" s="1">
        <v>3330.0</v>
      </c>
      <c r="B1962" s="3">
        <v>155.0</v>
      </c>
      <c r="C1962" s="7" t="s">
        <v>1960</v>
      </c>
      <c r="D1962" s="8" t="str">
        <f>IFERROR(__xludf.DUMMYFUNCTION("GOOGLETRANSLATE(C1962, ""en"", ""pt"")"),"sitiar, cercar")</f>
        <v>sitiar, cercar</v>
      </c>
      <c r="E1962" s="8" t="str">
        <f>IFERROR(__xludf.DUMMYFUNCTION("GOOGLETRANSLATE(C1962, ""en"", ""es"")"),"asediar, rodear")</f>
        <v>asediar, rodear</v>
      </c>
      <c r="F1962" s="8" t="str">
        <f>IFERROR(__xludf.DUMMYFUNCTION("GOOGLETRANSLATE(C1962, ""en"", ""fr"")"),"assiéger, encercler")</f>
        <v>assiéger, encercler</v>
      </c>
      <c r="G1962" s="8" t="str">
        <f>IFERROR(__xludf.DUMMYFUNCTION("GOOGLETRANSLATE(C1962, ""en"", ""de"")"),"belagern, umzingeln")</f>
        <v>belagern, umzingeln</v>
      </c>
      <c r="H1962" s="8" t="str">
        <f>IFERROR(__xludf.DUMMYFUNCTION("GOOGLETRANSLATE(C1962, ""en"", ""ru"")"),"осада, окружение")</f>
        <v>осада, окружение</v>
      </c>
      <c r="I1962" s="8" t="str">
        <f>IFERROR(__xludf.DUMMYFUNCTION("GOOGLETRANSLATE(C1962, ""en"", ""ar"")"),"حاصر، أحاط")</f>
        <v>حاصر، أحاط</v>
      </c>
      <c r="J1962" s="8"/>
      <c r="K1962" s="7" t="str">
        <f>IFERROR(__xludf.DUMMYFUNCTION("CONCAT(REGEXREPLACE(C1962,""[ ,]+"",""_""),"".mp3"")"),"besiege_surround.mp3")</f>
        <v>besiege_surround.mp3</v>
      </c>
      <c r="M1962" s="4" t="s">
        <v>10</v>
      </c>
    </row>
    <row r="1963" ht="15.75" customHeight="1">
      <c r="A1963" s="1">
        <v>3331.0</v>
      </c>
      <c r="B1963" s="3">
        <v>155.0</v>
      </c>
      <c r="C1963" s="7" t="s">
        <v>1961</v>
      </c>
      <c r="D1963" s="8" t="str">
        <f>IFERROR(__xludf.DUMMYFUNCTION("GOOGLETRANSLATE(C1963, ""en"", ""pt"")"),"arrogante, presunçoso")</f>
        <v>arrogante, presunçoso</v>
      </c>
      <c r="E1963" s="8" t="str">
        <f>IFERROR(__xludf.DUMMYFUNCTION("GOOGLETRANSLATE(C1963, ""en"", ""es"")"),"presuntuoso, arrogante")</f>
        <v>presuntuoso, arrogante</v>
      </c>
      <c r="F1963" s="8" t="str">
        <f>IFERROR(__xludf.DUMMYFUNCTION("GOOGLETRANSLATE(C1963, ""en"", ""fr"")"),"prétentieux, arrogant")</f>
        <v>prétentieux, arrogant</v>
      </c>
      <c r="G1963" s="8" t="str">
        <f>IFERROR(__xludf.DUMMYFUNCTION("GOOGLETRANSLATE(C1963, ""en"", ""de"")"),"überheblich, arrogant")</f>
        <v>überheblich, arrogant</v>
      </c>
      <c r="H1963" s="8" t="str">
        <f>IFERROR(__xludf.DUMMYFUNCTION("GOOGLETRANSLATE(C1963, ""en"", ""ru"")"),"высокомерный, надменный")</f>
        <v>высокомерный, надменный</v>
      </c>
      <c r="I1963" s="8" t="str">
        <f>IFERROR(__xludf.DUMMYFUNCTION("GOOGLETRANSLATE(C1963, ""en"", ""ar"")"),"متغطرس، متعجرف")</f>
        <v>متغطرس، متعجرف</v>
      </c>
      <c r="J1963" s="8"/>
      <c r="K1963" s="7" t="str">
        <f>IFERROR(__xludf.DUMMYFUNCTION("CONCAT(REGEXREPLACE(C1963,""[ ,]+"",""_""),"".mp3"")"),"overweening_arrogant.mp3")</f>
        <v>overweening_arrogant.mp3</v>
      </c>
      <c r="M1963" s="4" t="s">
        <v>10</v>
      </c>
    </row>
    <row r="1964" ht="15.75" customHeight="1">
      <c r="A1964" s="1">
        <v>3332.0</v>
      </c>
      <c r="B1964" s="3">
        <v>155.0</v>
      </c>
      <c r="C1964" s="7" t="s">
        <v>1962</v>
      </c>
      <c r="D1964" s="8" t="str">
        <f>IFERROR(__xludf.DUMMYFUNCTION("GOOGLETRANSLATE(C1964, ""en"", ""pt"")"),"tumulto, multidão")</f>
        <v>tumulto, multidão</v>
      </c>
      <c r="E1964" s="8" t="str">
        <f>IFERROR(__xludf.DUMMYFUNCTION("GOOGLETRANSLATE(C1964, ""en"", ""es"")"),"tumulto, multitud")</f>
        <v>tumulto, multitud</v>
      </c>
      <c r="F1964" s="8" t="str">
        <f>IFERROR(__xludf.DUMMYFUNCTION("GOOGLETRANSLATE(C1964, ""en"", ""fr"")"),"mêlée, foule")</f>
        <v>mêlée, foule</v>
      </c>
      <c r="G1964" s="8" t="str">
        <f>IFERROR(__xludf.DUMMYFUNCTION("GOOGLETRANSLATE(C1964, ""en"", ""de"")"),"Gedränge, Menschenmenge")</f>
        <v>Gedränge, Menschenmenge</v>
      </c>
      <c r="H1964" s="8" t="str">
        <f>IFERROR(__xludf.DUMMYFUNCTION("GOOGLETRANSLATE(C1964, ""en"", ""ru"")"),"суматоха, толпа")</f>
        <v>суматоха, толпа</v>
      </c>
      <c r="I1964" s="8" t="str">
        <f>IFERROR(__xludf.DUMMYFUNCTION("GOOGLETRANSLATE(C1964, ""en"", ""ar"")"),"راك، حشد")</f>
        <v>راك، حشد</v>
      </c>
      <c r="J1964" s="8"/>
      <c r="K1964" s="7" t="str">
        <f>IFERROR(__xludf.DUMMYFUNCTION("CONCAT(REGEXREPLACE(C1964,""[ ,]+"",""_""),"".mp3"")"),"ruck_crowd.mp3")</f>
        <v>ruck_crowd.mp3</v>
      </c>
      <c r="M1964" s="4" t="s">
        <v>10</v>
      </c>
    </row>
    <row r="1965" ht="15.75" customHeight="1">
      <c r="A1965" s="1">
        <v>3333.0</v>
      </c>
      <c r="B1965" s="3">
        <v>155.0</v>
      </c>
      <c r="C1965" s="7" t="s">
        <v>1963</v>
      </c>
      <c r="D1965" s="8" t="str">
        <f>IFERROR(__xludf.DUMMYFUNCTION("GOOGLETRANSLATE(C1965, ""en"", ""pt"")"),"provisão, forragem")</f>
        <v>provisão, forragem</v>
      </c>
      <c r="E1965" s="8" t="str">
        <f>IFERROR(__xludf.DUMMYFUNCTION("GOOGLETRANSLATE(C1965, ""en"", ""es"")"),"forraje, alimento")</f>
        <v>forraje, alimento</v>
      </c>
      <c r="F1965" s="8" t="str">
        <f>IFERROR(__xludf.DUMMYFUNCTION("GOOGLETRANSLATE(C1965, ""en"", ""fr"")"),"fourrage, fourrage")</f>
        <v>fourrage, fourrage</v>
      </c>
      <c r="G1965" s="8" t="str">
        <f>IFERROR(__xludf.DUMMYFUNCTION("GOOGLETRANSLATE(C1965, ""en"", ""de"")"),"Futter, Futter")</f>
        <v>Futter, Futter</v>
      </c>
      <c r="H1965" s="8" t="str">
        <f>IFERROR(__xludf.DUMMYFUNCTION("GOOGLETRANSLATE(C1965, ""en"", ""ru"")"),"корма, фураж")</f>
        <v>корма, фураж</v>
      </c>
      <c r="I1965" s="8" t="str">
        <f>IFERROR(__xludf.DUMMYFUNCTION("GOOGLETRANSLATE(C1965, ""en"", ""ar"")"),"علف، علف")</f>
        <v>علف، علف</v>
      </c>
      <c r="J1965" s="8"/>
      <c r="K1965" s="7" t="str">
        <f>IFERROR(__xludf.DUMMYFUNCTION("CONCAT(REGEXREPLACE(C1965,""[ ,]+"",""_""),"".mp3"")"),"provender_fodder.mp3")</f>
        <v>provender_fodder.mp3</v>
      </c>
      <c r="M1965" s="4" t="s">
        <v>10</v>
      </c>
    </row>
    <row r="1966" ht="15.75" customHeight="1">
      <c r="A1966" s="1">
        <v>3334.0</v>
      </c>
      <c r="B1966" s="3">
        <v>155.0</v>
      </c>
      <c r="C1966" s="7" t="s">
        <v>1964</v>
      </c>
      <c r="D1966" s="8" t="str">
        <f>IFERROR(__xludf.DUMMYFUNCTION("GOOGLETRANSLATE(C1966, ""en"", ""pt"")"),"babel, clamor")</f>
        <v>babel, clamor</v>
      </c>
      <c r="E1966" s="8" t="str">
        <f>IFERROR(__xludf.DUMMYFUNCTION("GOOGLETRANSLATE(C1966, ""en"", ""es"")"),"Babel, clamor")</f>
        <v>Babel, clamor</v>
      </c>
      <c r="F1966" s="8" t="str">
        <f>IFERROR(__xludf.DUMMYFUNCTION("GOOGLETRANSLATE(C1966, ""en"", ""fr"")"),"Babel, clameur")</f>
        <v>Babel, clameur</v>
      </c>
      <c r="G1966" s="8" t="str">
        <f>IFERROR(__xludf.DUMMYFUNCTION("GOOGLETRANSLATE(C1966, ""en"", ""de"")"),"Babel, Lärm")</f>
        <v>Babel, Lärm</v>
      </c>
      <c r="H1966" s="8" t="str">
        <f>IFERROR(__xludf.DUMMYFUNCTION("GOOGLETRANSLATE(C1966, ""en"", ""ru"")"),"вавилон, шум")</f>
        <v>вавилон, шум</v>
      </c>
      <c r="I1966" s="8" t="str">
        <f>IFERROR(__xludf.DUMMYFUNCTION("GOOGLETRANSLATE(C1966, ""en"", ""ar"")"),"بابل، صخب")</f>
        <v>بابل، صخب</v>
      </c>
      <c r="J1966" s="8"/>
      <c r="K1966" s="7" t="str">
        <f>IFERROR(__xludf.DUMMYFUNCTION("CONCAT(REGEXREPLACE(C1966,""[ ,]+"",""_""),"".mp3"")"),"babel_clamour.mp3")</f>
        <v>babel_clamour.mp3</v>
      </c>
      <c r="M1966" s="4" t="s">
        <v>10</v>
      </c>
    </row>
    <row r="1967" ht="15.75" customHeight="1">
      <c r="A1967" s="1">
        <v>3335.0</v>
      </c>
      <c r="B1967" s="3">
        <v>155.0</v>
      </c>
      <c r="C1967" s="7" t="s">
        <v>1965</v>
      </c>
      <c r="D1967" s="8" t="str">
        <f>IFERROR(__xludf.DUMMYFUNCTION("GOOGLETRANSLATE(C1967, ""en"", ""pt"")"),"aparição, espírito")</f>
        <v>aparição, espírito</v>
      </c>
      <c r="E1967" s="8" t="str">
        <f>IFERROR(__xludf.DUMMYFUNCTION("GOOGLETRANSLATE(C1967, ""en"", ""es"")"),"aparición, espíritu")</f>
        <v>aparición, espíritu</v>
      </c>
      <c r="F1967" s="8" t="str">
        <f>IFERROR(__xludf.DUMMYFUNCTION("GOOGLETRANSLATE(C1967, ""en"", ""fr"")"),"apparition, esprit")</f>
        <v>apparition, esprit</v>
      </c>
      <c r="G1967" s="8" t="str">
        <f>IFERROR(__xludf.DUMMYFUNCTION("GOOGLETRANSLATE(C1967, ""en"", ""de"")"),"Erscheinung, Geist")</f>
        <v>Erscheinung, Geist</v>
      </c>
      <c r="H1967" s="8" t="str">
        <f>IFERROR(__xludf.DUMMYFUNCTION("GOOGLETRANSLATE(C1967, ""en"", ""ru"")"),"привидение, дух")</f>
        <v>привидение, дух</v>
      </c>
      <c r="I1967" s="8" t="str">
        <f>IFERROR(__xludf.DUMMYFUNCTION("GOOGLETRANSLATE(C1967, ""en"", ""ar"")"),"شبح، روح")</f>
        <v>شبح، روح</v>
      </c>
      <c r="J1967" s="8"/>
      <c r="K1967" s="7" t="str">
        <f>IFERROR(__xludf.DUMMYFUNCTION("CONCAT(REGEXREPLACE(C1967,""[ ,]+"",""_""),"".mp3"")"),"apparition_spirit.mp3")</f>
        <v>apparition_spirit.mp3</v>
      </c>
      <c r="M1967" s="4" t="s">
        <v>10</v>
      </c>
    </row>
    <row r="1968" ht="15.75" customHeight="1">
      <c r="A1968" s="1">
        <v>3336.0</v>
      </c>
      <c r="B1968" s="3">
        <v>155.0</v>
      </c>
      <c r="C1968" s="7" t="s">
        <v>1966</v>
      </c>
      <c r="D1968" s="8" t="str">
        <f>IFERROR(__xludf.DUMMYFUNCTION("GOOGLETRANSLATE(C1968, ""en"", ""pt"")"),"sórdido, antiético")</f>
        <v>sórdido, antiético</v>
      </c>
      <c r="E1968" s="8" t="str">
        <f>IFERROR(__xludf.DUMMYFUNCTION("GOOGLETRANSLATE(C1968, ""en"", ""es"")"),"sórdido, inmoral")</f>
        <v>sórdido, inmoral</v>
      </c>
      <c r="F1968" s="8" t="str">
        <f>IFERROR(__xludf.DUMMYFUNCTION("GOOGLETRANSLATE(C1968, ""en"", ""fr"")"),"sordide, contraire à l'éthique")</f>
        <v>sordide, contraire à l'éthique</v>
      </c>
      <c r="G1968" s="8" t="str">
        <f>IFERROR(__xludf.DUMMYFUNCTION("GOOGLETRANSLATE(C1968, ""en"", ""de"")"),"schmutzig, unethisch")</f>
        <v>schmutzig, unethisch</v>
      </c>
      <c r="H1968" s="8" t="str">
        <f>IFERROR(__xludf.DUMMYFUNCTION("GOOGLETRANSLATE(C1968, ""en"", ""ru"")"),"грязный, неэтичный")</f>
        <v>грязный, неэтичный</v>
      </c>
      <c r="I1968" s="8" t="str">
        <f>IFERROR(__xludf.DUMMYFUNCTION("GOOGLETRANSLATE(C1968, ""en"", ""ar"")"),"دنيء، غير أخلاقي")</f>
        <v>دنيء، غير أخلاقي</v>
      </c>
      <c r="J1968" s="8"/>
      <c r="K1968" s="7" t="str">
        <f>IFERROR(__xludf.DUMMYFUNCTION("CONCAT(REGEXREPLACE(C1968,""[ ,]+"",""_""),"".mp3"")"),"sordid_unethical.mp3")</f>
        <v>sordid_unethical.mp3</v>
      </c>
      <c r="M1968" s="4" t="s">
        <v>10</v>
      </c>
    </row>
    <row r="1969" ht="15.75" customHeight="1">
      <c r="A1969" s="1">
        <v>3337.0</v>
      </c>
      <c r="B1969" s="3">
        <v>155.0</v>
      </c>
      <c r="C1969" s="7" t="s">
        <v>1967</v>
      </c>
      <c r="D1969" s="8" t="str">
        <f>IFERROR(__xludf.DUMMYFUNCTION("GOOGLETRANSLATE(C1969, ""en"", ""pt"")"),"locomover-se, evitar")</f>
        <v>locomover-se, evitar</v>
      </c>
      <c r="E1969" s="8" t="str">
        <f>IFERROR(__xludf.DUMMYFUNCTION("GOOGLETRANSLATE(C1969, ""en"", ""es"")"),"moverse, evitar")</f>
        <v>moverse, evitar</v>
      </c>
      <c r="F1969" s="8" t="str">
        <f>IFERROR(__xludf.DUMMYFUNCTION("GOOGLETRANSLATE(C1969, ""en"", ""fr"")"),"se déplacer, éviter")</f>
        <v>se déplacer, éviter</v>
      </c>
      <c r="G1969" s="8" t="str">
        <f>IFERROR(__xludf.DUMMYFUNCTION("GOOGLETRANSLATE(C1969, ""en"", ""de"")"),"sich bewegen, vermeiden")</f>
        <v>sich bewegen, vermeiden</v>
      </c>
      <c r="H1969" s="8" t="str">
        <f>IFERROR(__xludf.DUMMYFUNCTION("GOOGLETRANSLATE(C1969, ""en"", ""ru"")"),"передвигайтесь, избегайте")</f>
        <v>передвигайтесь, избегайте</v>
      </c>
      <c r="I1969" s="8" t="str">
        <f>IFERROR(__xludf.DUMMYFUNCTION("GOOGLETRANSLATE(C1969, ""en"", ""ar"")"),"التنقل، تجنب")</f>
        <v>التنقل، تجنب</v>
      </c>
      <c r="J1969" s="8"/>
      <c r="K1969" s="7" t="str">
        <f>IFERROR(__xludf.DUMMYFUNCTION("CONCAT(REGEXREPLACE(C1969,""[ ,]+"",""_""),"".mp3"")"),"get_around_avoid.mp3")</f>
        <v>get_around_avoid.mp3</v>
      </c>
      <c r="M1969" s="4" t="s">
        <v>10</v>
      </c>
    </row>
    <row r="1970" ht="15.75" customHeight="1">
      <c r="A1970" s="1">
        <v>3338.0</v>
      </c>
      <c r="B1970" s="3">
        <v>155.0</v>
      </c>
      <c r="C1970" s="7" t="s">
        <v>1968</v>
      </c>
      <c r="D1970" s="8" t="str">
        <f>IFERROR(__xludf.DUMMYFUNCTION("GOOGLETRANSLATE(C1970, ""en"", ""pt"")"),"reforçar, apoiar")</f>
        <v>reforçar, apoiar</v>
      </c>
      <c r="E1970" s="8" t="str">
        <f>IFERROR(__xludf.DUMMYFUNCTION("GOOGLETRANSLATE(C1970, ""en"", ""es"")"),"apuntalar, apoyar")</f>
        <v>apuntalar, apoyar</v>
      </c>
      <c r="F1970" s="8" t="str">
        <f>IFERROR(__xludf.DUMMYFUNCTION("GOOGLETRANSLATE(C1970, ""en"", ""fr"")"),"consolider, soutenir")</f>
        <v>consolider, soutenir</v>
      </c>
      <c r="G1970" s="8" t="str">
        <f>IFERROR(__xludf.DUMMYFUNCTION("GOOGLETRANSLATE(C1970, ""en"", ""de"")"),"abstützen, stützen")</f>
        <v>abstützen, stützen</v>
      </c>
      <c r="H1970" s="8" t="str">
        <f>IFERROR(__xludf.DUMMYFUNCTION("GOOGLETRANSLATE(C1970, ""en"", ""ru"")"),"укреплять, поддерживать")</f>
        <v>укреплять, поддерживать</v>
      </c>
      <c r="I1970" s="8" t="str">
        <f>IFERROR(__xludf.DUMMYFUNCTION("GOOGLETRANSLATE(C1970, ""en"", ""ar"")"),"عززوا، ادعموا")</f>
        <v>عززوا، ادعموا</v>
      </c>
      <c r="J1970" s="8"/>
      <c r="K1970" s="7" t="str">
        <f>IFERROR(__xludf.DUMMYFUNCTION("CONCAT(REGEXREPLACE(C1970,""[ ,]+"",""_""),"".mp3"")"),"shore_up_support.mp3")</f>
        <v>shore_up_support.mp3</v>
      </c>
      <c r="M1970" s="4" t="s">
        <v>10</v>
      </c>
    </row>
    <row r="1971" ht="15.75" customHeight="1">
      <c r="A1971" s="1">
        <v>3339.0</v>
      </c>
      <c r="B1971" s="3">
        <v>155.0</v>
      </c>
      <c r="C1971" s="7" t="s">
        <v>1969</v>
      </c>
      <c r="D1971" s="8" t="str">
        <f>IFERROR(__xludf.DUMMYFUNCTION("GOOGLETRANSLATE(C1971, ""en"", ""pt"")"),"nig-nog, idiota")</f>
        <v>nig-nog, idiota</v>
      </c>
      <c r="E1971" s="8" t="str">
        <f>IFERROR(__xludf.DUMMYFUNCTION("GOOGLETRANSLATE(C1971, ""en"", ""es"")"),"nig-nog, tonto")</f>
        <v>nig-nog, tonto</v>
      </c>
      <c r="F1971" s="8" t="str">
        <f>IFERROR(__xludf.DUMMYFUNCTION("GOOGLETRANSLATE(C1971, ""en"", ""fr"")"),"nègre, imbécile")</f>
        <v>nègre, imbécile</v>
      </c>
      <c r="G1971" s="8" t="str">
        <f>IFERROR(__xludf.DUMMYFUNCTION("GOOGLETRANSLATE(C1971, ""en"", ""de"")"),"Nig-Nog, Narr")</f>
        <v>Nig-Nog, Narr</v>
      </c>
      <c r="H1971" s="8" t="str">
        <f>IFERROR(__xludf.DUMMYFUNCTION("GOOGLETRANSLATE(C1971, ""en"", ""ru"")"),"ниг-ног, дурак")</f>
        <v>ниг-ног, дурак</v>
      </c>
      <c r="I1971" s="8" t="str">
        <f>IFERROR(__xludf.DUMMYFUNCTION("GOOGLETRANSLATE(C1971, ""en"", ""ar"")"),"مشروب نيغ-نوغ، أيها الأحمق")</f>
        <v>مشروب نيغ-نوغ، أيها الأحمق</v>
      </c>
      <c r="J1971" s="8"/>
      <c r="K1971" s="7" t="str">
        <f>IFERROR(__xludf.DUMMYFUNCTION("CONCAT(REGEXREPLACE(C1971,""[ ,]+"",""_""),"".mp3"")"),"nig-nog_fool.mp3")</f>
        <v>nig-nog_fool.mp3</v>
      </c>
      <c r="M1971" s="4" t="s">
        <v>10</v>
      </c>
    </row>
    <row r="1972" ht="15.75" customHeight="1">
      <c r="A1972" s="1">
        <v>3340.0</v>
      </c>
      <c r="B1972" s="3">
        <v>155.0</v>
      </c>
      <c r="C1972" s="7" t="s">
        <v>1970</v>
      </c>
      <c r="D1972" s="8" t="str">
        <f>IFERROR(__xludf.DUMMYFUNCTION("GOOGLETRANSLATE(C1972, ""en"", ""pt"")"),"histeria, loucura")</f>
        <v>histeria, loucura</v>
      </c>
      <c r="E1972" s="8" t="str">
        <f>IFERROR(__xludf.DUMMYFUNCTION("GOOGLETRANSLATE(C1972, ""en"", ""es"")"),"histeria, locura")</f>
        <v>histeria, locura</v>
      </c>
      <c r="F1972" s="8" t="str">
        <f>IFERROR(__xludf.DUMMYFUNCTION("GOOGLETRANSLATE(C1972, ""en"", ""fr"")"),"hystérie, folie")</f>
        <v>hystérie, folie</v>
      </c>
      <c r="G1972" s="8" t="str">
        <f>IFERROR(__xludf.DUMMYFUNCTION("GOOGLETRANSLATE(C1972, ""en"", ""de"")"),"Hysterie, Wahnsinn")</f>
        <v>Hysterie, Wahnsinn</v>
      </c>
      <c r="H1972" s="8" t="str">
        <f>IFERROR(__xludf.DUMMYFUNCTION("GOOGLETRANSLATE(C1972, ""en"", ""ru"")"),"истерия, безумие")</f>
        <v>истерия, безумие</v>
      </c>
      <c r="I1972" s="8" t="str">
        <f>IFERROR(__xludf.DUMMYFUNCTION("GOOGLETRANSLATE(C1972, ""en"", ""ar"")"),"الهستيريا، الجنون")</f>
        <v>الهستيريا، الجنون</v>
      </c>
      <c r="J1972" s="8"/>
      <c r="K1972" s="7" t="str">
        <f>IFERROR(__xludf.DUMMYFUNCTION("CONCAT(REGEXREPLACE(C1972,""[ ,]+"",""_""),"".mp3"")"),"hysteria_madness.mp3")</f>
        <v>hysteria_madness.mp3</v>
      </c>
      <c r="M1972" s="4" t="s">
        <v>10</v>
      </c>
    </row>
    <row r="1973" ht="15.75" customHeight="1">
      <c r="A1973" s="1">
        <v>3341.0</v>
      </c>
      <c r="B1973" s="3">
        <v>155.0</v>
      </c>
      <c r="C1973" s="7" t="s">
        <v>1971</v>
      </c>
      <c r="D1973" s="8" t="str">
        <f>IFERROR(__xludf.DUMMYFUNCTION("GOOGLETRANSLATE(C1973, ""en"", ""pt"")"),"interdição, proibição")</f>
        <v>interdição, proibição</v>
      </c>
      <c r="E1973" s="8" t="str">
        <f>IFERROR(__xludf.DUMMYFUNCTION("GOOGLETRANSLATE(C1973, ""en"", ""es"")"),"interponer, prohibir")</f>
        <v>interponer, prohibir</v>
      </c>
      <c r="F1973" s="8" t="str">
        <f>IFERROR(__xludf.DUMMYFUNCTION("GOOGLETRANSLATE(C1973, ""en"", ""fr"")"),"interdire, prohiber")</f>
        <v>interdire, prohiber</v>
      </c>
      <c r="G1973" s="8" t="str">
        <f>IFERROR(__xludf.DUMMYFUNCTION("GOOGLETRANSLATE(C1973, ""en"", ""de"")"),"untersagen, verbieten")</f>
        <v>untersagen, verbieten</v>
      </c>
      <c r="H1973" s="8" t="str">
        <f>IFERROR(__xludf.DUMMYFUNCTION("GOOGLETRANSLATE(C1973, ""en"", ""ru"")"),"запретить, запретить")</f>
        <v>запретить, запретить</v>
      </c>
      <c r="I1973" s="8" t="str">
        <f>IFERROR(__xludf.DUMMYFUNCTION("GOOGLETRANSLATE(C1973, ""en"", ""ar"")"),"منع، حظر")</f>
        <v>منع، حظر</v>
      </c>
      <c r="J1973" s="8"/>
      <c r="K1973" s="7" t="str">
        <f>IFERROR(__xludf.DUMMYFUNCTION("CONCAT(REGEXREPLACE(C1973,""[ ,]+"",""_""),"".mp3"")"),"interdict_prohibit.mp3")</f>
        <v>interdict_prohibit.mp3</v>
      </c>
      <c r="M1973" s="4" t="s">
        <v>10</v>
      </c>
    </row>
    <row r="1974" ht="15.75" customHeight="1">
      <c r="A1974" s="1">
        <v>3342.0</v>
      </c>
      <c r="B1974" s="3">
        <v>155.0</v>
      </c>
      <c r="C1974" s="7" t="s">
        <v>1972</v>
      </c>
      <c r="D1974" s="8" t="str">
        <f>IFERROR(__xludf.DUMMYFUNCTION("GOOGLETRANSLATE(C1974, ""en"", ""pt"")"),"suculento, apetitoso")</f>
        <v>suculento, apetitoso</v>
      </c>
      <c r="E1974" s="8" t="str">
        <f>IFERROR(__xludf.DUMMYFUNCTION("GOOGLETRANSLATE(C1974, ""en"", ""es"")"),"suculento, jugoso")</f>
        <v>suculento, jugoso</v>
      </c>
      <c r="F1974" s="8" t="str">
        <f>IFERROR(__xludf.DUMMYFUNCTION("GOOGLETRANSLATE(C1974, ""en"", ""fr"")"),"succulent, juteux")</f>
        <v>succulent, juteux</v>
      </c>
      <c r="G1974" s="8" t="str">
        <f>IFERROR(__xludf.DUMMYFUNCTION("GOOGLETRANSLATE(C1974, ""en"", ""de"")"),"saftig, zart")</f>
        <v>saftig, zart</v>
      </c>
      <c r="H1974" s="8" t="str">
        <f>IFERROR(__xludf.DUMMYFUNCTION("GOOGLETRANSLATE(C1974, ""en"", ""ru"")"),"сочный, сочный")</f>
        <v>сочный, сочный</v>
      </c>
      <c r="I1974" s="8" t="str">
        <f>IFERROR(__xludf.DUMMYFUNCTION("GOOGLETRANSLATE(C1974, ""en"", ""ar"")"),"عصاري، غني بالعصارة")</f>
        <v>عصاري، غني بالعصارة</v>
      </c>
      <c r="J1974" s="8"/>
      <c r="K1974" s="7" t="str">
        <f>IFERROR(__xludf.DUMMYFUNCTION("CONCAT(REGEXREPLACE(C1974,""[ ,]+"",""_""),"".mp3"")"),"succulent_juicy.mp3")</f>
        <v>succulent_juicy.mp3</v>
      </c>
      <c r="M1974" s="4" t="s">
        <v>10</v>
      </c>
    </row>
    <row r="1975" ht="15.75" customHeight="1">
      <c r="A1975" s="1">
        <v>3343.0</v>
      </c>
      <c r="B1975" s="3">
        <v>155.0</v>
      </c>
      <c r="C1975" s="7" t="s">
        <v>1973</v>
      </c>
      <c r="D1975" s="8" t="str">
        <f>IFERROR(__xludf.DUMMYFUNCTION("GOOGLETRANSLATE(C1975, ""en"", ""pt"")"),"meretrício, vistoso")</f>
        <v>meretrício, vistoso</v>
      </c>
      <c r="E1975" s="8" t="str">
        <f>IFERROR(__xludf.DUMMYFUNCTION("GOOGLETRANSLATE(C1975, ""en"", ""es"")"),"ostentoso, llamativo")</f>
        <v>ostentoso, llamativo</v>
      </c>
      <c r="F1975" s="8" t="str">
        <f>IFERROR(__xludf.DUMMYFUNCTION("GOOGLETRANSLATE(C1975, ""en"", ""fr"")"),"factice, criard")</f>
        <v>factice, criard</v>
      </c>
      <c r="G1975" s="8" t="str">
        <f>IFERROR(__xludf.DUMMYFUNCTION("GOOGLETRANSLATE(C1975, ""en"", ""de"")"),"aufdringlich, protzig")</f>
        <v>aufdringlich, protzig</v>
      </c>
      <c r="H1975" s="8" t="str">
        <f>IFERROR(__xludf.DUMMYFUNCTION("GOOGLETRANSLATE(C1975, ""en"", ""ru"")"),"показной, кричащий")</f>
        <v>показной, кричащий</v>
      </c>
      <c r="I1975" s="8" t="str">
        <f>IFERROR(__xludf.DUMMYFUNCTION("GOOGLETRANSLATE(C1975, ""en"", ""ar"")"),"مبتذل، مبهرج")</f>
        <v>مبتذل، مبهرج</v>
      </c>
      <c r="J1975" s="8"/>
      <c r="K1975" s="7" t="str">
        <f>IFERROR(__xludf.DUMMYFUNCTION("CONCAT(REGEXREPLACE(C1975,""[ ,]+"",""_""),"".mp3"")"),"meretricious_gaudy.mp3")</f>
        <v>meretricious_gaudy.mp3</v>
      </c>
      <c r="M1975" s="4" t="s">
        <v>10</v>
      </c>
    </row>
    <row r="1976" ht="15.75" customHeight="1">
      <c r="A1976" s="1">
        <v>3344.0</v>
      </c>
      <c r="B1976" s="3">
        <v>155.0</v>
      </c>
      <c r="C1976" s="7" t="s">
        <v>1974</v>
      </c>
      <c r="D1976" s="8" t="str">
        <f>IFERROR(__xludf.DUMMYFUNCTION("GOOGLETRANSLATE(C1976, ""en"", ""pt"")"),"beagle, cão de caça")</f>
        <v>beagle, cão de caça</v>
      </c>
      <c r="E1976" s="8" t="str">
        <f>IFERROR(__xludf.DUMMYFUNCTION("GOOGLETRANSLATE(C1976, ""en"", ""es"")"),"beagle, sabueso")</f>
        <v>beagle, sabueso</v>
      </c>
      <c r="F1976" s="8" t="str">
        <f>IFERROR(__xludf.DUMMYFUNCTION("GOOGLETRANSLATE(C1976, ""en"", ""fr"")"),"beagle, chien de chasse")</f>
        <v>beagle, chien de chasse</v>
      </c>
      <c r="G1976" s="8" t="str">
        <f>IFERROR(__xludf.DUMMYFUNCTION("GOOGLETRANSLATE(C1976, ""en"", ""de"")"),"Beagle, Jagdhund")</f>
        <v>Beagle, Jagdhund</v>
      </c>
      <c r="H1976" s="8" t="str">
        <f>IFERROR(__xludf.DUMMYFUNCTION("GOOGLETRANSLATE(C1976, ""en"", ""ru"")"),"бигль, гончая")</f>
        <v>бигль, гончая</v>
      </c>
      <c r="I1976" s="8" t="str">
        <f>IFERROR(__xludf.DUMMYFUNCTION("GOOGLETRANSLATE(C1976, ""en"", ""ar"")"),"كلب الصيد (بيغل)")</f>
        <v>كلب الصيد (بيغل)</v>
      </c>
      <c r="J1976" s="8"/>
      <c r="K1976" s="7" t="str">
        <f>IFERROR(__xludf.DUMMYFUNCTION("CONCAT(REGEXREPLACE(C1976,""[ ,]+"",""_""),"".mp3"")"),"beagle_hound.mp3")</f>
        <v>beagle_hound.mp3</v>
      </c>
      <c r="M1976" s="4" t="s">
        <v>10</v>
      </c>
    </row>
    <row r="1977" ht="15.75" customHeight="1">
      <c r="A1977" s="1">
        <v>3345.0</v>
      </c>
      <c r="B1977" s="3">
        <v>155.0</v>
      </c>
      <c r="C1977" s="7" t="s">
        <v>1975</v>
      </c>
      <c r="D1977" s="8" t="str">
        <f>IFERROR(__xludf.DUMMYFUNCTION("GOOGLETRANSLATE(C1977, ""en"", ""pt"")"),"nauseante, repugnante")</f>
        <v>nauseante, repugnante</v>
      </c>
      <c r="E1977" s="8" t="str">
        <f>IFERROR(__xludf.DUMMYFUNCTION("GOOGLETRANSLATE(C1977, ""en"", ""es"")"),"nauseabundo, repugnante")</f>
        <v>nauseabundo, repugnante</v>
      </c>
      <c r="F1977" s="8" t="str">
        <f>IFERROR(__xludf.DUMMYFUNCTION("GOOGLETRANSLATE(C1977, ""en"", ""fr"")"),"nauséabond, répugnant")</f>
        <v>nauséabond, répugnant</v>
      </c>
      <c r="G1977" s="8" t="str">
        <f>IFERROR(__xludf.DUMMYFUNCTION("GOOGLETRANSLATE(C1977, ""en"", ""de"")"),"ekelhaft, widerwärtig")</f>
        <v>ekelhaft, widerwärtig</v>
      </c>
      <c r="H1977" s="8" t="str">
        <f>IFERROR(__xludf.DUMMYFUNCTION("GOOGLETRANSLATE(C1977, ""en"", ""ru"")"),"тошнотворный, отвратительный")</f>
        <v>тошнотворный, отвратительный</v>
      </c>
      <c r="I1977" s="8" t="str">
        <f>IFERROR(__xludf.DUMMYFUNCTION("GOOGLETRANSLATE(C1977, ""en"", ""ar"")"),"مثير للاشمئزاز، مقزز")</f>
        <v>مثير للاشمئزاز، مقزز</v>
      </c>
      <c r="J1977" s="8"/>
      <c r="K1977" s="7" t="str">
        <f>IFERROR(__xludf.DUMMYFUNCTION("CONCAT(REGEXREPLACE(C1977,""[ ,]+"",""_""),"".mp3"")"),"nauseous_loathsome.mp3")</f>
        <v>nauseous_loathsome.mp3</v>
      </c>
      <c r="M1977" s="4" t="s">
        <v>10</v>
      </c>
    </row>
    <row r="1978" ht="15.75" customHeight="1">
      <c r="A1978" s="1">
        <v>3346.0</v>
      </c>
      <c r="B1978" s="3">
        <v>155.0</v>
      </c>
      <c r="C1978" s="7" t="s">
        <v>1976</v>
      </c>
      <c r="D1978" s="8" t="str">
        <f>IFERROR(__xludf.DUMMYFUNCTION("GOOGLETRANSLATE(C1978, ""en"", ""pt"")"),"coragem, prudência")</f>
        <v>coragem, prudência</v>
      </c>
      <c r="E1978" s="8" t="str">
        <f>IFERROR(__xludf.DUMMYFUNCTION("GOOGLETRANSLATE(C1978, ""en"", ""es"")"),"audacia, prudencia")</f>
        <v>audacia, prudencia</v>
      </c>
      <c r="F1978" s="8" t="str">
        <f>IFERROR(__xludf.DUMMYFUNCTION("GOOGLETRANSLATE(C1978, ""en"", ""fr"")"),"courage, prudence")</f>
        <v>courage, prudence</v>
      </c>
      <c r="G1978" s="8" t="str">
        <f>IFERROR(__xludf.DUMMYFUNCTION("GOOGLETRANSLATE(C1978, ""en"", ""de"")"),"Entschlossenheit, Klugheit")</f>
        <v>Entschlossenheit, Klugheit</v>
      </c>
      <c r="H1978" s="8" t="str">
        <f>IFERROR(__xludf.DUMMYFUNCTION("GOOGLETRANSLATE(C1978, ""en"", ""ru"")"),"смелость, благоразумие")</f>
        <v>смелость, благоразумие</v>
      </c>
      <c r="I1978" s="8" t="str">
        <f>IFERROR(__xludf.DUMMYFUNCTION("GOOGLETRANSLATE(C1978, ""en"", ""ar"")"),"الجرأة، الحكمة")</f>
        <v>الجرأة، الحكمة</v>
      </c>
      <c r="J1978" s="8"/>
      <c r="K1978" s="7" t="str">
        <f>IFERROR(__xludf.DUMMYFUNCTION("CONCAT(REGEXREPLACE(C1978,""[ ,]+"",""_""),"".mp3"")"),"gumption_prudence.mp3")</f>
        <v>gumption_prudence.mp3</v>
      </c>
      <c r="M1978" s="4" t="s">
        <v>10</v>
      </c>
    </row>
    <row r="1979" ht="15.75" customHeight="1">
      <c r="A1979" s="1">
        <v>3347.0</v>
      </c>
      <c r="B1979" s="3">
        <v>155.0</v>
      </c>
      <c r="C1979" s="7" t="s">
        <v>1977</v>
      </c>
      <c r="D1979" s="8" t="str">
        <f>IFERROR(__xludf.DUMMYFUNCTION("GOOGLETRANSLATE(C1979, ""en"", ""pt"")"),"tênue, fino")</f>
        <v>tênue, fino</v>
      </c>
      <c r="E1979" s="8" t="str">
        <f>IFERROR(__xludf.DUMMYFUNCTION("GOOGLETRANSLATE(C1979, ""en"", ""es"")"),"tenue, delgado")</f>
        <v>tenue, delgado</v>
      </c>
      <c r="F1979" s="8" t="str">
        <f>IFERROR(__xludf.DUMMYFUNCTION("GOOGLETRANSLATE(C1979, ""en"", ""fr"")"),"ténu, mince")</f>
        <v>ténu, mince</v>
      </c>
      <c r="G1979" s="8" t="str">
        <f>IFERROR(__xludf.DUMMYFUNCTION("GOOGLETRANSLATE(C1979, ""en"", ""de"")"),"schwach, dünn")</f>
        <v>schwach, dünn</v>
      </c>
      <c r="H1979" s="8" t="str">
        <f>IFERROR(__xludf.DUMMYFUNCTION("GOOGLETRANSLATE(C1979, ""en"", ""ru"")"),"тонкий, хрупкий")</f>
        <v>тонкий, хрупкий</v>
      </c>
      <c r="I1979" s="8" t="str">
        <f>IFERROR(__xludf.DUMMYFUNCTION("GOOGLETRANSLATE(C1979, ""en"", ""ar"")"),"رقيق، ضعيف")</f>
        <v>رقيق، ضعيف</v>
      </c>
      <c r="J1979" s="8"/>
      <c r="K1979" s="7" t="str">
        <f>IFERROR(__xludf.DUMMYFUNCTION("CONCAT(REGEXREPLACE(C1979,""[ ,]+"",""_""),"".mp3"")"),"tenuous_thin.mp3")</f>
        <v>tenuous_thin.mp3</v>
      </c>
      <c r="M1979" s="4" t="s">
        <v>10</v>
      </c>
    </row>
    <row r="1980" ht="15.75" customHeight="1">
      <c r="A1980" s="1">
        <v>3348.0</v>
      </c>
      <c r="B1980" s="3">
        <v>155.0</v>
      </c>
      <c r="C1980" s="7" t="s">
        <v>1978</v>
      </c>
      <c r="D1980" s="8" t="str">
        <f>IFERROR(__xludf.DUMMYFUNCTION("GOOGLETRANSLATE(C1980, ""en"", ""pt"")"),"apreensão, nervosismo")</f>
        <v>apreensão, nervosismo</v>
      </c>
      <c r="E1980" s="8" t="str">
        <f>IFERROR(__xludf.DUMMYFUNCTION("GOOGLETRANSLATE(C1980, ""en"", ""es"")"),"temor, nerviosismo")</f>
        <v>temor, nerviosismo</v>
      </c>
      <c r="F1980" s="8" t="str">
        <f>IFERROR(__xludf.DUMMYFUNCTION("GOOGLETRANSLATE(C1980, ""en"", ""fr"")"),"trépidation, nervosité")</f>
        <v>trépidation, nervosité</v>
      </c>
      <c r="G1980" s="8" t="str">
        <f>IFERROR(__xludf.DUMMYFUNCTION("GOOGLETRANSLATE(C1980, ""en"", ""de"")"),"Besorgnis, Nervosität")</f>
        <v>Besorgnis, Nervosität</v>
      </c>
      <c r="H1980" s="8" t="str">
        <f>IFERROR(__xludf.DUMMYFUNCTION("GOOGLETRANSLATE(C1980, ""en"", ""ru"")"),"трепет, нервозность")</f>
        <v>трепет, нервозность</v>
      </c>
      <c r="I1980" s="8" t="str">
        <f>IFERROR(__xludf.DUMMYFUNCTION("GOOGLETRANSLATE(C1980, ""en"", ""ar"")"),"الخوف، والتوتر")</f>
        <v>الخوف، والتوتر</v>
      </c>
      <c r="J1980" s="8"/>
      <c r="K1980" s="7" t="str">
        <f>IFERROR(__xludf.DUMMYFUNCTION("CONCAT(REGEXREPLACE(C1980,""[ ,]+"",""_""),"".mp3"")"),"trepidation_nervousness.mp3")</f>
        <v>trepidation_nervousness.mp3</v>
      </c>
      <c r="M1980" s="4" t="s">
        <v>10</v>
      </c>
    </row>
    <row r="1981" ht="15.75" customHeight="1">
      <c r="A1981" s="1">
        <v>3349.0</v>
      </c>
      <c r="B1981" s="3">
        <v>155.0</v>
      </c>
      <c r="C1981" s="7" t="s">
        <v>1979</v>
      </c>
      <c r="D1981" s="8" t="str">
        <f>IFERROR(__xludf.DUMMYFUNCTION("GOOGLETRANSLATE(C1981, ""en"", ""pt"")"),"reparação, compensação")</f>
        <v>reparação, compensação</v>
      </c>
      <c r="E1981" s="8" t="str">
        <f>IFERROR(__xludf.DUMMYFUNCTION("GOOGLETRANSLATE(C1981, ""en"", ""es"")"),"reparación, compensación")</f>
        <v>reparación, compensación</v>
      </c>
      <c r="F1981" s="8" t="str">
        <f>IFERROR(__xludf.DUMMYFUNCTION("GOOGLETRANSLATE(C1981, ""en"", ""fr"")"),"réparation, indemnisation")</f>
        <v>réparation, indemnisation</v>
      </c>
      <c r="G1981" s="8" t="str">
        <f>IFERROR(__xludf.DUMMYFUNCTION("GOOGLETRANSLATE(C1981, ""en"", ""de"")"),"Wiedergutmachung, Entschädigung")</f>
        <v>Wiedergutmachung, Entschädigung</v>
      </c>
      <c r="H1981" s="8" t="str">
        <f>IFERROR(__xludf.DUMMYFUNCTION("GOOGLETRANSLATE(C1981, ""en"", ""ru"")"),"возмещение ущерба, компенсация")</f>
        <v>возмещение ущерба, компенсация</v>
      </c>
      <c r="I1981" s="8" t="str">
        <f>IFERROR(__xludf.DUMMYFUNCTION("GOOGLETRANSLATE(C1981, ""en"", ""ar"")"),"التعويض، الجبر")</f>
        <v>التعويض، الجبر</v>
      </c>
      <c r="J1981" s="8"/>
      <c r="K1981" s="7" t="str">
        <f>IFERROR(__xludf.DUMMYFUNCTION("CONCAT(REGEXREPLACE(C1981,""[ ,]+"",""_""),"".mp3"")"),"reparation_compensation.mp3")</f>
        <v>reparation_compensation.mp3</v>
      </c>
      <c r="M1981" s="4" t="s">
        <v>10</v>
      </c>
    </row>
    <row r="1982" ht="15.75" customHeight="1">
      <c r="A1982" s="1">
        <v>3350.0</v>
      </c>
      <c r="B1982" s="3">
        <v>155.0</v>
      </c>
      <c r="C1982" s="7" t="s">
        <v>1980</v>
      </c>
      <c r="D1982" s="8" t="str">
        <f>IFERROR(__xludf.DUMMYFUNCTION("GOOGLETRANSLATE(C1982, ""en"", ""pt"")"),"ir atrás, perseguir")</f>
        <v>ir atrás, perseguir</v>
      </c>
      <c r="E1982" s="8" t="str">
        <f>IFERROR(__xludf.DUMMYFUNCTION("GOOGLETRANSLATE(C1982, ""en"", ""es"")"),"hacer después, perseguir")</f>
        <v>hacer después, perseguir</v>
      </c>
      <c r="F1982" s="8" t="str">
        <f>IFERROR(__xludf.DUMMYFUNCTION("GOOGLETRANSLATE(C1982, ""en"", ""fr"")"),"faire après, poursuivre")</f>
        <v>faire après, poursuivre</v>
      </c>
      <c r="G1982" s="8" t="str">
        <f>IFERROR(__xludf.DUMMYFUNCTION("GOOGLETRANSLATE(C1982, ""en"", ""de"")"),"machen, jagen")</f>
        <v>machen, jagen</v>
      </c>
      <c r="H1982" s="8" t="str">
        <f>IFERROR(__xludf.DUMMYFUNCTION("GOOGLETRANSLATE(C1982, ""en"", ""ru"")"),"преследовать, гоняться")</f>
        <v>преследовать, гоняться</v>
      </c>
      <c r="I1982" s="8" t="str">
        <f>IFERROR(__xludf.DUMMYFUNCTION("GOOGLETRANSLATE(C1982, ""en"", ""ar"")"),"اصنع بعد، طارد")</f>
        <v>اصنع بعد، طارد</v>
      </c>
      <c r="J1982" s="8"/>
      <c r="K1982" s="7" t="str">
        <f>IFERROR(__xludf.DUMMYFUNCTION("CONCAT(REGEXREPLACE(C1982,""[ ,]+"",""_""),"".mp3"")"),"make_after_chase.mp3")</f>
        <v>make_after_chase.mp3</v>
      </c>
      <c r="M1982" s="4" t="s">
        <v>10</v>
      </c>
    </row>
    <row r="1983" ht="15.75" customHeight="1">
      <c r="A1983" s="1">
        <v>3351.0</v>
      </c>
      <c r="B1983" s="3">
        <v>155.0</v>
      </c>
      <c r="C1983" s="7" t="s">
        <v>1981</v>
      </c>
      <c r="D1983" s="8" t="str">
        <f>IFERROR(__xludf.DUMMYFUNCTION("GOOGLETRANSLATE(C1983, ""en"", ""pt"")"),"exegese, explicação")</f>
        <v>exegese, explicação</v>
      </c>
      <c r="E1983" s="8" t="str">
        <f>IFERROR(__xludf.DUMMYFUNCTION("GOOGLETRANSLATE(C1983, ""en"", ""es"")"),"exégesis, explicación")</f>
        <v>exégesis, explicación</v>
      </c>
      <c r="F1983" s="8" t="str">
        <f>IFERROR(__xludf.DUMMYFUNCTION("GOOGLETRANSLATE(C1983, ""en"", ""fr"")"),"exégèse, explication")</f>
        <v>exégèse, explication</v>
      </c>
      <c r="G1983" s="8" t="str">
        <f>IFERROR(__xludf.DUMMYFUNCTION("GOOGLETRANSLATE(C1983, ""en"", ""de"")"),"Exegese, Erklärung")</f>
        <v>Exegese, Erklärung</v>
      </c>
      <c r="H1983" s="8" t="str">
        <f>IFERROR(__xludf.DUMMYFUNCTION("GOOGLETRANSLATE(C1983, ""en"", ""ru"")"),"экзегеза, объяснение")</f>
        <v>экзегеза, объяснение</v>
      </c>
      <c r="I1983" s="8" t="str">
        <f>IFERROR(__xludf.DUMMYFUNCTION("GOOGLETRANSLATE(C1983, ""en"", ""ar"")"),"التفسير والشرح")</f>
        <v>التفسير والشرح</v>
      </c>
      <c r="J1983" s="8"/>
      <c r="K1983" s="7" t="str">
        <f>IFERROR(__xludf.DUMMYFUNCTION("CONCAT(REGEXREPLACE(C1983,""[ ,]+"",""_""),"".mp3"")"),"exegesis_explanation.mp3")</f>
        <v>exegesis_explanation.mp3</v>
      </c>
      <c r="M1983" s="4" t="s">
        <v>10</v>
      </c>
    </row>
    <row r="1984" ht="15.75" customHeight="1">
      <c r="A1984" s="1">
        <v>3352.0</v>
      </c>
      <c r="B1984" s="3">
        <v>155.0</v>
      </c>
      <c r="C1984" s="7" t="s">
        <v>1982</v>
      </c>
      <c r="D1984" s="8" t="str">
        <f>IFERROR(__xludf.DUMMYFUNCTION("GOOGLETRANSLATE(C1984, ""en"", ""pt"")"),"angustiante, assustador")</f>
        <v>angustiante, assustador</v>
      </c>
      <c r="E1984" s="8" t="str">
        <f>IFERROR(__xludf.DUMMYFUNCTION("GOOGLETRANSLATE(C1984, ""en"", ""es"")"),"desgarrador, aterrador")</f>
        <v>desgarrador, aterrador</v>
      </c>
      <c r="F1984" s="8" t="str">
        <f>IFERROR(__xludf.DUMMYFUNCTION("GOOGLETRANSLATE(C1984, ""en"", ""fr"")"),"éprouvant, effrayant")</f>
        <v>éprouvant, effrayant</v>
      </c>
      <c r="G1984" s="8" t="str">
        <f>IFERROR(__xludf.DUMMYFUNCTION("GOOGLETRANSLATE(C1984, ""en"", ""de"")"),"erschütternd, beängstigend")</f>
        <v>erschütternd, beängstigend</v>
      </c>
      <c r="H1984" s="8" t="str">
        <f>IFERROR(__xludf.DUMMYFUNCTION("GOOGLETRANSLATE(C1984, ""en"", ""ru"")"),"ужасающий, пугающий")</f>
        <v>ужасающий, пугающий</v>
      </c>
      <c r="I1984" s="8" t="str">
        <f>IFERROR(__xludf.DUMMYFUNCTION("GOOGLETRANSLATE(C1984, ""en"", ""ar"")"),"مروع، مخيف")</f>
        <v>مروع، مخيف</v>
      </c>
      <c r="J1984" s="8"/>
      <c r="K1984" s="7" t="str">
        <f>IFERROR(__xludf.DUMMYFUNCTION("CONCAT(REGEXREPLACE(C1984,""[ ,]+"",""_""),"".mp3"")"),"harrowing_frightening.mp3")</f>
        <v>harrowing_frightening.mp3</v>
      </c>
      <c r="M1984" s="4" t="s">
        <v>10</v>
      </c>
    </row>
    <row r="1985" ht="15.75" customHeight="1">
      <c r="A1985" s="1">
        <v>3353.0</v>
      </c>
      <c r="B1985" s="3">
        <v>155.0</v>
      </c>
      <c r="C1985" s="7" t="s">
        <v>1983</v>
      </c>
      <c r="D1985" s="8" t="str">
        <f>IFERROR(__xludf.DUMMYFUNCTION("GOOGLETRANSLATE(C1985, ""en"", ""pt"")"),"mesquinho, maldoso")</f>
        <v>mesquinho, maldoso</v>
      </c>
      <c r="E1985" s="8" t="str">
        <f>IFERROR(__xludf.DUMMYFUNCTION("GOOGLETRANSLATE(C1985, ""en"", ""es"")"),"tacaño, malo")</f>
        <v>tacaño, malo</v>
      </c>
      <c r="F1985" s="8" t="str">
        <f>IFERROR(__xludf.DUMMYFUNCTION("GOOGLETRANSLATE(C1985, ""en"", ""fr"")"),"avare, méchant")</f>
        <v>avare, méchant</v>
      </c>
      <c r="G1985" s="8" t="str">
        <f>IFERROR(__xludf.DUMMYFUNCTION("GOOGLETRANSLATE(C1985, ""en"", ""de"")"),"geizig, gemein")</f>
        <v>geizig, gemein</v>
      </c>
      <c r="H1985" s="8" t="str">
        <f>IFERROR(__xludf.DUMMYFUNCTION("GOOGLETRANSLATE(C1985, ""en"", ""ru"")"),"скряга, злой")</f>
        <v>скряга, злой</v>
      </c>
      <c r="I1985" s="8" t="str">
        <f>IFERROR(__xludf.DUMMYFUNCTION("GOOGLETRANSLATE(C1985, ""en"", ""ar"")"),"بخيل، لئيم")</f>
        <v>بخيل، لئيم</v>
      </c>
      <c r="J1985" s="8"/>
      <c r="K1985" s="7" t="str">
        <f>IFERROR(__xludf.DUMMYFUNCTION("CONCAT(REGEXREPLACE(C1985,""[ ,]+"",""_""),"".mp3"")"),"mingy_mean.mp3")</f>
        <v>mingy_mean.mp3</v>
      </c>
      <c r="M1985" s="4" t="s">
        <v>10</v>
      </c>
    </row>
    <row r="1986" ht="15.75" customHeight="1">
      <c r="A1986" s="1">
        <v>3354.0</v>
      </c>
      <c r="B1986" s="3">
        <v>155.0</v>
      </c>
      <c r="C1986" s="7" t="s">
        <v>1984</v>
      </c>
      <c r="D1986" s="8" t="str">
        <f>IFERROR(__xludf.DUMMYFUNCTION("GOOGLETRANSLATE(C1986, ""en"", ""pt"")"),"imbecil, idiota")</f>
        <v>imbecil, idiota</v>
      </c>
      <c r="E1986" s="8" t="str">
        <f>IFERROR(__xludf.DUMMYFUNCTION("GOOGLETRANSLATE(C1986, ""en"", ""es"")"),"imbécil, tonto")</f>
        <v>imbécil, tonto</v>
      </c>
      <c r="F1986" s="8" t="str">
        <f>IFERROR(__xludf.DUMMYFUNCTION("GOOGLETRANSLATE(C1986, ""en"", ""fr"")"),"imbécile, idiot")</f>
        <v>imbécile, idiot</v>
      </c>
      <c r="G1986" s="8" t="str">
        <f>IFERROR(__xludf.DUMMYFUNCTION("GOOGLETRANSLATE(C1986, ""en"", ""de"")"),"Dummkopf, Narr")</f>
        <v>Dummkopf, Narr</v>
      </c>
      <c r="H1986" s="8" t="str">
        <f>IFERROR(__xludf.DUMMYFUNCTION("GOOGLETRANSLATE(C1986, ""en"", ""ru"")"),"болван, дурак")</f>
        <v>болван, дурак</v>
      </c>
      <c r="I1986" s="8" t="str">
        <f>IFERROR(__xludf.DUMMYFUNCTION("GOOGLETRANSLATE(C1986, ""en"", ""ar"")"),"أحمق، غبي")</f>
        <v>أحمق، غبي</v>
      </c>
      <c r="J1986" s="8"/>
      <c r="K1986" s="7" t="str">
        <f>IFERROR(__xludf.DUMMYFUNCTION("CONCAT(REGEXREPLACE(C1986,""[ ,]+"",""_""),"".mp3"")"),"nincompoop_fool.mp3")</f>
        <v>nincompoop_fool.mp3</v>
      </c>
      <c r="M1986" s="4" t="s">
        <v>10</v>
      </c>
    </row>
    <row r="1987" ht="15.75" customHeight="1">
      <c r="A1987" s="1">
        <v>3355.0</v>
      </c>
      <c r="B1987" s="3">
        <v>155.0</v>
      </c>
      <c r="C1987" s="7" t="s">
        <v>1985</v>
      </c>
      <c r="D1987" s="8" t="str">
        <f>IFERROR(__xludf.DUMMYFUNCTION("GOOGLETRANSLATE(C1987, ""en"", ""pt"")"),"translúcido, transparente")</f>
        <v>translúcido, transparente</v>
      </c>
      <c r="E1987" s="8" t="str">
        <f>IFERROR(__xludf.DUMMYFUNCTION("GOOGLETRANSLATE(C1987, ""en"", ""es"")"),"lúcido, transparente")</f>
        <v>lúcido, transparente</v>
      </c>
      <c r="F1987" s="8" t="str">
        <f>IFERROR(__xludf.DUMMYFUNCTION("GOOGLETRANSLATE(C1987, ""en"", ""fr"")"),"limpide, transparent")</f>
        <v>limpide, transparent</v>
      </c>
      <c r="G1987" s="8" t="str">
        <f>IFERROR(__xludf.DUMMYFUNCTION("GOOGLETRANSLATE(C1987, ""en"", ""de"")"),"durchsichtig, transparent")</f>
        <v>durchsichtig, transparent</v>
      </c>
      <c r="H1987" s="8" t="str">
        <f>IFERROR(__xludf.DUMMYFUNCTION("GOOGLETRANSLATE(C1987, ""en"", ""ru"")"),"прозрачный, прозрачный")</f>
        <v>прозрачный, прозрачный</v>
      </c>
      <c r="I1987" s="8" t="str">
        <f>IFERROR(__xludf.DUMMYFUNCTION("GOOGLETRANSLATE(C1987, ""en"", ""ar"")"),"شفاف، نقي")</f>
        <v>شفاف، نقي</v>
      </c>
      <c r="J1987" s="8"/>
      <c r="K1987" s="7" t="str">
        <f>IFERROR(__xludf.DUMMYFUNCTION("CONCAT(REGEXREPLACE(C1987,""[ ,]+"",""_""),"".mp3"")"),"pellucid_transparent.mp3")</f>
        <v>pellucid_transparent.mp3</v>
      </c>
      <c r="M1987" s="4" t="s">
        <v>10</v>
      </c>
    </row>
    <row r="1988" ht="15.75" customHeight="1">
      <c r="A1988" s="1">
        <v>3356.0</v>
      </c>
      <c r="B1988" s="3">
        <v>155.0</v>
      </c>
      <c r="C1988" s="7" t="s">
        <v>1986</v>
      </c>
      <c r="D1988" s="8" t="str">
        <f>IFERROR(__xludf.DUMMYFUNCTION("GOOGLETRANSLATE(C1988, ""en"", ""pt"")"),"translúcido, compreensível")</f>
        <v>translúcido, compreensível</v>
      </c>
      <c r="E1988" s="8" t="str">
        <f>IFERROR(__xludf.DUMMYFUNCTION("GOOGLETRANSLATE(C1988, ""en"", ""es"")"),"transparente, comprensible")</f>
        <v>transparente, comprensible</v>
      </c>
      <c r="F1988" s="8" t="str">
        <f>IFERROR(__xludf.DUMMYFUNCTION("GOOGLETRANSLATE(C1988, ""en"", ""fr"")"),"limpide, compréhensible")</f>
        <v>limpide, compréhensible</v>
      </c>
      <c r="G1988" s="8" t="str">
        <f>IFERROR(__xludf.DUMMYFUNCTION("GOOGLETRANSLATE(C1988, ""en"", ""de"")"),"klar, verständlich")</f>
        <v>klar, verständlich</v>
      </c>
      <c r="H1988" s="8" t="str">
        <f>IFERROR(__xludf.DUMMYFUNCTION("GOOGLETRANSLATE(C1988, ""en"", ""ru"")"),"прозрачный, понятный")</f>
        <v>прозрачный, понятный</v>
      </c>
      <c r="I1988" s="8" t="str">
        <f>IFERROR(__xludf.DUMMYFUNCTION("GOOGLETRANSLATE(C1988, ""en"", ""ar"")"),"واضح، مفهوم")</f>
        <v>واضح، مفهوم</v>
      </c>
      <c r="J1988" s="8"/>
      <c r="K1988" s="7" t="str">
        <f>IFERROR(__xludf.DUMMYFUNCTION("CONCAT(REGEXREPLACE(C1988,""[ ,]+"",""_""),"".mp3"")"),"pellucid_understandable.mp3")</f>
        <v>pellucid_understandable.mp3</v>
      </c>
      <c r="M1988" s="4" t="s">
        <v>10</v>
      </c>
    </row>
    <row r="1989" ht="15.75" customHeight="1">
      <c r="A1989" s="1">
        <v>3357.0</v>
      </c>
      <c r="B1989" s="3">
        <v>155.0</v>
      </c>
      <c r="C1989" s="7" t="s">
        <v>1987</v>
      </c>
      <c r="D1989" s="8" t="str">
        <f>IFERROR(__xludf.DUMMYFUNCTION("GOOGLETRANSLATE(C1989, ""en"", ""pt"")"),"sábio, erudito")</f>
        <v>sábio, erudito</v>
      </c>
      <c r="E1989" s="8" t="str">
        <f>IFERROR(__xludf.DUMMYFUNCTION("GOOGLETRANSLATE(C1989, ""en"", ""es"")"),"sabio, erudito")</f>
        <v>sabio, erudito</v>
      </c>
      <c r="F1989" s="8" t="str">
        <f>IFERROR(__xludf.DUMMYFUNCTION("GOOGLETRANSLATE(C1989, ""en"", ""fr"")"),"savant, érudit")</f>
        <v>savant, érudit</v>
      </c>
      <c r="G1989" s="8" t="str">
        <f>IFERROR(__xludf.DUMMYFUNCTION("GOOGLETRANSLATE(C1989, ""en"", ""de"")"),"Gelehrter, Gelehrter")</f>
        <v>Gelehrter, Gelehrter</v>
      </c>
      <c r="H1989" s="8" t="str">
        <f>IFERROR(__xludf.DUMMYFUNCTION("GOOGLETRANSLATE(C1989, ""en"", ""ru"")"),"ученый, ученый")</f>
        <v>ученый, ученый</v>
      </c>
      <c r="I1989" s="8" t="str">
        <f>IFERROR(__xludf.DUMMYFUNCTION("GOOGLETRANSLATE(C1989, ""en"", ""ar"")"),"عالم، باحث")</f>
        <v>عالم، باحث</v>
      </c>
      <c r="J1989" s="8"/>
      <c r="K1989" s="7" t="str">
        <f>IFERROR(__xludf.DUMMYFUNCTION("CONCAT(REGEXREPLACE(C1989,""[ ,]+"",""_""),"".mp3"")"),"savant_scholar.mp3")</f>
        <v>savant_scholar.mp3</v>
      </c>
      <c r="M1989" s="4" t="s">
        <v>10</v>
      </c>
    </row>
    <row r="1990" ht="15.75" customHeight="1">
      <c r="A1990" s="1">
        <v>3358.0</v>
      </c>
      <c r="B1990" s="3">
        <v>155.0</v>
      </c>
      <c r="C1990" s="7" t="s">
        <v>1988</v>
      </c>
      <c r="D1990" s="8" t="str">
        <f>IFERROR(__xludf.DUMMYFUNCTION("GOOGLETRANSLATE(C1990, ""en"", ""pt"")"),"arrebatar, cativar")</f>
        <v>arrebatar, cativar</v>
      </c>
      <c r="E1990" s="8" t="str">
        <f>IFERROR(__xludf.DUMMYFUNCTION("GOOGLETRANSLATE(C1990, ""en"", ""es"")"),"arrebatar, cautivar")</f>
        <v>arrebatar, cautivar</v>
      </c>
      <c r="F1990" s="8" t="str">
        <f>IFERROR(__xludf.DUMMYFUNCTION("GOOGLETRANSLATE(C1990, ""en"", ""fr"")"),"ravir, fasciner")</f>
        <v>ravir, fasciner</v>
      </c>
      <c r="G1990" s="8" t="str">
        <f>IFERROR(__xludf.DUMMYFUNCTION("GOOGLETRANSLATE(C1990, ""en"", ""de"")"),"entzücken, fesseln")</f>
        <v>entzücken, fesseln</v>
      </c>
      <c r="H1990" s="8" t="str">
        <f>IFERROR(__xludf.DUMMYFUNCTION("GOOGLETRANSLATE(C1990, ""en"", ""ru"")"),"восхищать, очаровывать")</f>
        <v>восхищать, очаровывать</v>
      </c>
      <c r="I1990" s="8" t="str">
        <f>IFERROR(__xludf.DUMMYFUNCTION("GOOGLETRANSLATE(C1990, ""en"", ""ar"")"),"يأسر، يسحر")</f>
        <v>يأسر، يسحر</v>
      </c>
      <c r="J1990" s="8"/>
      <c r="K1990" s="7" t="str">
        <f>IFERROR(__xludf.DUMMYFUNCTION("CONCAT(REGEXREPLACE(C1990,""[ ,]+"",""_""),"".mp3"")"),"ravish_enthrall.mp3")</f>
        <v>ravish_enthrall.mp3</v>
      </c>
      <c r="M1990" s="4" t="s">
        <v>10</v>
      </c>
    </row>
    <row r="1991" ht="15.75" customHeight="1">
      <c r="A1991" s="1">
        <v>3359.0</v>
      </c>
      <c r="B1991" s="3">
        <v>155.0</v>
      </c>
      <c r="C1991" s="7" t="s">
        <v>1989</v>
      </c>
      <c r="D1991" s="8" t="str">
        <f>IFERROR(__xludf.DUMMYFUNCTION("GOOGLETRANSLATE(C1991, ""en"", ""pt"")"),"sempre alerta, atento")</f>
        <v>sempre alerta, atento</v>
      </c>
      <c r="E1991" s="8" t="str">
        <f>IFERROR(__xludf.DUMMYFUNCTION("GOOGLETRANSLATE(C1991, ""en"", ""es"")"),"en qui vive, atento")</f>
        <v>en qui vive, atento</v>
      </c>
      <c r="F1991" s="8" t="str">
        <f>IFERROR(__xludf.DUMMYFUNCTION("GOOGLETRANSLATE(C1991, ""en"", ""fr"")"),"sur le qui vit, attentif")</f>
        <v>sur le qui vit, attentif</v>
      </c>
      <c r="G1991" s="8" t="str">
        <f>IFERROR(__xludf.DUMMYFUNCTION("GOOGLETRANSLATE(C1991, ""en"", ""de"")"),"auf der Hut, aufmerksam")</f>
        <v>auf der Hut, aufmerksam</v>
      </c>
      <c r="H1991" s="8" t="str">
        <f>IFERROR(__xludf.DUMMYFUNCTION("GOOGLETRANSLATE(C1991, ""en"", ""ru"")"),"в покое, внимательный")</f>
        <v>в покое, внимательный</v>
      </c>
      <c r="I1991" s="8" t="str">
        <f>IFERROR(__xludf.DUMMYFUNCTION("GOOGLETRANSLATE(C1991, ""en"", ""ar"")"),"على عجل، منتبه")</f>
        <v>على عجل، منتبه</v>
      </c>
      <c r="J1991" s="8"/>
      <c r="K1991" s="7" t="str">
        <f>IFERROR(__xludf.DUMMYFUNCTION("CONCAT(REGEXREPLACE(C1991,""[ ,]+"",""_""),"".mp3"")"),"on_the_qui_vive_attentive.mp3")</f>
        <v>on_the_qui_vive_attentive.mp3</v>
      </c>
      <c r="M1991" s="4" t="s">
        <v>10</v>
      </c>
    </row>
    <row r="1992" ht="15.75" customHeight="1">
      <c r="A1992" s="1">
        <v>3360.0</v>
      </c>
      <c r="B1992" s="3">
        <v>155.0</v>
      </c>
      <c r="C1992" s="7" t="s">
        <v>1990</v>
      </c>
      <c r="D1992" s="8" t="str">
        <f>IFERROR(__xludf.DUMMYFUNCTION("GOOGLETRANSLATE(C1992, ""en"", ""pt"")"),"triste, melancólico")</f>
        <v>triste, melancólico</v>
      </c>
      <c r="E1992" s="8" t="str">
        <f>IFERROR(__xludf.DUMMYFUNCTION("GOOGLETRANSLATE(C1992, ""en"", ""es"")"),"melancólico, triste")</f>
        <v>melancólico, triste</v>
      </c>
      <c r="F1992" s="8" t="str">
        <f>IFERROR(__xludf.DUMMYFUNCTION("GOOGLETRANSLATE(C1992, ""en"", ""fr"")"),"triste")</f>
        <v>triste</v>
      </c>
      <c r="G1992" s="8" t="str">
        <f>IFERROR(__xludf.DUMMYFUNCTION("GOOGLETRANSLATE(C1992, ""en"", ""de"")"),"trübselig, traurig")</f>
        <v>trübselig, traurig</v>
      </c>
      <c r="H1992" s="8" t="str">
        <f>IFERROR(__xludf.DUMMYFUNCTION("GOOGLETRANSLATE(C1992, ""en"", ""ru"")"),"мрачный, грустный")</f>
        <v>мрачный, грустный</v>
      </c>
      <c r="I1992" s="8" t="str">
        <f>IFERROR(__xludf.DUMMYFUNCTION("GOOGLETRANSLATE(C1992, ""en"", ""ar"")"),"كئيب، حزين")</f>
        <v>كئيب، حزين</v>
      </c>
      <c r="J1992" s="8"/>
      <c r="K1992" s="7" t="str">
        <f>IFERROR(__xludf.DUMMYFUNCTION("CONCAT(REGEXREPLACE(C1992,""[ ,]+"",""_""),"".mp3"")"),"glum_sad.mp3")</f>
        <v>glum_sad.mp3</v>
      </c>
      <c r="M1992" s="4" t="s">
        <v>10</v>
      </c>
    </row>
    <row r="1993" ht="15.75" customHeight="1">
      <c r="A1993" s="1">
        <v>3361.0</v>
      </c>
      <c r="B1993" s="3">
        <v>155.0</v>
      </c>
      <c r="C1993" s="7" t="s">
        <v>1991</v>
      </c>
      <c r="D1993" s="8" t="str">
        <f>IFERROR(__xludf.DUMMYFUNCTION("GOOGLETRANSLATE(C1993, ""en"", ""pt"")"),"enxoval, traje da noiva")</f>
        <v>enxoval, traje da noiva</v>
      </c>
      <c r="E1993" s="8" t="str">
        <f>IFERROR(__xludf.DUMMYFUNCTION("GOOGLETRANSLATE(C1993, ""en"", ""es"")"),"ajuar, atuendo de la novia")</f>
        <v>ajuar, atuendo de la novia</v>
      </c>
      <c r="F1993" s="8" t="str">
        <f>IFERROR(__xludf.DUMMYFUNCTION("GOOGLETRANSLATE(C1993, ""en"", ""fr"")"),"trousseau, tenue de la mariée")</f>
        <v>trousseau, tenue de la mariée</v>
      </c>
      <c r="G1993" s="8" t="str">
        <f>IFERROR(__xludf.DUMMYFUNCTION("GOOGLETRANSLATE(C1993, ""en"", ""de"")"),"Aussteuer, Brautkleidung")</f>
        <v>Aussteuer, Brautkleidung</v>
      </c>
      <c r="H1993" s="8" t="str">
        <f>IFERROR(__xludf.DUMMYFUNCTION("GOOGLETRANSLATE(C1993, ""en"", ""ru"")"),"приданое, свадебный наряд")</f>
        <v>приданое, свадебный наряд</v>
      </c>
      <c r="I1993" s="8" t="str">
        <f>IFERROR(__xludf.DUMMYFUNCTION("GOOGLETRANSLATE(C1993, ""en"", ""ar"")"),"جهاز العروس، ملابس العروس")</f>
        <v>جهاز العروس، ملابس العروس</v>
      </c>
      <c r="J1993" s="8"/>
      <c r="K1993" s="7" t="str">
        <f>IFERROR(__xludf.DUMMYFUNCTION("CONCAT(REGEXREPLACE(C1993,""[ ,]+"",""_""),"".mp3"")"),"trousseau_bride’s_outfit.mp3")</f>
        <v>trousseau_bride’s_outfit.mp3</v>
      </c>
      <c r="M1993" s="4" t="s">
        <v>10</v>
      </c>
    </row>
    <row r="1994" ht="15.75" customHeight="1">
      <c r="A1994" s="1">
        <v>3362.0</v>
      </c>
      <c r="B1994" s="3">
        <v>155.0</v>
      </c>
      <c r="C1994" s="7" t="s">
        <v>1992</v>
      </c>
      <c r="D1994" s="8" t="str">
        <f>IFERROR(__xludf.DUMMYFUNCTION("GOOGLETRANSLATE(C1994, ""en"", ""pt"")"),"torrente, chuva forte")</f>
        <v>torrente, chuva forte</v>
      </c>
      <c r="E1994" s="8" t="str">
        <f>IFERROR(__xludf.DUMMYFUNCTION("GOOGLETRANSLATE(C1994, ""en"", ""es"")"),"torrente, lluvia intensa")</f>
        <v>torrente, lluvia intensa</v>
      </c>
      <c r="F1994" s="8" t="str">
        <f>IFERROR(__xludf.DUMMYFUNCTION("GOOGLETRANSLATE(C1994, ""en"", ""fr"")"),"torrent, fortes pluies")</f>
        <v>torrent, fortes pluies</v>
      </c>
      <c r="G1994" s="8" t="str">
        <f>IFERROR(__xludf.DUMMYFUNCTION("GOOGLETRANSLATE(C1994, ""en"", ""de"")"),"Sturzbach, Starkregen")</f>
        <v>Sturzbach, Starkregen</v>
      </c>
      <c r="H1994" s="8" t="str">
        <f>IFERROR(__xludf.DUMMYFUNCTION("GOOGLETRANSLATE(C1994, ""en"", ""ru"")"),"ливень, проливной дождь")</f>
        <v>ливень, проливной дождь</v>
      </c>
      <c r="I1994" s="8" t="str">
        <f>IFERROR(__xludf.DUMMYFUNCTION("GOOGLETRANSLATE(C1994, ""en"", ""ar"")"),"أمطار غزيرة وسيول جارفة")</f>
        <v>أمطار غزيرة وسيول جارفة</v>
      </c>
      <c r="J1994" s="8"/>
      <c r="K1994" s="7" t="str">
        <f>IFERROR(__xludf.DUMMYFUNCTION("CONCAT(REGEXREPLACE(C1994,""[ ,]+"",""_""),"".mp3"")"),"torrent_heavy_rain.mp3")</f>
        <v>torrent_heavy_rain.mp3</v>
      </c>
      <c r="M1994" s="4" t="s">
        <v>10</v>
      </c>
    </row>
    <row r="1995" ht="15.75" customHeight="1">
      <c r="A1995" s="1">
        <v>3363.0</v>
      </c>
      <c r="B1995" s="3">
        <v>155.0</v>
      </c>
      <c r="C1995" s="7" t="s">
        <v>1993</v>
      </c>
      <c r="D1995" s="8" t="str">
        <f>IFERROR(__xludf.DUMMYFUNCTION("GOOGLETRANSLATE(C1995, ""en"", ""pt"")"),"aguaceiro, chuva forte")</f>
        <v>aguaceiro, chuva forte</v>
      </c>
      <c r="E1995" s="8" t="str">
        <f>IFERROR(__xludf.DUMMYFUNCTION("GOOGLETRANSLATE(C1995, ""en"", ""es"")"),"aguacero, lluvia intensa")</f>
        <v>aguacero, lluvia intensa</v>
      </c>
      <c r="F1995" s="8" t="str">
        <f>IFERROR(__xludf.DUMMYFUNCTION("GOOGLETRANSLATE(C1995, ""en"", ""fr"")"),"averse, fortes pluies")</f>
        <v>averse, fortes pluies</v>
      </c>
      <c r="G1995" s="8" t="str">
        <f>IFERROR(__xludf.DUMMYFUNCTION("GOOGLETRANSLATE(C1995, ""en"", ""de"")"),"Starkregen")</f>
        <v>Starkregen</v>
      </c>
      <c r="H1995" s="8" t="str">
        <f>IFERROR(__xludf.DUMMYFUNCTION("GOOGLETRANSLATE(C1995, ""en"", ""ru"")"),"ливень, сильный дождь")</f>
        <v>ливень, сильный дождь</v>
      </c>
      <c r="I1995" s="8" t="str">
        <f>IFERROR(__xludf.DUMMYFUNCTION("GOOGLETRANSLATE(C1995, ""en"", ""ar"")"),"هطول أمطار غزيرة")</f>
        <v>هطول أمطار غزيرة</v>
      </c>
      <c r="J1995" s="8"/>
      <c r="K1995" s="7" t="str">
        <f>IFERROR(__xludf.DUMMYFUNCTION("CONCAT(REGEXREPLACE(C1995,""[ ,]+"",""_""),"".mp3"")"),"downpour_heavy_rain.mp3")</f>
        <v>downpour_heavy_rain.mp3</v>
      </c>
      <c r="M1995" s="4" t="s">
        <v>10</v>
      </c>
    </row>
    <row r="1996" ht="15.75" customHeight="1">
      <c r="A1996" s="1">
        <v>3364.0</v>
      </c>
      <c r="B1996" s="3">
        <v>155.0</v>
      </c>
      <c r="C1996" s="7" t="s">
        <v>1994</v>
      </c>
      <c r="D1996" s="8" t="str">
        <f>IFERROR(__xludf.DUMMYFUNCTION("GOOGLETRANSLATE(C1996, ""en"", ""pt"")"),"firme, fiel")</f>
        <v>firme, fiel</v>
      </c>
      <c r="E1996" s="8" t="str">
        <f>IFERROR(__xludf.DUMMYFUNCTION("GOOGLETRANSLATE(C1996, ""en"", ""es"")"),"firme, fiel")</f>
        <v>firme, fiel</v>
      </c>
      <c r="F1996" s="8" t="str">
        <f>IFERROR(__xludf.DUMMYFUNCTION("GOOGLETRANSLATE(C1996, ""en"", ""fr"")"),"vaillant, fidèle")</f>
        <v>vaillant, fidèle</v>
      </c>
      <c r="G1996" s="8" t="str">
        <f>IFERROR(__xludf.DUMMYFUNCTION("GOOGLETRANSLATE(C1996, ""en"", ""de"")"),"standhaft, treu")</f>
        <v>standhaft, treu</v>
      </c>
      <c r="H1996" s="8" t="str">
        <f>IFERROR(__xludf.DUMMYFUNCTION("GOOGLETRANSLATE(C1996, ""en"", ""ru"")"),"стойкий, верный")</f>
        <v>стойкий, верный</v>
      </c>
      <c r="I1996" s="8" t="str">
        <f>IFERROR(__xludf.DUMMYFUNCTION("GOOGLETRANSLATE(C1996, ""en"", ""ar"")"),"قوي، مخلص")</f>
        <v>قوي، مخلص</v>
      </c>
      <c r="J1996" s="8"/>
      <c r="K1996" s="7" t="str">
        <f>IFERROR(__xludf.DUMMYFUNCTION("CONCAT(REGEXREPLACE(C1996,""[ ,]+"",""_""),"".mp3"")"),"stalwart_faithful.mp3")</f>
        <v>stalwart_faithful.mp3</v>
      </c>
      <c r="M1996" s="4" t="s">
        <v>10</v>
      </c>
    </row>
    <row r="1997" ht="15.75" customHeight="1">
      <c r="A1997" s="1">
        <v>3365.0</v>
      </c>
      <c r="B1997" s="3">
        <v>155.0</v>
      </c>
      <c r="C1997" s="7" t="s">
        <v>1995</v>
      </c>
      <c r="D1997" s="8" t="str">
        <f>IFERROR(__xludf.DUMMYFUNCTION("GOOGLETRANSLATE(C1997, ""en"", ""pt"")"),"retribuição, punição")</f>
        <v>retribuição, punição</v>
      </c>
      <c r="E1997" s="8" t="str">
        <f>IFERROR(__xludf.DUMMYFUNCTION("GOOGLETRANSLATE(C1997, ""en"", ""es"")"),"merecido castigo")</f>
        <v>merecido castigo</v>
      </c>
      <c r="F1997" s="8" t="str">
        <f>IFERROR(__xludf.DUMMYFUNCTION("GOOGLETRANSLATE(C1997, ""en"", ""fr"")"),"châtiment, punition")</f>
        <v>châtiment, punition</v>
      </c>
      <c r="G1997" s="8" t="str">
        <f>IFERROR(__xludf.DUMMYFUNCTION("GOOGLETRANSLATE(C1997, ""en"", ""de"")"),"Vergeltung, Strafe")</f>
        <v>Vergeltung, Strafe</v>
      </c>
      <c r="H1997" s="8" t="str">
        <f>IFERROR(__xludf.DUMMYFUNCTION("GOOGLETRANSLATE(C1997, ""en"", ""ru"")"),"возмездие, наказание")</f>
        <v>возмездие, наказание</v>
      </c>
      <c r="I1997" s="8" t="str">
        <f>IFERROR(__xludf.DUMMYFUNCTION("GOOGLETRANSLATE(C1997, ""en"", ""ar"")"),"الجزاء، العقاب")</f>
        <v>الجزاء، العقاب</v>
      </c>
      <c r="J1997" s="8"/>
      <c r="K1997" s="7" t="str">
        <f>IFERROR(__xludf.DUMMYFUNCTION("CONCAT(REGEXREPLACE(C1997,""[ ,]+"",""_""),"".mp3"")"),"comeuppance_punishment.mp3")</f>
        <v>comeuppance_punishment.mp3</v>
      </c>
      <c r="M1997" s="4" t="s">
        <v>10</v>
      </c>
    </row>
    <row r="1998" ht="15.75" customHeight="1">
      <c r="A1998" s="1">
        <v>3366.0</v>
      </c>
      <c r="B1998" s="3">
        <v>155.0</v>
      </c>
      <c r="C1998" s="7" t="s">
        <v>1996</v>
      </c>
      <c r="D1998" s="8" t="str">
        <f>IFERROR(__xludf.DUMMYFUNCTION("GOOGLETRANSLATE(C1998, ""en"", ""pt"")"),"traição, sedição")</f>
        <v>traição, sedição</v>
      </c>
      <c r="E1998" s="8" t="str">
        <f>IFERROR(__xludf.DUMMYFUNCTION("GOOGLETRANSLATE(C1998, ""en"", ""es"")"),"traición, sedición")</f>
        <v>traición, sedición</v>
      </c>
      <c r="F1998" s="8" t="str">
        <f>IFERROR(__xludf.DUMMYFUNCTION("GOOGLETRANSLATE(C1998, ""en"", ""fr"")"),"trahison, sédition")</f>
        <v>trahison, sédition</v>
      </c>
      <c r="G1998" s="8" t="str">
        <f>IFERROR(__xludf.DUMMYFUNCTION("GOOGLETRANSLATE(C1998, ""en"", ""de"")"),"Hochverrat, Aufruhr")</f>
        <v>Hochverrat, Aufruhr</v>
      </c>
      <c r="H1998" s="8" t="str">
        <f>IFERROR(__xludf.DUMMYFUNCTION("GOOGLETRANSLATE(C1998, ""en"", ""ru"")"),"государственная измена, подстрекательство к мятежу")</f>
        <v>государственная измена, подстрекательство к мятежу</v>
      </c>
      <c r="I1998" s="8" t="str">
        <f>IFERROR(__xludf.DUMMYFUNCTION("GOOGLETRANSLATE(C1998, ""en"", ""ar"")"),"الخيانة، التحريض")</f>
        <v>الخيانة، التحريض</v>
      </c>
      <c r="J1998" s="8"/>
      <c r="K1998" s="7" t="str">
        <f>IFERROR(__xludf.DUMMYFUNCTION("CONCAT(REGEXREPLACE(C1998,""[ ,]+"",""_""),"".mp3"")"),"treason_sedition.mp3")</f>
        <v>treason_sedition.mp3</v>
      </c>
      <c r="M1998" s="4" t="s">
        <v>10</v>
      </c>
    </row>
    <row r="1999" ht="15.75" customHeight="1">
      <c r="A1999" s="1">
        <v>3367.0</v>
      </c>
      <c r="B1999" s="3">
        <v>155.0</v>
      </c>
      <c r="C1999" s="7" t="s">
        <v>1997</v>
      </c>
      <c r="D1999" s="8" t="str">
        <f>IFERROR(__xludf.DUMMYFUNCTION("GOOGLETRANSLATE(C1999, ""en"", ""pt"")"),"robusto, resistente")</f>
        <v>robusto, resistente</v>
      </c>
      <c r="E1999" s="8" t="str">
        <f>IFERROR(__xludf.DUMMYFUNCTION("GOOGLETRANSLATE(C1999, ""en"", ""es"")"),"resistente, robusto")</f>
        <v>resistente, robusto</v>
      </c>
      <c r="F1999" s="8" t="str">
        <f>IFERROR(__xludf.DUMMYFUNCTION("GOOGLETRANSLATE(C1999, ""en"", ""fr"")"),"robuste et solide")</f>
        <v>robuste et solide</v>
      </c>
      <c r="G1999" s="8" t="str">
        <f>IFERROR(__xludf.DUMMYFUNCTION("GOOGLETRANSLATE(C1999, ""en"", ""de"")"),"robust, widerstandsfähig")</f>
        <v>robust, widerstandsfähig</v>
      </c>
      <c r="H1999" s="8" t="str">
        <f>IFERROR(__xludf.DUMMYFUNCTION("GOOGLETRANSLATE(C1999, ""en"", ""ru"")"),"прочный, надежный")</f>
        <v>прочный, надежный</v>
      </c>
      <c r="I1999" s="8" t="str">
        <f>IFERROR(__xludf.DUMMYFUNCTION("GOOGLETRANSLATE(C1999, ""en"", ""ar"")"),"متين وقوي")</f>
        <v>متين وقوي</v>
      </c>
      <c r="J1999" s="8"/>
      <c r="K1999" s="7" t="str">
        <f>IFERROR(__xludf.DUMMYFUNCTION("CONCAT(REGEXREPLACE(C1999,""[ ,]+"",""_""),"".mp3"")"),"sturdy_robust.mp3")</f>
        <v>sturdy_robust.mp3</v>
      </c>
      <c r="M1999" s="4" t="s">
        <v>10</v>
      </c>
    </row>
    <row r="2000" ht="15.75" customHeight="1">
      <c r="A2000" s="1">
        <v>3368.0</v>
      </c>
      <c r="B2000" s="3">
        <v>155.0</v>
      </c>
      <c r="C2000" s="7" t="s">
        <v>1998</v>
      </c>
      <c r="D2000" s="8" t="str">
        <f>IFERROR(__xludf.DUMMYFUNCTION("GOOGLETRANSLATE(C2000, ""en"", ""pt"")"),"tépido, morno")</f>
        <v>tépido, morno</v>
      </c>
      <c r="E2000" s="8" t="str">
        <f>IFERROR(__xludf.DUMMYFUNCTION("GOOGLETRANSLATE(C2000, ""en"", ""es"")"),"tibio, tibio")</f>
        <v>tibio, tibio</v>
      </c>
      <c r="F2000" s="8" t="str">
        <f>IFERROR(__xludf.DUMMYFUNCTION("GOOGLETRANSLATE(C2000, ""en"", ""fr"")"),"tiède, tiède")</f>
        <v>tiède, tiède</v>
      </c>
      <c r="G2000" s="8" t="str">
        <f>IFERROR(__xludf.DUMMYFUNCTION("GOOGLETRANSLATE(C2000, ""en"", ""de"")"),"lauwarm")</f>
        <v>lauwarm</v>
      </c>
      <c r="H2000" s="8" t="str">
        <f>IFERROR(__xludf.DUMMYFUNCTION("GOOGLETRANSLATE(C2000, ""en"", ""ru"")"),"теплый, чуть теплый")</f>
        <v>теплый, чуть теплый</v>
      </c>
      <c r="I2000" s="8" t="str">
        <f>IFERROR(__xludf.DUMMYFUNCTION("GOOGLETRANSLATE(C2000, ""en"", ""ar"")"),"فاتِر، دافئ")</f>
        <v>فاتِر، دافئ</v>
      </c>
      <c r="J2000" s="8"/>
      <c r="K2000" s="7" t="str">
        <f>IFERROR(__xludf.DUMMYFUNCTION("CONCAT(REGEXREPLACE(C2000,""[ ,]+"",""_""),"".mp3"")"),"tepid_lukewarm.mp3")</f>
        <v>tepid_lukewarm.mp3</v>
      </c>
      <c r="M2000" s="4" t="s">
        <v>10</v>
      </c>
    </row>
    <row r="2001" ht="15.75" customHeight="1">
      <c r="A2001" s="1">
        <v>3369.0</v>
      </c>
      <c r="B2001" s="3">
        <v>155.0</v>
      </c>
      <c r="C2001" s="7" t="s">
        <v>1999</v>
      </c>
      <c r="D2001" s="8" t="str">
        <f>IFERROR(__xludf.DUMMYFUNCTION("GOOGLETRANSLATE(C2001, ""en"", ""pt"")"),"pano de fundo, circunstância")</f>
        <v>pano de fundo, circunstância</v>
      </c>
      <c r="E2001" s="8" t="str">
        <f>IFERROR(__xludf.DUMMYFUNCTION("GOOGLETRANSLATE(C2001, ""en"", ""es"")"),"contexto, circunstancia")</f>
        <v>contexto, circunstancia</v>
      </c>
      <c r="F2001" s="8" t="str">
        <f>IFERROR(__xludf.DUMMYFUNCTION("GOOGLETRANSLATE(C2001, ""en"", ""fr"")"),"contexte, circonstances")</f>
        <v>contexte, circonstances</v>
      </c>
      <c r="G2001" s="8" t="str">
        <f>IFERROR(__xludf.DUMMYFUNCTION("GOOGLETRANSLATE(C2001, ""en"", ""de"")"),"Hintergrund, Umstände")</f>
        <v>Hintergrund, Umstände</v>
      </c>
      <c r="H2001" s="8" t="str">
        <f>IFERROR(__xludf.DUMMYFUNCTION("GOOGLETRANSLATE(C2001, ""en"", ""ru"")"),"фон, обстоятельства")</f>
        <v>фон, обстоятельства</v>
      </c>
      <c r="I2001" s="8" t="str">
        <f>IFERROR(__xludf.DUMMYFUNCTION("GOOGLETRANSLATE(C2001, ""en"", ""ar"")"),"الخلفية، الظروف")</f>
        <v>الخلفية، الظروف</v>
      </c>
      <c r="J2001" s="8"/>
      <c r="K2001" s="7" t="str">
        <f>IFERROR(__xludf.DUMMYFUNCTION("CONCAT(REGEXREPLACE(C2001,""[ ,]+"",""_""),"".mp3"")"),"backdrop_circumstance.mp3")</f>
        <v>backdrop_circumstance.mp3</v>
      </c>
      <c r="M2001" s="4" t="s">
        <v>10</v>
      </c>
    </row>
    <row r="2002" ht="15.75" customHeight="1">
      <c r="A2002" s="1">
        <v>3370.0</v>
      </c>
      <c r="B2002" s="3">
        <v>156.0</v>
      </c>
      <c r="C2002" s="9" t="s">
        <v>2000</v>
      </c>
      <c r="D2002" s="8" t="str">
        <f>IFERROR(__xludf.DUMMYFUNCTION("GOOGLETRANSLATE(C2002, ""en"", ""pt"")"),"segunda-feira, terça-feira, quarta-feira, quinta-feira, sexta-feira, sábado, domingo")</f>
        <v>segunda-feira, terça-feira, quarta-feira, quinta-feira, sexta-feira, sábado, domingo</v>
      </c>
      <c r="E2002" s="8" t="str">
        <f>IFERROR(__xludf.DUMMYFUNCTION("GOOGLETRANSLATE(C2002, ""en"", ""es"")"),"lunes, martes, miércoles, jueves, viernes, sábado, domingo")</f>
        <v>lunes, martes, miércoles, jueves, viernes, sábado, domingo</v>
      </c>
      <c r="F2002" s="8" t="str">
        <f>IFERROR(__xludf.DUMMYFUNCTION("GOOGLETRANSLATE(C2002, ""en"", ""fr"")"),"lundi, mardi, mercredi, jeudi, vendredi, samedi, dimanche")</f>
        <v>lundi, mardi, mercredi, jeudi, vendredi, samedi, dimanche</v>
      </c>
      <c r="G2002" s="8" t="str">
        <f>IFERROR(__xludf.DUMMYFUNCTION("GOOGLETRANSLATE(C2002, ""en"", ""de"")"),"Montag, Dienstag, Mittwoch, Donnerstag, Freitag, Samstag, Sonntag")</f>
        <v>Montag, Dienstag, Mittwoch, Donnerstag, Freitag, Samstag, Sonntag</v>
      </c>
      <c r="H2002" s="8" t="str">
        <f>IFERROR(__xludf.DUMMYFUNCTION("GOOGLETRANSLATE(C2002, ""en"", ""ru"")"),"понедельник, вторник, среда, четверг, пятница, суббота, воскресенье")</f>
        <v>понедельник, вторник, среда, четверг, пятница, суббота, воскресенье</v>
      </c>
      <c r="I2002" s="8" t="str">
        <f>IFERROR(__xludf.DUMMYFUNCTION("GOOGLETRANSLATE(C2002, ""en"", ""ar"")"),"الاثنين، الثلاثاء، الأربعاء، الخميس، الجمعة، السبت، الأحد")</f>
        <v>الاثنين، الثلاثاء، الأربعاء، الخميس، الجمعة، السبت، الأحد</v>
      </c>
      <c r="J2002" s="8"/>
      <c r="K2002" s="3" t="s">
        <v>2001</v>
      </c>
      <c r="M2002" s="4" t="s">
        <v>10</v>
      </c>
    </row>
    <row r="2003" ht="15.75" customHeight="1">
      <c r="A2003" s="1">
        <v>3371.0</v>
      </c>
      <c r="B2003" s="3">
        <v>157.0</v>
      </c>
      <c r="C2003" s="9" t="s">
        <v>2002</v>
      </c>
      <c r="D2003" s="8" t="str">
        <f>IFERROR(__xludf.DUMMYFUNCTION("GOOGLETRANSLATE(C2003, ""en"", ""pt"")"),"janeiro, fevereiro, março, abril, maio, junho, julho, agosto, setembro, outubro, novembro, dezembro")</f>
        <v>janeiro, fevereiro, março, abril, maio, junho, julho, agosto, setembro, outubro, novembro, dezembro</v>
      </c>
      <c r="E2003" s="8" t="str">
        <f>IFERROR(__xludf.DUMMYFUNCTION("GOOGLETRANSLATE(C2003, ""en"", ""es"")"),"enero, febrero, marzo, abril, mayo, junio, julio, agosto, septiembre, octubre, noviembre, diciembre")</f>
        <v>enero, febrero, marzo, abril, mayo, junio, julio, agosto, septiembre, octubre, noviembre, diciembre</v>
      </c>
      <c r="F2003" s="8" t="str">
        <f>IFERROR(__xludf.DUMMYFUNCTION("GOOGLETRANSLATE(C2003, ""en"", ""fr"")"),"janvier, février, mars, avril, mai, juin, juillet, août, septembre, octobre, novembre, décembre")</f>
        <v>janvier, février, mars, avril, mai, juin, juillet, août, septembre, octobre, novembre, décembre</v>
      </c>
      <c r="G2003" s="8" t="str">
        <f>IFERROR(__xludf.DUMMYFUNCTION("GOOGLETRANSLATE(C2003, ""en"", ""de"")"),"Januar, Februar, März, April, Mai, Juni, Juli, August, September, Oktober, November, Dezember")</f>
        <v>Januar, Februar, März, April, Mai, Juni, Juli, August, September, Oktober, November, Dezember</v>
      </c>
      <c r="H2003" s="8" t="str">
        <f>IFERROR(__xludf.DUMMYFUNCTION("GOOGLETRANSLATE(C2003, ""en"", ""ru"")"),"январь, февраль, март, апрель, май, июнь, июль, август, сентябрь, октябрь, ноябрь, декабрь")</f>
        <v>январь, февраль, март, апрель, май, июнь, июль, август, сентябрь, октябрь, ноябрь, декабрь</v>
      </c>
      <c r="I2003" s="8" t="str">
        <f>IFERROR(__xludf.DUMMYFUNCTION("GOOGLETRANSLATE(C2003, ""en"", ""ar"")"),"يناير، فبراير، مارس، أبريل، مايو، يونيو، يوليو، أغسطس، سبتمبر، أكتوبر، نوفمبر، ديسمبر")</f>
        <v>يناير، فبراير، مارس، أبريل، مايو، يونيو، يوليو، أغسطس، سبتمبر، أكتوبر، نوفمبر، ديسمبر</v>
      </c>
      <c r="J2003" s="8"/>
      <c r="K2003" s="3" t="s">
        <v>2003</v>
      </c>
      <c r="M2003" s="4" t="s">
        <v>10</v>
      </c>
    </row>
    <row r="2004" ht="15.75" customHeight="1">
      <c r="A2004" s="1">
        <v>3372.0</v>
      </c>
      <c r="B2004" s="3">
        <v>158.0</v>
      </c>
      <c r="C2004" s="9" t="s">
        <v>2004</v>
      </c>
      <c r="D2004" s="8" t="str">
        <f>IFERROR(__xludf.DUMMYFUNCTION("GOOGLETRANSLATE(C2004, ""en"", ""pt"")"),"círculo, quadrado, retângulo, triângulo, oval, pentágono, hexágono, heptágono, octógono, eneágono, decágono, estrela, coração, losango, cubo, esfera, cilindro, cone, pirâmide")</f>
        <v>círculo, quadrado, retângulo, triângulo, oval, pentágono, hexágono, heptágono, octógono, eneágono, decágono, estrela, coração, losango, cubo, esfera, cilindro, cone, pirâmide</v>
      </c>
      <c r="E2004" s="8" t="str">
        <f>IFERROR(__xludf.DUMMYFUNCTION("GOOGLETRANSLATE(C2004, ""en"", ""es"")"),"círculo, cuadrado, rectángulo, triángulo, óvalo, pentágono, hexágono, heptágono, octágono, nonágono, decágono, estrella, corazón, diamante, cubo, esfera, cilindro, cono, pirámide")</f>
        <v>círculo, cuadrado, rectángulo, triángulo, óvalo, pentágono, hexágono, heptágono, octágono, nonágono, decágono, estrella, corazón, diamante, cubo, esfera, cilindro, cono, pirámide</v>
      </c>
      <c r="F2004" s="8" t="str">
        <f>IFERROR(__xludf.DUMMYFUNCTION("GOOGLETRANSLATE(C2004, ""en"", ""fr"")"),"cercle, carré, rectangle, triangle, ovale, pentagone, hexagone, heptagone, octogone, ennéagone, décagone, étoile, cœur, losange, cube, sphère, cylindre, cône, pyramide")</f>
        <v>cercle, carré, rectangle, triangle, ovale, pentagone, hexagone, heptagone, octogone, ennéagone, décagone, étoile, cœur, losange, cube, sphère, cylindre, cône, pyramide</v>
      </c>
      <c r="G2004" s="8" t="str">
        <f>IFERROR(__xludf.DUMMYFUNCTION("GOOGLETRANSLATE(C2004, ""en"", ""de"")"),"Kreis, Quadrat, Rechteck, Dreieck, Oval, Fünfeck, Sechseck, Siebeneck, Achteck, Neuneck, Zehneck, Stern, Herz, Raute, Würfel, Kugel, Zylinder, Kegel, Pyramide")</f>
        <v>Kreis, Quadrat, Rechteck, Dreieck, Oval, Fünfeck, Sechseck, Siebeneck, Achteck, Neuneck, Zehneck, Stern, Herz, Raute, Würfel, Kugel, Zylinder, Kegel, Pyramide</v>
      </c>
      <c r="H2004" s="8" t="str">
        <f>IFERROR(__xludf.DUMMYFUNCTION("GOOGLETRANSLATE(C2004, ""en"", ""ru"")"),"круг, квадрат, прямоугольник, треугольник, овал, пятиугольник, шестиугольник, семиугольник, восьмиугольник, девятиугольник, десятиугольник, звезда, сердце, алмаз, куб, сфера, цилиндр, конус, пирамида")</f>
        <v>круг, квадрат, прямоугольник, треугольник, овал, пятиугольник, шестиугольник, семиугольник, восьмиугольник, девятиугольник, десятиугольник, звезда, сердце, алмаз, куб, сфера, цилиндр, конус, пирамида</v>
      </c>
      <c r="I2004" s="8" t="str">
        <f>IFERROR(__xludf.DUMMYFUNCTION("GOOGLETRANSLATE(C2004, ""en"", ""ar"")"),"دائرة، مربع، مستطيل، مثلث، بيضاوي، خماسي، سداسي، سباعي، ثماني، تساعي، عشاري، نجمة، قلب، معين، مكعب، كرة، أسطوانة، مخروط، هرم")</f>
        <v>دائرة، مربع، مستطيل، مثلث، بيضاوي، خماسي، سداسي، سباعي، ثماني، تساعي، عشاري، نجمة، قلب، معين، مكعب، كرة، أسطوانة، مخروط، هرم</v>
      </c>
      <c r="J2004" s="8"/>
      <c r="K2004" s="3" t="s">
        <v>2005</v>
      </c>
      <c r="M2004" s="4" t="s">
        <v>10</v>
      </c>
    </row>
    <row r="2005" ht="15.75" customHeight="1">
      <c r="A2005" s="1">
        <v>3373.0</v>
      </c>
      <c r="B2005" s="3">
        <v>159.0</v>
      </c>
      <c r="C2005" s="9" t="s">
        <v>2006</v>
      </c>
      <c r="D2005" s="8" t="str">
        <f>IFERROR(__xludf.DUMMYFUNCTION("GOOGLETRANSLATE(C2005, ""en"", ""pt"")"),"zero, um, dois, três, quatro, cinco, seis, sete, oito, nove, dez, onze, doze, treze, quatorze, quinze, dezesseis, dezessete, dezoito, dezenove, vinte, trinta, quarenta, cinquenta, sessenta, setenta, oitenta, noventa, cem, mil")</f>
        <v>zero, um, dois, três, quatro, cinco, seis, sete, oito, nove, dez, onze, doze, treze, quatorze, quinze, dezesseis, dezessete, dezoito, dezenove, vinte, trinta, quarenta, cinquenta, sessenta, setenta, oitenta, noventa, cem, mil</v>
      </c>
      <c r="E2005" s="8" t="str">
        <f>IFERROR(__xludf.DUMMYFUNCTION("GOOGLETRANSLATE(C2005, ""en"", ""es"")"),"cero, uno, dos, tres, cuatro, cinco, seis, siete, ocho, nueve, diez, once, doce, trece, catorce, quince, dieciséis, diecisiete, dieciocho, diecinueve, veinte, treinta, cuarenta, cincuenta, sesenta, setenta, ochenta, noventa, cien, mil")</f>
        <v>cero, uno, dos, tres, cuatro, cinco, seis, siete, ocho, nueve, diez, once, doce, trece, catorce, quince, dieciséis, diecisiete, dieciocho, diecinueve, veinte, treinta, cuarenta, cincuenta, sesenta, setenta, ochenta, noventa, cien, mil</v>
      </c>
      <c r="F2005" s="8" t="str">
        <f>IFERROR(__xludf.DUMMYFUNCTION("GOOGLETRANSLATE(C2005, ""en"", ""fr"")"),"zéro, un, deux, trois, quatre, cinq, six, sept, huit, neuf, dix, onze, douze, treize, quatorze, quinze, seize, dix-sept, dix-huit, dix-neuf, vingt, trente, quarante, cinquante, soixante, soixante-dix, quatre-vingts, quatre-vingt-dix, cent, mille")</f>
        <v>zéro, un, deux, trois, quatre, cinq, six, sept, huit, neuf, dix, onze, douze, treize, quatorze, quinze, seize, dix-sept, dix-huit, dix-neuf, vingt, trente, quarante, cinquante, soixante, soixante-dix, quatre-vingts, quatre-vingt-dix, cent, mille</v>
      </c>
      <c r="G2005" s="8" t="str">
        <f>IFERROR(__xludf.DUMMYFUNCTION("GOOGLETRANSLATE(C2005, ""en"", ""de"")"),"null, eins, zwei, drei, vier, fünf, sechs, sieben, acht, neun, zehn, elf, zwölf, dreizehn, vierzehn, fünfzehn, sechzehn, siebzehn, achtzehn, neunzehn, zwanzig, dreißig, vierzig, fünfzig, sechzig, siebzig, achtzig, neunzig, einhundert, tausend")</f>
        <v>null, eins, zwei, drei, vier, fünf, sechs, sieben, acht, neun, zehn, elf, zwölf, dreizehn, vierzehn, fünfzehn, sechzehn, siebzehn, achtzehn, neunzehn, zwanzig, dreißig, vierzig, fünfzig, sechzig, siebzig, achtzig, neunzig, einhundert, tausend</v>
      </c>
      <c r="H2005" s="8" t="str">
        <f>IFERROR(__xludf.DUMMYFUNCTION("GOOGLETRANSLATE(C2005, ""en"", ""ru"")"),"ноль, один, два, три, четыре, пять, шесть, семь, восемь, девять, десять, одиннадцать, двенадцать, тринадцать, четырнадцать, пятнадцать, шестнадцать, семнадцать, восемнадцать, девятнадцать, двадцать, тридцать, сорок, пятьдесят, шестьдесят, семьдесят, восем"&amp;"ьдесят, девяносто, сто, тысяча")</f>
        <v>ноль, один, два, три, четыре, пять, шесть, семь, восемь, девять, десять, одиннадцать, двенадцать, тринадцать, четырнадцать, пятнадцать, шестнадцать, семнадцать, восемнадцать, девятнадцать, двадцать, тридцать, сорок, пятьдесят, шестьдесят, семьдесят, восемьдесят, девяносто, сто, тысяча</v>
      </c>
      <c r="I2005" s="8" t="str">
        <f>IFERROR(__xludf.DUMMYFUNCTION("GOOGLETRANSLATE(C2005, ""en"", ""ar"")"),"صفر، واحد، اثنان، ثلاثة، أربعة، خمسة، ستة، سبعة، ثمانية، تسعة، عشرة، أحد عشر، اثنا عشر، ثلاثة عشر، أربعة عشر، خمسة عشر، ستة عشر، سبعة عشر، ثمانية عشر، تسعة عشر، عشرون، ثلاثون، أربعون، خمسون، ستون، سبعون، ثمانون، تسعون، مئة، ألف")</f>
        <v>صفر، واحد، اثنان، ثلاثة، أربعة، خمسة، ستة، سبعة، ثمانية، تسعة، عشرة، أحد عشر، اثنا عشر، ثلاثة عشر، أربعة عشر، خمسة عشر، ستة عشر، سبعة عشر، ثمانية عشر، تسعة عشر، عشرون، ثلاثون، أربعون، خمسون، ستون، سبعون، ثمانون، تسعون، مئة، ألف</v>
      </c>
      <c r="J2005" s="8"/>
      <c r="K2005" s="3" t="s">
        <v>2007</v>
      </c>
      <c r="M2005" s="4" t="s">
        <v>10</v>
      </c>
    </row>
    <row r="2006" ht="15.75" customHeight="1">
      <c r="A2006" s="1">
        <v>3374.0</v>
      </c>
      <c r="B2006" s="3">
        <v>160.0</v>
      </c>
      <c r="C2006" s="9" t="s">
        <v>2008</v>
      </c>
      <c r="D2006" s="8" t="str">
        <f>IFERROR(__xludf.DUMMYFUNCTION("GOOGLETRANSLATE(C2006, ""en"", ""pt"")"),"a, b, c, d, e, f, g, h, i, j, k, l, m, n, o, p, q, r, s, t, u, v, w, x, y, z")</f>
        <v>a, b, c, d, e, f, g, h, i, j, k, l, m, n, o, p, q, r, s, t, u, v, w, x, y, z</v>
      </c>
      <c r="E2006" s="8" t="str">
        <f>IFERROR(__xludf.DUMMYFUNCTION("GOOGLETRANSLATE(C2006, ""en"", ""es"")"),"a, b, c, d, e, f, g, h, i, j, k, l, m, n, o, p, q, r, s, t, u, v, w, x, y, z")</f>
        <v>a, b, c, d, e, f, g, h, i, j, k, l, m, n, o, p, q, r, s, t, u, v, w, x, y, z</v>
      </c>
      <c r="F2006" s="8" t="str">
        <f>IFERROR(__xludf.DUMMYFUNCTION("GOOGLETRANSLATE(C2006, ""en"", ""fr"")"),"a, b, c, d, e, f, g, h, i, j, k, l, m, n, o, p, q, r, s, t, u, v, w, x, y, z")</f>
        <v>a, b, c, d, e, f, g, h, i, j, k, l, m, n, o, p, q, r, s, t, u, v, w, x, y, z</v>
      </c>
      <c r="G2006" s="8" t="str">
        <f>IFERROR(__xludf.DUMMYFUNCTION("GOOGLETRANSLATE(C2006, ""en"", ""de"")"),"a, b, c, d, e, f, g, h, i, j, k, l, m, n, o, p, q, r, s, t, u, v, w, x, y, z")</f>
        <v>a, b, c, d, e, f, g, h, i, j, k, l, m, n, o, p, q, r, s, t, u, v, w, x, y, z</v>
      </c>
      <c r="H2006" s="8" t="str">
        <f>IFERROR(__xludf.DUMMYFUNCTION("GOOGLETRANSLATE(C2006, ""en"", ""ru"")"),"а, б, в, д, е, ф, г, ч, и, й, к, л, м, н, о, п, к, р, с, т, у, в, в, х, й, з")</f>
        <v>а, б, в, д, е, ф, г, ч, и, й, к, л, м, н, о, п, к, р, с, т, у, в, в, х, й, з</v>
      </c>
      <c r="I2006" s="8" t="str">
        <f>IFERROR(__xludf.DUMMYFUNCTION("GOOGLETRANSLATE(C2006, ""en"", ""ar"")"),"أ، ب، ت، د، هـ، و، ز، ح، ط، ي، ك، ل، م، ن، س، ع، ف، ص، ق، ر، ش، ت، ث، خ، ذ، ض، ظ، غ")</f>
        <v>أ، ب، ت، د، هـ، و، ز، ح، ط، ي، ك، ل، م، ن، س، ع، ف، ص، ق، ر، ش، ت، ث، خ، ذ، ض، ظ، غ</v>
      </c>
      <c r="J2006" s="8"/>
      <c r="K2006" s="3" t="s">
        <v>2009</v>
      </c>
      <c r="M2006" s="4" t="s">
        <v>10</v>
      </c>
    </row>
    <row r="2007" ht="15.75" customHeight="1">
      <c r="A2007" s="1">
        <v>3375.0</v>
      </c>
      <c r="B2007" s="3">
        <v>161.0</v>
      </c>
      <c r="C2007" s="9" t="s">
        <v>2010</v>
      </c>
      <c r="D2007" s="8" t="str">
        <f>IFERROR(__xludf.DUMMYFUNCTION("GOOGLETRANSLATE(C2007, ""en"", ""pt"")"),"primavera, verão, outono, inverno")</f>
        <v>primavera, verão, outono, inverno</v>
      </c>
      <c r="E2007" s="8" t="str">
        <f>IFERROR(__xludf.DUMMYFUNCTION("GOOGLETRANSLATE(C2007, ""en"", ""es"")"),"primavera, verano, otoño, invierno")</f>
        <v>primavera, verano, otoño, invierno</v>
      </c>
      <c r="F2007" s="8" t="str">
        <f>IFERROR(__xludf.DUMMYFUNCTION("GOOGLETRANSLATE(C2007, ""en"", ""fr"")"),"printemps, été, automne, hiver")</f>
        <v>printemps, été, automne, hiver</v>
      </c>
      <c r="G2007" s="8" t="str">
        <f>IFERROR(__xludf.DUMMYFUNCTION("GOOGLETRANSLATE(C2007, ""en"", ""de"")"),"Frühling, Sommer, Herbst, Winter")</f>
        <v>Frühling, Sommer, Herbst, Winter</v>
      </c>
      <c r="H2007" s="8" t="str">
        <f>IFERROR(__xludf.DUMMYFUNCTION("GOOGLETRANSLATE(C2007, ""en"", ""ru"")"),"весна, лето, осень, зима")</f>
        <v>весна, лето, осень, зима</v>
      </c>
      <c r="I2007" s="8" t="str">
        <f>IFERROR(__xludf.DUMMYFUNCTION("GOOGLETRANSLATE(C2007, ""en"", ""ar"")"),"الربيع، الصيف، الخريف، الشتاء")</f>
        <v>الربيع، الصيف، الخريف، الشتاء</v>
      </c>
      <c r="J2007" s="8"/>
      <c r="K2007" s="3" t="s">
        <v>2011</v>
      </c>
      <c r="M2007" s="4" t="s">
        <v>10</v>
      </c>
    </row>
    <row r="2008" ht="15.75" customHeight="1">
      <c r="A2008" s="1">
        <v>3376.0</v>
      </c>
      <c r="B2008" s="3">
        <v>162.0</v>
      </c>
      <c r="C2008" s="9" t="s">
        <v>2012</v>
      </c>
      <c r="D2008" s="8" t="str">
        <f>IFERROR(__xludf.DUMMYFUNCTION("GOOGLETRANSLATE(C2008, ""en"", ""pt"")"),"ensolarado, nublado, chuvoso, tempestuoso, ventoso, nevando, com neblina, úmido, seco, quente, frio, congelante, ameno, com brisa, encoberto, garoa, trovão, relâmpago, granizo")</f>
        <v>ensolarado, nublado, chuvoso, tempestuoso, ventoso, nevando, com neblina, úmido, seco, quente, frio, congelante, ameno, com brisa, encoberto, garoa, trovão, relâmpago, granizo</v>
      </c>
      <c r="E2008" s="8" t="str">
        <f>IFERROR(__xludf.DUMMYFUNCTION("GOOGLETRANSLATE(C2008, ""en"", ""es"")"),"soleado, nublado, lluvioso, tormentoso, ventoso, nevado, con niebla, húmedo, seco, caluroso, frío, helado, cálido, ventoso, cubierto, llovizna, trueno, relámpago, granizo")</f>
        <v>soleado, nublado, lluvioso, tormentoso, ventoso, nevado, con niebla, húmedo, seco, caluroso, frío, helado, cálido, ventoso, cubierto, llovizna, trueno, relámpago, granizo</v>
      </c>
      <c r="F2008" s="8" t="str">
        <f>IFERROR(__xludf.DUMMYFUNCTION("GOOGLETRANSLATE(C2008, ""en"", ""fr"")"),"ensoleillé, nuageux, pluvieux, orageux, venteux, neigeux, brumeux, humide, sec, chaud, froid, glacial, doux, venteux, couvert, bruine, tonnerre, éclairs, grêle")</f>
        <v>ensoleillé, nuageux, pluvieux, orageux, venteux, neigeux, brumeux, humide, sec, chaud, froid, glacial, doux, venteux, couvert, bruine, tonnerre, éclairs, grêle</v>
      </c>
      <c r="G2008" s="8" t="str">
        <f>IFERROR(__xludf.DUMMYFUNCTION("GOOGLETRANSLATE(C2008, ""en"", ""de"")"),"sonnig, bewölkt, regnerisch, stürmisch, windig, schneereich, neblig, feucht, trocken, heiß, kalt, eisig, warm, windig, bedeckt, nieselig, donnernd, blitzend, hagel")</f>
        <v>sonnig, bewölkt, regnerisch, stürmisch, windig, schneereich, neblig, feucht, trocken, heiß, kalt, eisig, warm, windig, bedeckt, nieselig, donnernd, blitzend, hagel</v>
      </c>
      <c r="H2008" s="8" t="str">
        <f>IFERROR(__xludf.DUMMYFUNCTION("GOOGLETRANSLATE(C2008, ""en"", ""ru"")"),"солнечно, облачно, дождливо, шторм, ветрено, снежно, туманно, влажно, сухо, жарко, холодно, морозно, тепло, ветрено, пасмурно, моросящий дождь, гром, молния, град")</f>
        <v>солнечно, облачно, дождливо, шторм, ветрено, снежно, туманно, влажно, сухо, жарко, холодно, морозно, тепло, ветрено, пасмурно, моросящий дождь, гром, молния, град</v>
      </c>
      <c r="I2008" s="8" t="str">
        <f>IFERROR(__xludf.DUMMYFUNCTION("GOOGLETRANSLATE(C2008, ""en"", ""ar"")"),"مشمس، غائم، ممطر، عاصف، عاصف، مثلج، ضبابي، رطب، جاف، حار، بارد، متجمد، دافئ، نسيم عليل، ملبد بالغيوم، رذاذ، رعد، برق، برد")</f>
        <v>مشمس، غائم، ممطر، عاصف، عاصف، مثلج، ضبابي، رطب، جاف، حار، بارد، متجمد، دافئ، نسيم عليل، ملبد بالغيوم، رذاذ، رعد، برق، برد</v>
      </c>
      <c r="J2008" s="8"/>
      <c r="K2008" s="3" t="s">
        <v>2013</v>
      </c>
      <c r="M2008" s="4" t="s">
        <v>10</v>
      </c>
    </row>
    <row r="2009" ht="15.75" customHeight="1">
      <c r="A2009" s="1">
        <v>3377.0</v>
      </c>
      <c r="B2009" s="3">
        <v>163.0</v>
      </c>
      <c r="C2009" s="9" t="s">
        <v>2014</v>
      </c>
      <c r="D2009" s="8" t="str">
        <f>IFERROR(__xludf.DUMMYFUNCTION("GOOGLETRANSLATE(C2009, ""en"", ""pt"")"),"aniversário, casamento, bodas, formatura, Natal, Páscoa, Halloween, Ano Novo, Dia dos Namorados, Dia de Ação de Graças, carnaval, festival, festa, cerimônia")</f>
        <v>aniversário, casamento, bodas, formatura, Natal, Páscoa, Halloween, Ano Novo, Dia dos Namorados, Dia de Ação de Graças, carnaval, festival, festa, cerimônia</v>
      </c>
      <c r="E2009" s="8" t="str">
        <f>IFERROR(__xludf.DUMMYFUNCTION("GOOGLETRANSLATE(C2009, ""en"", ""es"")"),"cumpleaños, boda, aniversario, graduación, navidad, pascua, halloween, año nuevo, día de san valentín, día de acción de gracias, carnaval, festival, fiesta, ceremonia")</f>
        <v>cumpleaños, boda, aniversario, graduación, navidad, pascua, halloween, año nuevo, día de san valentín, día de acción de gracias, carnaval, festival, fiesta, ceremonia</v>
      </c>
      <c r="F2009" s="8" t="str">
        <f>IFERROR(__xludf.DUMMYFUNCTION("GOOGLETRANSLATE(C2009, ""en"", ""fr"")"),"anniversaire, mariage, anniversaire de mariage, remise de diplôme, Noël, Pâques, Halloween, Nouvel An, Saint-Valentin, Thanksgiving, carnaval, festival, fête, cérémonie")</f>
        <v>anniversaire, mariage, anniversaire de mariage, remise de diplôme, Noël, Pâques, Halloween, Nouvel An, Saint-Valentin, Thanksgiving, carnaval, festival, fête, cérémonie</v>
      </c>
      <c r="G2009" s="8" t="str">
        <f>IFERROR(__xludf.DUMMYFUNCTION("GOOGLETRANSLATE(C2009, ""en"", ""de"")"),"Geburtstag, Hochzeit, Jahrestag, Schulabschluss, Weihnachten, Ostern, Halloween, Neujahr, Valentinstag, Erntedankfest, Karneval, Fest, Party, Zeremonie")</f>
        <v>Geburtstag, Hochzeit, Jahrestag, Schulabschluss, Weihnachten, Ostern, Halloween, Neujahr, Valentinstag, Erntedankfest, Karneval, Fest, Party, Zeremonie</v>
      </c>
      <c r="H2009" s="8" t="str">
        <f>IFERROR(__xludf.DUMMYFUNCTION("GOOGLETRANSLATE(C2009, ""en"", ""ru"")"),"день рождения, свадьба, годовщина, выпускной, Рождество, Пасха, Хэллоуин, Новый год, День святого Валентина, День благодарения, карнавал, фестиваль, вечеринка, церемония")</f>
        <v>день рождения, свадьба, годовщина, выпускной, Рождество, Пасха, Хэллоуин, Новый год, День святого Валентина, День благодарения, карнавал, фестиваль, вечеринка, церемония</v>
      </c>
      <c r="I2009" s="8" t="str">
        <f>IFERROR(__xludf.DUMMYFUNCTION("GOOGLETRANSLATE(C2009, ""en"", ""ar"")"),"عيد ميلاد، زفاف، ذكرى زواج، تخرج، عيد الميلاد، عيد الفصح، عيد الهالوين، رأس السنة، عيد الحب، عيد الشكر، كرنفال، مهرجان، حفلة، احتفال")</f>
        <v>عيد ميلاد، زفاف، ذكرى زواج، تخرج، عيد الميلاد، عيد الفصح، عيد الهالوين، رأس السنة، عيد الحب، عيد الشكر، كرنفال، مهرجان، حفلة، احتفال</v>
      </c>
      <c r="J2009" s="8"/>
      <c r="K2009" s="3" t="s">
        <v>2015</v>
      </c>
      <c r="M2009" s="4" t="s">
        <v>10</v>
      </c>
    </row>
    <row r="2010" ht="15.75" customHeight="1">
      <c r="A2010" s="1">
        <v>3378.0</v>
      </c>
      <c r="B2010" s="3">
        <v>164.0</v>
      </c>
      <c r="C2010" s="9" t="s">
        <v>2016</v>
      </c>
      <c r="D2010" s="8" t="str">
        <f>IFERROR(__xludf.DUMMYFUNCTION("GOOGLETRANSLATE(C2010, ""en"", ""pt"")"),"segundo, minuto, hora, dia, semana, mês, ano, década, século, milênio, manhã, tarde, noite, madrugada, meio-dia")</f>
        <v>segundo, minuto, hora, dia, semana, mês, ano, década, século, milênio, manhã, tarde, noite, madrugada, meio-dia</v>
      </c>
      <c r="E2010" s="8" t="str">
        <f>IFERROR(__xludf.DUMMYFUNCTION("GOOGLETRANSLATE(C2010, ""en"", ""es"")"),"segundo, minuto, hora, día, semana, mes, año, década, siglo, milenio, mañana, tarde, noche, medianoche, mediodía")</f>
        <v>segundo, minuto, hora, día, semana, mes, año, década, siglo, milenio, mañana, tarde, noche, medianoche, mediodía</v>
      </c>
      <c r="F2010" s="8" t="str">
        <f>IFERROR(__xludf.DUMMYFUNCTION("GOOGLETRANSLATE(C2010, ""en"", ""fr"")"),"seconde, minute, heure, jour, semaine, mois, année, décennie, siècle, millénaire, matin, après-midi, soir, nuit, minuit, midi")</f>
        <v>seconde, minute, heure, jour, semaine, mois, année, décennie, siècle, millénaire, matin, après-midi, soir, nuit, minuit, midi</v>
      </c>
      <c r="G2010" s="8" t="str">
        <f>IFERROR(__xludf.DUMMYFUNCTION("GOOGLETRANSLATE(C2010, ""en"", ""de"")"),"Sekunde, Minute, Stunde, Tag, Woche, Monat, Jahr, Jahrzehnt, Jahrhundert, Jahrtausend, Morgen, Nachmittag, Abend, Nacht, Mitternacht, Mittag")</f>
        <v>Sekunde, Minute, Stunde, Tag, Woche, Monat, Jahr, Jahrzehnt, Jahrhundert, Jahrtausend, Morgen, Nachmittag, Abend, Nacht, Mitternacht, Mittag</v>
      </c>
      <c r="H2010" s="8" t="str">
        <f>IFERROR(__xludf.DUMMYFUNCTION("GOOGLETRANSLATE(C2010, ""en"", ""ru"")"),"секунда, минута, час, день, неделя, месяц, год, десятилетие, век, тысячелетие, утро, день, вечер, ночь, полночь, полдень")</f>
        <v>секунда, минута, час, день, неделя, месяц, год, десятилетие, век, тысячелетие, утро, день, вечер, ночь, полночь, полдень</v>
      </c>
      <c r="I2010" s="8" t="str">
        <f>IFERROR(__xludf.DUMMYFUNCTION("GOOGLETRANSLATE(C2010, ""en"", ""ar"")"),"ثانية، دقيقة، ساعة، يوم، أسبوع، شهر، سنة، عقد، قرن، ألفية، صباح، عصر، مساء، ليل، منتصف الليل، ظهراً")</f>
        <v>ثانية، دقيقة، ساعة، يوم، أسبوع، شهر، سنة، عقد، قرن، ألفية، صباح، عصر، مساء، ليل، منتصف الليل، ظهراً</v>
      </c>
      <c r="J2010" s="8"/>
      <c r="K2010" s="3" t="s">
        <v>2017</v>
      </c>
      <c r="M2010" s="4" t="s">
        <v>10</v>
      </c>
    </row>
  </sheetData>
  <printOptions/>
  <pageMargins bottom="0.75" footer="0.0" header="0.0" left="0.7" right="0.7" top="0.75"/>
  <pageSetup orientation="landscape"/>
  <drawing r:id="rId1"/>
</worksheet>
</file>